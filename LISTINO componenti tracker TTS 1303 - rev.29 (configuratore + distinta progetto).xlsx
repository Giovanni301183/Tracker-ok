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5" autoFilterDateGrouping="1"/>
  </bookViews>
  <sheets>
    <sheet name="CONFIGURATORE" sheetId="1" state="visible" r:id="rId1"/>
    <sheet name="DISTINTA PROGETTO" sheetId="2" state="visible" r:id="rId2"/>
    <sheet name="SCHEDA STRUTTURA" sheetId="3" state="visible" r:id="rId3"/>
    <sheet name="SCHEDA PEZZI SPECIALI" sheetId="4" state="visible" r:id="rId4"/>
    <sheet name="SCHEDA BULLONERIA" sheetId="5" state="visible" r:id="rId5"/>
    <sheet name="SCHEDA ELETTROMECCANICA" sheetId="6" state="visible" r:id="rId6"/>
    <sheet name="LISTINO" sheetId="7" state="visible" r:id="rId7"/>
    <sheet name="DISTINTA COMPLETA" sheetId="8" state="visible" r:id="rId8"/>
    <sheet name="RIEPILOGO" sheetId="9" state="visible" r:id="rId9"/>
  </sheets>
  <definedNames>
    <definedName name="Cfg_Struttura">CONFIGURATORE!$B$3</definedName>
    <definedName name="Cfg_Trave">CONFIGURATORE!$B$4</definedName>
    <definedName name="Cfg_SpAsse">CONFIGURATORE!$B$5</definedName>
    <definedName name="Cfg_SpOmega">CONFIGURATORE!$B$6</definedName>
    <definedName name="Cfg_Infissione">CONFIGURATORE!$B$7</definedName>
    <definedName name="Cfg_Luce">CONFIGURATORE!$B$8</definedName>
    <definedName name="Cfg_LenFond">CONFIGURATORE!$B$9</definedName>
    <definedName name="Cfg_LenCusc">CONFIGURATORE!$B$10</definedName>
    <definedName name="Cfg_LenMot">CONFIGURATORE!$B$11</definedName>
    <definedName name="Cfg_Pannelli">CONFIGURATORE!$B$12</definedName>
    <definedName name="Cfg_Margine">CONFIGURATORE!$B$13</definedName>
    <definedName name="Cfg_TraveFrag">CONFIGURATORE!$B$15</definedName>
    <definedName name="Cfg_n12">CONFIGURATORE!$B$20</definedName>
    <definedName name="Cfg_n18">CONFIGURATORE!$B$21</definedName>
    <definedName name="Cfg_n20">CONFIGURATORE!$B$22</definedName>
    <definedName name="Cfg_n22">CONFIGURATORE!$B$23</definedName>
    <definedName name="Cfg_n36">CONFIGURATORE!$B$24</definedName>
    <definedName name="Cfg_n40">CONFIGURATORE!$B$25</definedName>
    <definedName name="_xlnm._FilterDatabase" localSheetId="1" hidden="1">'DISTINTA PROGETTO'!$A$1:$Q$344</definedName>
    <definedName name="_xlnm._FilterDatabase" localSheetId="6" hidden="1">'LISTINO'!$A$4:$I$202</definedName>
    <definedName name="_xlnm._FilterDatabase" localSheetId="7" hidden="1">'DISTINTA COMPLETA'!$A$1:$R$344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&quot;€ &quot;#,##0.00"/>
    <numFmt numFmtId="172" formatCode="#,##0.0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  <font>
      <name val="Calibri"/>
      <i val="1"/>
      <sz val="9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72" fontId="0" fillId="0" borderId="0" pivotButton="0" quotePrefix="0" xfId="0"/>
    <xf numFmtId="172" fontId="8" fillId="0" borderId="0" pivotButton="0" quotePrefix="0" xfId="0"/>
    <xf numFmtId="172" fontId="9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</cols>
  <sheetData>
    <row r="1">
      <c r="A1" s="28" t="inlineStr">
        <is>
          <t>CONFIGURATORE PREVENTIVO</t>
        </is>
      </c>
    </row>
    <row r="3">
      <c r="A3" t="inlineStr">
        <is>
          <t>Struttura</t>
        </is>
      </c>
      <c r="B3" t="inlineStr">
        <is>
          <t>Agrivoltaico</t>
        </is>
      </c>
    </row>
    <row r="4">
      <c r="A4" t="inlineStr">
        <is>
          <t>Trave</t>
        </is>
      </c>
      <c r="B4" t="inlineStr">
        <is>
          <t>IPE 140</t>
        </is>
      </c>
    </row>
    <row r="5">
      <c r="A5" t="inlineStr">
        <is>
          <t>Spessore asse</t>
        </is>
      </c>
      <c r="B5" t="inlineStr">
        <is>
          <t>3,0 mm</t>
        </is>
      </c>
    </row>
    <row r="6">
      <c r="A6" t="inlineStr">
        <is>
          <t>Spessore omega</t>
        </is>
      </c>
      <c r="B6" t="inlineStr">
        <is>
          <t>2,0 mm</t>
        </is>
      </c>
    </row>
    <row r="7">
      <c r="A7" t="inlineStr">
        <is>
          <t>Altezza infissione (m) - promemoria</t>
        </is>
      </c>
      <c r="B7" t="n">
        <v>1.5</v>
      </c>
    </row>
    <row r="8">
      <c r="A8" t="inlineStr">
        <is>
          <t>Luce libera da terra (m) - promemoria</t>
        </is>
      </c>
      <c r="B8" t="n">
        <v>0.8</v>
      </c>
    </row>
    <row r="9">
      <c r="A9" t="inlineStr">
        <is>
          <t>Lungh. fondazione [Agri] (suffisso)</t>
        </is>
      </c>
      <c r="B9" t="inlineStr">
        <is>
          <t>30</t>
        </is>
      </c>
      <c r="C9">
        <f>"= "&amp;VALUE(Cfg_LenFond)/10&amp;" m"</f>
        <v/>
      </c>
    </row>
    <row r="10">
      <c r="A10" t="inlineStr">
        <is>
          <t>Lungh. pilastro cuscinetto [Basso]</t>
        </is>
      </c>
      <c r="B10" t="inlineStr">
        <is>
          <t>30</t>
        </is>
      </c>
      <c r="C10">
        <f>"= "&amp;VALUE(Cfg_LenCusc)/10&amp;" m"</f>
        <v/>
      </c>
    </row>
    <row r="11">
      <c r="A11" t="inlineStr">
        <is>
          <t>Lungh. pilastro motore [Basso]</t>
        </is>
      </c>
      <c r="B11" t="inlineStr">
        <is>
          <t>30</t>
        </is>
      </c>
      <c r="C11">
        <f>"= "&amp;VALUE(Cfg_LenMot)/10&amp;" m"</f>
        <v/>
      </c>
    </row>
    <row r="12">
      <c r="A12" t="inlineStr">
        <is>
          <t>Pannelli FV nel preventivo</t>
        </is>
      </c>
      <c r="B12" t="inlineStr">
        <is>
          <t>No</t>
        </is>
      </c>
    </row>
    <row r="13">
      <c r="A13" t="inlineStr">
        <is>
          <t>Margine %</t>
        </is>
      </c>
      <c r="B13" t="n">
        <v>0</v>
      </c>
    </row>
    <row r="15">
      <c r="A15" t="inlineStr">
        <is>
          <t>Trave (frammento codice)</t>
        </is>
      </c>
      <c r="B15">
        <f>IF(Cfg_Trave="IPEA 140","IPEA140","IPE140")</f>
        <v/>
      </c>
    </row>
    <row r="18">
      <c r="A18" s="29" t="inlineStr">
        <is>
          <t>TIPOLOGIE — inserire il numero di tracker</t>
        </is>
      </c>
    </row>
    <row r="19">
      <c r="A19" s="29" t="inlineStr">
        <is>
          <t>Moduli / tracker</t>
        </is>
      </c>
      <c r="B19" s="29" t="inlineStr">
        <is>
          <t>N. tracker</t>
        </is>
      </c>
    </row>
    <row r="20">
      <c r="A20" t="n">
        <v>12</v>
      </c>
      <c r="B20" t="n">
        <v>0</v>
      </c>
    </row>
    <row r="21">
      <c r="A21" t="n">
        <v>18</v>
      </c>
      <c r="B21" t="n">
        <v>0</v>
      </c>
    </row>
    <row r="22">
      <c r="A22" t="n">
        <v>20</v>
      </c>
      <c r="B22" t="n">
        <v>0</v>
      </c>
    </row>
    <row r="23">
      <c r="A23" t="n">
        <v>22</v>
      </c>
      <c r="B23" t="n">
        <v>0</v>
      </c>
    </row>
    <row r="24">
      <c r="A24" t="n">
        <v>36</v>
      </c>
      <c r="B24" t="n">
        <v>0</v>
      </c>
    </row>
    <row r="25">
      <c r="A25" t="n">
        <v>40</v>
      </c>
      <c r="B25" t="n">
        <v>0</v>
      </c>
    </row>
    <row r="26">
      <c r="A26" s="29" t="inlineStr">
        <is>
          <t>Totale tracker</t>
        </is>
      </c>
      <c r="B26">
        <f>SUM(B20:B25)</f>
        <v/>
      </c>
    </row>
    <row r="29">
      <c r="A29" s="30" t="inlineStr">
        <is>
          <t>RIEPILOGO PREVENTIVO</t>
        </is>
      </c>
    </row>
    <row r="30">
      <c r="A30" t="inlineStr">
        <is>
          <t>Materiale (da DISTINTA PROGETTO)</t>
        </is>
      </c>
      <c r="B30" s="31">
        <f>SUM('DISTINTA PROGETTO'!$P$2:$P$344)</f>
        <v/>
      </c>
    </row>
    <row r="31">
      <c r="A31" t="inlineStr">
        <is>
          <t>Quadro motore (forfait 170 €/tracker)</t>
        </is>
      </c>
      <c r="B31" s="31">
        <f>170*B26</f>
        <v/>
      </c>
    </row>
    <row r="32">
      <c r="A32" s="29" t="inlineStr">
        <is>
          <t>Costo totale</t>
        </is>
      </c>
      <c r="B32" s="32">
        <f>B30+B31</f>
        <v/>
      </c>
    </row>
    <row r="33">
      <c r="A33" t="inlineStr">
        <is>
          <t>Margine</t>
        </is>
      </c>
      <c r="B33" s="31">
        <f>B32*Cfg_Margine/100</f>
        <v/>
      </c>
    </row>
    <row r="34">
      <c r="A34" s="30" t="inlineStr">
        <is>
          <t>Prezzo di vendita</t>
        </is>
      </c>
      <c r="B34" s="33">
        <f>B32+B33</f>
        <v/>
      </c>
    </row>
    <row r="37">
      <c r="A37" s="29" t="inlineStr">
        <is>
          <t>Materiale per tipologia</t>
        </is>
      </c>
    </row>
    <row r="38">
      <c r="A38" t="inlineStr">
        <is>
          <t>12 moduli</t>
        </is>
      </c>
      <c r="B38" s="31">
        <f>SUMPRODUCT('DISTINTA PROGETTO'!$H$2:$H$344,'DISTINTA PROGETTO'!$O$2:$O$344)*Cfg_n12</f>
        <v/>
      </c>
    </row>
    <row r="39">
      <c r="A39" t="inlineStr">
        <is>
          <t>18 moduli</t>
        </is>
      </c>
      <c r="B39" s="31">
        <f>SUMPRODUCT('DISTINTA PROGETTO'!$I$2:$I$344,'DISTINTA PROGETTO'!$O$2:$O$344)*Cfg_n18</f>
        <v/>
      </c>
    </row>
    <row r="40">
      <c r="A40" t="inlineStr">
        <is>
          <t>20 moduli</t>
        </is>
      </c>
      <c r="B40" s="31">
        <f>SUMPRODUCT('DISTINTA PROGETTO'!$J$2:$J$344,'DISTINTA PROGETTO'!$O$2:$O$344)*Cfg_n20</f>
        <v/>
      </c>
    </row>
    <row r="41">
      <c r="A41" t="inlineStr">
        <is>
          <t>22 moduli</t>
        </is>
      </c>
      <c r="B41" s="31">
        <f>SUMPRODUCT('DISTINTA PROGETTO'!$K$2:$K$344,'DISTINTA PROGETTO'!$O$2:$O$344)*Cfg_n22</f>
        <v/>
      </c>
    </row>
    <row r="42">
      <c r="A42" t="inlineStr">
        <is>
          <t>36 moduli</t>
        </is>
      </c>
      <c r="B42" s="31">
        <f>SUMPRODUCT('DISTINTA PROGETTO'!$L$2:$L$344,'DISTINTA PROGETTO'!$O$2:$O$344)*Cfg_n36</f>
        <v/>
      </c>
    </row>
    <row r="43">
      <c r="A43" t="inlineStr">
        <is>
          <t>40 moduli</t>
        </is>
      </c>
      <c r="B43" s="31">
        <f>SUMPRODUCT('DISTINTA PROGETTO'!$M$2:$M$344,'DISTINTA PROGETTO'!$O$2:$O$344)*Cfg_n40</f>
        <v/>
      </c>
    </row>
  </sheetData>
  <dataValidations count="8">
    <dataValidation sqref="B3" showDropDown="0" showInputMessage="0" showErrorMessage="0" allowBlank="0" type="list">
      <formula1>"Agrivoltaico,Basso"</formula1>
    </dataValidation>
    <dataValidation sqref="B4" showDropDown="0" showInputMessage="0" showErrorMessage="0" allowBlank="0" type="list">
      <formula1>"IPE 140,IPEA 140"</formula1>
    </dataValidation>
    <dataValidation sqref="B5" showDropDown="0" showInputMessage="0" showErrorMessage="0" allowBlank="0" type="list">
      <formula1>"3,0 mm,2,5 mm"</formula1>
    </dataValidation>
    <dataValidation sqref="B6" showDropDown="0" showInputMessage="0" showErrorMessage="0" allowBlank="0" type="list">
      <formula1>"2,0 mm,1,8 mm"</formula1>
    </dataValidation>
    <dataValidation sqref="B9" showDropDown="0" showInputMessage="0" showErrorMessage="0" allowBlank="0" type="list">
      <formula1>"26,27,28,29,30,31,32,33,34,35,36"</formula1>
    </dataValidation>
    <dataValidation sqref="B10" showDropDown="0" showInputMessage="0" showErrorMessage="0" allowBlank="0" type="list">
      <formula1>"23,28,29,30,31,32,33,34,35,36,37,38,39,40,41,42,43,44,45"</formula1>
    </dataValidation>
    <dataValidation sqref="B11" showDropDown="0" showInputMessage="0" showErrorMessage="0" allowBlank="0" type="list">
      <formula1>"22,27,28,29,30,31,32,33,34,35,36,37,38,39,40,41,42,43,44"</formula1>
    </dataValidation>
    <dataValidation sqref="B12" showDropDown="0" showInputMessage="0" showErrorMessage="0" allowBlank="0" type="list">
      <formula1>"No,Sì"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44" customWidth="1" min="4" max="4"/>
    <col width="24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29" t="inlineStr">
        <is>
          <t>Assieme</t>
        </is>
      </c>
      <c r="B1" s="29" t="inlineStr">
        <is>
          <t>Sezione</t>
        </is>
      </c>
      <c r="C1" s="29" t="inlineStr">
        <is>
          <t>Cod. distinta</t>
        </is>
      </c>
      <c r="D1" s="29" t="inlineStr">
        <is>
          <t>Descrizione</t>
        </is>
      </c>
      <c r="E1" s="29" t="inlineStr">
        <is>
          <t>Codice progetto</t>
        </is>
      </c>
      <c r="F1" s="29" t="inlineStr">
        <is>
          <t>Tag</t>
        </is>
      </c>
      <c r="G1" s="29" t="inlineStr">
        <is>
          <t>Guard</t>
        </is>
      </c>
      <c r="H1" s="29" t="inlineStr">
        <is>
          <t>q12</t>
        </is>
      </c>
      <c r="I1" s="29" t="inlineStr">
        <is>
          <t>q18</t>
        </is>
      </c>
      <c r="J1" s="29" t="inlineStr">
        <is>
          <t>q20</t>
        </is>
      </c>
      <c r="K1" s="29" t="inlineStr">
        <is>
          <t>q22</t>
        </is>
      </c>
      <c r="L1" s="29" t="inlineStr">
        <is>
          <t>q36</t>
        </is>
      </c>
      <c r="M1" s="29" t="inlineStr">
        <is>
          <t>q40</t>
        </is>
      </c>
      <c r="N1" s="29" t="inlineStr">
        <is>
          <t>Q.tà progetto</t>
        </is>
      </c>
      <c r="O1" s="29" t="inlineStr">
        <is>
          <t>Prezzo €</t>
        </is>
      </c>
      <c r="P1" s="29" t="inlineStr">
        <is>
          <t>Importo €</t>
        </is>
      </c>
      <c r="Q1" s="29" t="inlineStr">
        <is>
          <t>In preventivo</t>
        </is>
      </c>
    </row>
    <row r="2">
      <c r="A2">
        <f>'DISTINTA COMPLETA'!A2</f>
        <v/>
      </c>
      <c r="B2">
        <f>'DISTINTA COMPLETA'!B2</f>
        <v/>
      </c>
      <c r="C2">
        <f>'DISTINTA COMPLETA'!D2</f>
        <v/>
      </c>
      <c r="D2">
        <f>'DISTINTA COMPLETA'!E2</f>
        <v/>
      </c>
      <c r="E2">
        <f>"TTS.PF.001."&amp;Cfg_TraveFrag&amp;"."&amp;Cfg_LenFond</f>
        <v/>
      </c>
      <c r="F2" t="inlineStr">
        <is>
          <t>FOND_MOT</t>
        </is>
      </c>
      <c r="G2">
        <f>IF(Cfg_Struttura="Agrivoltaico",1,0)</f>
        <v/>
      </c>
      <c r="H2">
        <f>$G2*1</f>
        <v/>
      </c>
      <c r="I2">
        <f>$G2*1</f>
        <v/>
      </c>
      <c r="J2">
        <f>$G2*1</f>
        <v/>
      </c>
      <c r="K2">
        <f>$G2*1</f>
        <v/>
      </c>
      <c r="L2">
        <f>$G2*1</f>
        <v/>
      </c>
      <c r="M2">
        <f>$G2*1</f>
        <v/>
      </c>
      <c r="N2">
        <f>Cfg_n12*H2+Cfg_n18*I2+Cfg_n20*J2+Cfg_n22*K2+Cfg_n36*L2+Cfg_n40*M2</f>
        <v/>
      </c>
      <c r="O2" s="16">
        <f>IFERROR(VLOOKUP($E2,LISTINO!$B:$G,6,FALSE),0)</f>
        <v/>
      </c>
      <c r="P2" s="16">
        <f>$N2*$O2</f>
        <v/>
      </c>
      <c r="Q2">
        <f>IF($N2&gt;0,"SI","")</f>
        <v/>
      </c>
    </row>
    <row r="3">
      <c r="A3">
        <f>'DISTINTA COMPLETA'!A3</f>
        <v/>
      </c>
      <c r="B3">
        <f>'DISTINTA COMPLETA'!B3</f>
        <v/>
      </c>
      <c r="C3">
        <f>'DISTINTA COMPLETA'!D3</f>
        <v/>
      </c>
      <c r="D3">
        <f>'DISTINTA COMPLETA'!E3</f>
        <v/>
      </c>
      <c r="E3">
        <f>'DISTINTA COMPLETA'!D3</f>
        <v/>
      </c>
      <c r="F3" t="inlineStr">
        <is>
          <t>SKIP</t>
        </is>
      </c>
      <c r="G3">
        <f>0</f>
        <v/>
      </c>
      <c r="H3">
        <f>$G3*0</f>
        <v/>
      </c>
      <c r="I3">
        <f>$G3*0</f>
        <v/>
      </c>
      <c r="J3">
        <f>$G3*0</f>
        <v/>
      </c>
      <c r="K3">
        <f>$G3*0</f>
        <v/>
      </c>
      <c r="L3">
        <f>$G3*0</f>
        <v/>
      </c>
      <c r="M3">
        <f>$G3*0</f>
        <v/>
      </c>
      <c r="N3">
        <f>Cfg_n12*H3+Cfg_n18*I3+Cfg_n20*J3+Cfg_n22*K3+Cfg_n36*L3+Cfg_n40*M3</f>
        <v/>
      </c>
      <c r="O3" s="16">
        <f>IFERROR(VLOOKUP($E3,LISTINO!$B:$G,6,FALSE),0)</f>
        <v/>
      </c>
      <c r="P3" s="16">
        <f>$N3*$O3</f>
        <v/>
      </c>
      <c r="Q3">
        <f>IF($N3&gt;0,"SI","")</f>
        <v/>
      </c>
    </row>
    <row r="4">
      <c r="A4">
        <f>'DISTINTA COMPLETA'!A4</f>
        <v/>
      </c>
      <c r="B4">
        <f>'DISTINTA COMPLETA'!B4</f>
        <v/>
      </c>
      <c r="C4">
        <f>'DISTINTA COMPLETA'!D4</f>
        <v/>
      </c>
      <c r="D4">
        <f>'DISTINTA COMPLETA'!E4</f>
        <v/>
      </c>
      <c r="E4">
        <f>'DISTINTA COMPLETA'!D4</f>
        <v/>
      </c>
      <c r="F4" t="inlineStr">
        <is>
          <t>SKIP</t>
        </is>
      </c>
      <c r="G4">
        <f>0</f>
        <v/>
      </c>
      <c r="H4">
        <f>$G4*0</f>
        <v/>
      </c>
      <c r="I4">
        <f>$G4*0</f>
        <v/>
      </c>
      <c r="J4">
        <f>$G4*0</f>
        <v/>
      </c>
      <c r="K4">
        <f>$G4*0</f>
        <v/>
      </c>
      <c r="L4">
        <f>$G4*0</f>
        <v/>
      </c>
      <c r="M4">
        <f>$G4*0</f>
        <v/>
      </c>
      <c r="N4">
        <f>Cfg_n12*H4+Cfg_n18*I4+Cfg_n20*J4+Cfg_n22*K4+Cfg_n36*L4+Cfg_n40*M4</f>
        <v/>
      </c>
      <c r="O4" s="16">
        <f>IFERROR(VLOOKUP($E4,LISTINO!$B:$G,6,FALSE),0)</f>
        <v/>
      </c>
      <c r="P4" s="16">
        <f>$N4*$O4</f>
        <v/>
      </c>
      <c r="Q4">
        <f>IF($N4&gt;0,"SI","")</f>
        <v/>
      </c>
    </row>
    <row r="5">
      <c r="A5">
        <f>'DISTINTA COMPLETA'!A5</f>
        <v/>
      </c>
      <c r="B5">
        <f>'DISTINTA COMPLETA'!B5</f>
        <v/>
      </c>
      <c r="C5">
        <f>'DISTINTA COMPLETA'!D5</f>
        <v/>
      </c>
      <c r="D5">
        <f>'DISTINTA COMPLETA'!E5</f>
        <v/>
      </c>
      <c r="E5">
        <f>'DISTINTA COMPLETA'!D5</f>
        <v/>
      </c>
      <c r="F5" t="inlineStr">
        <is>
          <t>SKIP</t>
        </is>
      </c>
      <c r="G5">
        <f>0</f>
        <v/>
      </c>
      <c r="H5">
        <f>$G5*0</f>
        <v/>
      </c>
      <c r="I5">
        <f>$G5*0</f>
        <v/>
      </c>
      <c r="J5">
        <f>$G5*0</f>
        <v/>
      </c>
      <c r="K5">
        <f>$G5*0</f>
        <v/>
      </c>
      <c r="L5">
        <f>$G5*0</f>
        <v/>
      </c>
      <c r="M5">
        <f>$G5*0</f>
        <v/>
      </c>
      <c r="N5">
        <f>Cfg_n12*H5+Cfg_n18*I5+Cfg_n20*J5+Cfg_n22*K5+Cfg_n36*L5+Cfg_n40*M5</f>
        <v/>
      </c>
      <c r="O5" s="16">
        <f>IFERROR(VLOOKUP($E5,LISTINO!$B:$G,6,FALSE),0)</f>
        <v/>
      </c>
      <c r="P5" s="16">
        <f>$N5*$O5</f>
        <v/>
      </c>
      <c r="Q5">
        <f>IF($N5&gt;0,"SI","")</f>
        <v/>
      </c>
    </row>
    <row r="6">
      <c r="A6">
        <f>'DISTINTA COMPLETA'!A6</f>
        <v/>
      </c>
      <c r="B6">
        <f>'DISTINTA COMPLETA'!B6</f>
        <v/>
      </c>
      <c r="C6">
        <f>'DISTINTA COMPLETA'!D6</f>
        <v/>
      </c>
      <c r="D6">
        <f>'DISTINTA COMPLETA'!E6</f>
        <v/>
      </c>
      <c r="E6">
        <f>'DISTINTA COMPLETA'!D6</f>
        <v/>
      </c>
      <c r="F6" t="inlineStr">
        <is>
          <t>SKIP</t>
        </is>
      </c>
      <c r="G6">
        <f>0</f>
        <v/>
      </c>
      <c r="H6">
        <f>$G6*0</f>
        <v/>
      </c>
      <c r="I6">
        <f>$G6*0</f>
        <v/>
      </c>
      <c r="J6">
        <f>$G6*0</f>
        <v/>
      </c>
      <c r="K6">
        <f>$G6*0</f>
        <v/>
      </c>
      <c r="L6">
        <f>$G6*0</f>
        <v/>
      </c>
      <c r="M6">
        <f>$G6*0</f>
        <v/>
      </c>
      <c r="N6">
        <f>Cfg_n12*H6+Cfg_n18*I6+Cfg_n20*J6+Cfg_n22*K6+Cfg_n36*L6+Cfg_n40*M6</f>
        <v/>
      </c>
      <c r="O6" s="16">
        <f>IFERROR(VLOOKUP($E6,LISTINO!$B:$G,6,FALSE),0)</f>
        <v/>
      </c>
      <c r="P6" s="16">
        <f>$N6*$O6</f>
        <v/>
      </c>
      <c r="Q6">
        <f>IF($N6&gt;0,"SI","")</f>
        <v/>
      </c>
    </row>
    <row r="7">
      <c r="A7">
        <f>'DISTINTA COMPLETA'!A7</f>
        <v/>
      </c>
      <c r="B7">
        <f>'DISTINTA COMPLETA'!B7</f>
        <v/>
      </c>
      <c r="C7">
        <f>'DISTINTA COMPLETA'!D7</f>
        <v/>
      </c>
      <c r="D7">
        <f>'DISTINTA COMPLETA'!E7</f>
        <v/>
      </c>
      <c r="E7">
        <f>'DISTINTA COMPLETA'!D7</f>
        <v/>
      </c>
      <c r="F7" t="inlineStr">
        <is>
          <t>SKIP</t>
        </is>
      </c>
      <c r="G7">
        <f>0</f>
        <v/>
      </c>
      <c r="H7">
        <f>$G7*0</f>
        <v/>
      </c>
      <c r="I7">
        <f>$G7*0</f>
        <v/>
      </c>
      <c r="J7">
        <f>$G7*0</f>
        <v/>
      </c>
      <c r="K7">
        <f>$G7*0</f>
        <v/>
      </c>
      <c r="L7">
        <f>$G7*0</f>
        <v/>
      </c>
      <c r="M7">
        <f>$G7*0</f>
        <v/>
      </c>
      <c r="N7">
        <f>Cfg_n12*H7+Cfg_n18*I7+Cfg_n20*J7+Cfg_n22*K7+Cfg_n36*L7+Cfg_n40*M7</f>
        <v/>
      </c>
      <c r="O7" s="16">
        <f>IFERROR(VLOOKUP($E7,LISTINO!$B:$G,6,FALSE),0)</f>
        <v/>
      </c>
      <c r="P7" s="16">
        <f>$N7*$O7</f>
        <v/>
      </c>
      <c r="Q7">
        <f>IF($N7&gt;0,"SI","")</f>
        <v/>
      </c>
    </row>
    <row r="8">
      <c r="A8">
        <f>'DISTINTA COMPLETA'!A8</f>
        <v/>
      </c>
      <c r="B8">
        <f>'DISTINTA COMPLETA'!B8</f>
        <v/>
      </c>
      <c r="C8">
        <f>'DISTINTA COMPLETA'!D8</f>
        <v/>
      </c>
      <c r="D8">
        <f>'DISTINTA COMPLETA'!E8</f>
        <v/>
      </c>
      <c r="E8">
        <f>'DISTINTA COMPLETA'!D8</f>
        <v/>
      </c>
      <c r="F8" t="inlineStr">
        <is>
          <t>SKIP</t>
        </is>
      </c>
      <c r="G8">
        <f>0</f>
        <v/>
      </c>
      <c r="H8">
        <f>$G8*0</f>
        <v/>
      </c>
      <c r="I8">
        <f>$G8*0</f>
        <v/>
      </c>
      <c r="J8">
        <f>$G8*0</f>
        <v/>
      </c>
      <c r="K8">
        <f>$G8*0</f>
        <v/>
      </c>
      <c r="L8">
        <f>$G8*0</f>
        <v/>
      </c>
      <c r="M8">
        <f>$G8*0</f>
        <v/>
      </c>
      <c r="N8">
        <f>Cfg_n12*H8+Cfg_n18*I8+Cfg_n20*J8+Cfg_n22*K8+Cfg_n36*L8+Cfg_n40*M8</f>
        <v/>
      </c>
      <c r="O8" s="16">
        <f>IFERROR(VLOOKUP($E8,LISTINO!$B:$G,6,FALSE),0)</f>
        <v/>
      </c>
      <c r="P8" s="16">
        <f>$N8*$O8</f>
        <v/>
      </c>
      <c r="Q8">
        <f>IF($N8&gt;0,"SI","")</f>
        <v/>
      </c>
    </row>
    <row r="9">
      <c r="A9">
        <f>'DISTINTA COMPLETA'!A9</f>
        <v/>
      </c>
      <c r="B9">
        <f>'DISTINTA COMPLETA'!B9</f>
        <v/>
      </c>
      <c r="C9">
        <f>'DISTINTA COMPLETA'!D9</f>
        <v/>
      </c>
      <c r="D9">
        <f>'DISTINTA COMPLETA'!E9</f>
        <v/>
      </c>
      <c r="E9">
        <f>'DISTINTA COMPLETA'!D9</f>
        <v/>
      </c>
      <c r="F9" t="inlineStr">
        <is>
          <t>SKIP</t>
        </is>
      </c>
      <c r="G9">
        <f>0</f>
        <v/>
      </c>
      <c r="H9">
        <f>$G9*0</f>
        <v/>
      </c>
      <c r="I9">
        <f>$G9*0</f>
        <v/>
      </c>
      <c r="J9">
        <f>$G9*0</f>
        <v/>
      </c>
      <c r="K9">
        <f>$G9*0</f>
        <v/>
      </c>
      <c r="L9">
        <f>$G9*0</f>
        <v/>
      </c>
      <c r="M9">
        <f>$G9*0</f>
        <v/>
      </c>
      <c r="N9">
        <f>Cfg_n12*H9+Cfg_n18*I9+Cfg_n20*J9+Cfg_n22*K9+Cfg_n36*L9+Cfg_n40*M9</f>
        <v/>
      </c>
      <c r="O9" s="16">
        <f>IFERROR(VLOOKUP($E9,LISTINO!$B:$G,6,FALSE),0)</f>
        <v/>
      </c>
      <c r="P9" s="16">
        <f>$N9*$O9</f>
        <v/>
      </c>
      <c r="Q9">
        <f>IF($N9&gt;0,"SI","")</f>
        <v/>
      </c>
    </row>
    <row r="10">
      <c r="A10">
        <f>'DISTINTA COMPLETA'!A10</f>
        <v/>
      </c>
      <c r="B10">
        <f>'DISTINTA COMPLETA'!B10</f>
        <v/>
      </c>
      <c r="C10">
        <f>'DISTINTA COMPLETA'!D10</f>
        <v/>
      </c>
      <c r="D10">
        <f>'DISTINTA COMPLETA'!E10</f>
        <v/>
      </c>
      <c r="E10">
        <f>'DISTINTA COMPLETA'!D10</f>
        <v/>
      </c>
      <c r="F10" t="inlineStr">
        <is>
          <t>SKIP</t>
        </is>
      </c>
      <c r="G10">
        <f>0</f>
        <v/>
      </c>
      <c r="H10">
        <f>$G10*0</f>
        <v/>
      </c>
      <c r="I10">
        <f>$G10*0</f>
        <v/>
      </c>
      <c r="J10">
        <f>$G10*0</f>
        <v/>
      </c>
      <c r="K10">
        <f>$G10*0</f>
        <v/>
      </c>
      <c r="L10">
        <f>$G10*0</f>
        <v/>
      </c>
      <c r="M10">
        <f>$G10*0</f>
        <v/>
      </c>
      <c r="N10">
        <f>Cfg_n12*H10+Cfg_n18*I10+Cfg_n20*J10+Cfg_n22*K10+Cfg_n36*L10+Cfg_n40*M10</f>
        <v/>
      </c>
      <c r="O10" s="16">
        <f>IFERROR(VLOOKUP($E10,LISTINO!$B:$G,6,FALSE),0)</f>
        <v/>
      </c>
      <c r="P10" s="16">
        <f>$N10*$O10</f>
        <v/>
      </c>
      <c r="Q10">
        <f>IF($N10&gt;0,"SI","")</f>
        <v/>
      </c>
    </row>
    <row r="11">
      <c r="A11">
        <f>'DISTINTA COMPLETA'!A11</f>
        <v/>
      </c>
      <c r="B11">
        <f>'DISTINTA COMPLETA'!B11</f>
        <v/>
      </c>
      <c r="C11">
        <f>'DISTINTA COMPLETA'!D11</f>
        <v/>
      </c>
      <c r="D11">
        <f>'DISTINTA COMPLETA'!E11</f>
        <v/>
      </c>
      <c r="E11">
        <f>'DISTINTA COMPLETA'!D11</f>
        <v/>
      </c>
      <c r="F11" t="inlineStr">
        <is>
          <t>SKIP</t>
        </is>
      </c>
      <c r="G11">
        <f>0</f>
        <v/>
      </c>
      <c r="H11">
        <f>$G11*0</f>
        <v/>
      </c>
      <c r="I11">
        <f>$G11*0</f>
        <v/>
      </c>
      <c r="J11">
        <f>$G11*0</f>
        <v/>
      </c>
      <c r="K11">
        <f>$G11*0</f>
        <v/>
      </c>
      <c r="L11">
        <f>$G11*0</f>
        <v/>
      </c>
      <c r="M11">
        <f>$G11*0</f>
        <v/>
      </c>
      <c r="N11">
        <f>Cfg_n12*H11+Cfg_n18*I11+Cfg_n20*J11+Cfg_n22*K11+Cfg_n36*L11+Cfg_n40*M11</f>
        <v/>
      </c>
      <c r="O11" s="16">
        <f>IFERROR(VLOOKUP($E11,LISTINO!$B:$G,6,FALSE),0)</f>
        <v/>
      </c>
      <c r="P11" s="16">
        <f>$N11*$O11</f>
        <v/>
      </c>
      <c r="Q11">
        <f>IF($N11&gt;0,"SI","")</f>
        <v/>
      </c>
    </row>
    <row r="12">
      <c r="A12">
        <f>'DISTINTA COMPLETA'!A12</f>
        <v/>
      </c>
      <c r="B12">
        <f>'DISTINTA COMPLETA'!B12</f>
        <v/>
      </c>
      <c r="C12">
        <f>'DISTINTA COMPLETA'!D12</f>
        <v/>
      </c>
      <c r="D12">
        <f>'DISTINTA COMPLETA'!E12</f>
        <v/>
      </c>
      <c r="E12">
        <f>'DISTINTA COMPLETA'!D12</f>
        <v/>
      </c>
      <c r="F12" t="inlineStr">
        <is>
          <t>SKIP</t>
        </is>
      </c>
      <c r="G12">
        <f>0</f>
        <v/>
      </c>
      <c r="H12">
        <f>$G12*0</f>
        <v/>
      </c>
      <c r="I12">
        <f>$G12*0</f>
        <v/>
      </c>
      <c r="J12">
        <f>$G12*0</f>
        <v/>
      </c>
      <c r="K12">
        <f>$G12*0</f>
        <v/>
      </c>
      <c r="L12">
        <f>$G12*0</f>
        <v/>
      </c>
      <c r="M12">
        <f>$G12*0</f>
        <v/>
      </c>
      <c r="N12">
        <f>Cfg_n12*H12+Cfg_n18*I12+Cfg_n20*J12+Cfg_n22*K12+Cfg_n36*L12+Cfg_n40*M12</f>
        <v/>
      </c>
      <c r="O12" s="16">
        <f>IFERROR(VLOOKUP($E12,LISTINO!$B:$G,6,FALSE),0)</f>
        <v/>
      </c>
      <c r="P12" s="16">
        <f>$N12*$O12</f>
        <v/>
      </c>
      <c r="Q12">
        <f>IF($N12&gt;0,"SI","")</f>
        <v/>
      </c>
    </row>
    <row r="13">
      <c r="A13">
        <f>'DISTINTA COMPLETA'!A13</f>
        <v/>
      </c>
      <c r="B13">
        <f>'DISTINTA COMPLETA'!B13</f>
        <v/>
      </c>
      <c r="C13">
        <f>'DISTINTA COMPLETA'!D13</f>
        <v/>
      </c>
      <c r="D13">
        <f>'DISTINTA COMPLETA'!E13</f>
        <v/>
      </c>
      <c r="E13">
        <f>'DISTINTA COMPLETA'!D13</f>
        <v/>
      </c>
      <c r="F13" t="inlineStr">
        <is>
          <t>SKIP</t>
        </is>
      </c>
      <c r="G13">
        <f>0</f>
        <v/>
      </c>
      <c r="H13">
        <f>$G13*0</f>
        <v/>
      </c>
      <c r="I13">
        <f>$G13*0</f>
        <v/>
      </c>
      <c r="J13">
        <f>$G13*0</f>
        <v/>
      </c>
      <c r="K13">
        <f>$G13*0</f>
        <v/>
      </c>
      <c r="L13">
        <f>$G13*0</f>
        <v/>
      </c>
      <c r="M13">
        <f>$G13*0</f>
        <v/>
      </c>
      <c r="N13">
        <f>Cfg_n12*H13+Cfg_n18*I13+Cfg_n20*J13+Cfg_n22*K13+Cfg_n36*L13+Cfg_n40*M13</f>
        <v/>
      </c>
      <c r="O13" s="16">
        <f>IFERROR(VLOOKUP($E13,LISTINO!$B:$G,6,FALSE),0)</f>
        <v/>
      </c>
      <c r="P13" s="16">
        <f>$N13*$O13</f>
        <v/>
      </c>
      <c r="Q13">
        <f>IF($N13&gt;0,"SI","")</f>
        <v/>
      </c>
    </row>
    <row r="14">
      <c r="A14">
        <f>'DISTINTA COMPLETA'!A14</f>
        <v/>
      </c>
      <c r="B14">
        <f>'DISTINTA COMPLETA'!B14</f>
        <v/>
      </c>
      <c r="C14">
        <f>'DISTINTA COMPLETA'!D14</f>
        <v/>
      </c>
      <c r="D14">
        <f>'DISTINTA COMPLETA'!E14</f>
        <v/>
      </c>
      <c r="E14">
        <f>'DISTINTA COMPLETA'!D14</f>
        <v/>
      </c>
      <c r="F14" t="inlineStr">
        <is>
          <t>SKIP</t>
        </is>
      </c>
      <c r="G14">
        <f>0</f>
        <v/>
      </c>
      <c r="H14">
        <f>$G14*0</f>
        <v/>
      </c>
      <c r="I14">
        <f>$G14*0</f>
        <v/>
      </c>
      <c r="J14">
        <f>$G14*0</f>
        <v/>
      </c>
      <c r="K14">
        <f>$G14*0</f>
        <v/>
      </c>
      <c r="L14">
        <f>$G14*0</f>
        <v/>
      </c>
      <c r="M14">
        <f>$G14*0</f>
        <v/>
      </c>
      <c r="N14">
        <f>Cfg_n12*H14+Cfg_n18*I14+Cfg_n20*J14+Cfg_n22*K14+Cfg_n36*L14+Cfg_n40*M14</f>
        <v/>
      </c>
      <c r="O14" s="16">
        <f>IFERROR(VLOOKUP($E14,LISTINO!$B:$G,6,FALSE),0)</f>
        <v/>
      </c>
      <c r="P14" s="16">
        <f>$N14*$O14</f>
        <v/>
      </c>
      <c r="Q14">
        <f>IF($N14&gt;0,"SI","")</f>
        <v/>
      </c>
    </row>
    <row r="15">
      <c r="A15">
        <f>'DISTINTA COMPLETA'!A15</f>
        <v/>
      </c>
      <c r="B15">
        <f>'DISTINTA COMPLETA'!B15</f>
        <v/>
      </c>
      <c r="C15">
        <f>'DISTINTA COMPLETA'!D15</f>
        <v/>
      </c>
      <c r="D15">
        <f>'DISTINTA COMPLETA'!E15</f>
        <v/>
      </c>
      <c r="E15">
        <f>'DISTINTA COMPLETA'!D15</f>
        <v/>
      </c>
      <c r="F15" t="inlineStr">
        <is>
          <t>SKIP</t>
        </is>
      </c>
      <c r="G15">
        <f>0</f>
        <v/>
      </c>
      <c r="H15">
        <f>$G15*0</f>
        <v/>
      </c>
      <c r="I15">
        <f>$G15*0</f>
        <v/>
      </c>
      <c r="J15">
        <f>$G15*0</f>
        <v/>
      </c>
      <c r="K15">
        <f>$G15*0</f>
        <v/>
      </c>
      <c r="L15">
        <f>$G15*0</f>
        <v/>
      </c>
      <c r="M15">
        <f>$G15*0</f>
        <v/>
      </c>
      <c r="N15">
        <f>Cfg_n12*H15+Cfg_n18*I15+Cfg_n20*J15+Cfg_n22*K15+Cfg_n36*L15+Cfg_n40*M15</f>
        <v/>
      </c>
      <c r="O15" s="16">
        <f>IFERROR(VLOOKUP($E15,LISTINO!$B:$G,6,FALSE),0)</f>
        <v/>
      </c>
      <c r="P15" s="16">
        <f>$N15*$O15</f>
        <v/>
      </c>
      <c r="Q15">
        <f>IF($N15&gt;0,"SI","")</f>
        <v/>
      </c>
    </row>
    <row r="16">
      <c r="A16">
        <f>'DISTINTA COMPLETA'!A16</f>
        <v/>
      </c>
      <c r="B16">
        <f>'DISTINTA COMPLETA'!B16</f>
        <v/>
      </c>
      <c r="C16">
        <f>'DISTINTA COMPLETA'!D16</f>
        <v/>
      </c>
      <c r="D16">
        <f>'DISTINTA COMPLETA'!E16</f>
        <v/>
      </c>
      <c r="E16">
        <f>'DISTINTA COMPLETA'!D16</f>
        <v/>
      </c>
      <c r="F16" t="inlineStr">
        <is>
          <t>SKIP</t>
        </is>
      </c>
      <c r="G16">
        <f>0</f>
        <v/>
      </c>
      <c r="H16">
        <f>$G16*0</f>
        <v/>
      </c>
      <c r="I16">
        <f>$G16*0</f>
        <v/>
      </c>
      <c r="J16">
        <f>$G16*0</f>
        <v/>
      </c>
      <c r="K16">
        <f>$G16*0</f>
        <v/>
      </c>
      <c r="L16">
        <f>$G16*0</f>
        <v/>
      </c>
      <c r="M16">
        <f>$G16*0</f>
        <v/>
      </c>
      <c r="N16">
        <f>Cfg_n12*H16+Cfg_n18*I16+Cfg_n20*J16+Cfg_n22*K16+Cfg_n36*L16+Cfg_n40*M16</f>
        <v/>
      </c>
      <c r="O16" s="16">
        <f>IFERROR(VLOOKUP($E16,LISTINO!$B:$G,6,FALSE),0)</f>
        <v/>
      </c>
      <c r="P16" s="16">
        <f>$N16*$O16</f>
        <v/>
      </c>
      <c r="Q16">
        <f>IF($N16&gt;0,"SI","")</f>
        <v/>
      </c>
    </row>
    <row r="17">
      <c r="A17">
        <f>'DISTINTA COMPLETA'!A17</f>
        <v/>
      </c>
      <c r="B17">
        <f>'DISTINTA COMPLETA'!B17</f>
        <v/>
      </c>
      <c r="C17">
        <f>'DISTINTA COMPLETA'!D17</f>
        <v/>
      </c>
      <c r="D17">
        <f>'DISTINTA COMPLETA'!E17</f>
        <v/>
      </c>
      <c r="E17">
        <f>'DISTINTA COMPLETA'!D17</f>
        <v/>
      </c>
      <c r="F17" t="inlineStr">
        <is>
          <t>SKIP</t>
        </is>
      </c>
      <c r="G17">
        <f>0</f>
        <v/>
      </c>
      <c r="H17">
        <f>$G17*0</f>
        <v/>
      </c>
      <c r="I17">
        <f>$G17*0</f>
        <v/>
      </c>
      <c r="J17">
        <f>$G17*0</f>
        <v/>
      </c>
      <c r="K17">
        <f>$G17*0</f>
        <v/>
      </c>
      <c r="L17">
        <f>$G17*0</f>
        <v/>
      </c>
      <c r="M17">
        <f>$G17*0</f>
        <v/>
      </c>
      <c r="N17">
        <f>Cfg_n12*H17+Cfg_n18*I17+Cfg_n20*J17+Cfg_n22*K17+Cfg_n36*L17+Cfg_n40*M17</f>
        <v/>
      </c>
      <c r="O17" s="16">
        <f>IFERROR(VLOOKUP($E17,LISTINO!$B:$G,6,FALSE),0)</f>
        <v/>
      </c>
      <c r="P17" s="16">
        <f>$N17*$O17</f>
        <v/>
      </c>
      <c r="Q17">
        <f>IF($N17&gt;0,"SI","")</f>
        <v/>
      </c>
    </row>
    <row r="18">
      <c r="A18">
        <f>'DISTINTA COMPLETA'!A18</f>
        <v/>
      </c>
      <c r="B18">
        <f>'DISTINTA COMPLETA'!B18</f>
        <v/>
      </c>
      <c r="C18">
        <f>'DISTINTA COMPLETA'!D18</f>
        <v/>
      </c>
      <c r="D18">
        <f>'DISTINTA COMPLETA'!E18</f>
        <v/>
      </c>
      <c r="E18">
        <f>'DISTINTA COMPLETA'!D18</f>
        <v/>
      </c>
      <c r="F18" t="inlineStr">
        <is>
          <t>SKIP</t>
        </is>
      </c>
      <c r="G18">
        <f>0</f>
        <v/>
      </c>
      <c r="H18">
        <f>$G18*0</f>
        <v/>
      </c>
      <c r="I18">
        <f>$G18*0</f>
        <v/>
      </c>
      <c r="J18">
        <f>$G18*0</f>
        <v/>
      </c>
      <c r="K18">
        <f>$G18*0</f>
        <v/>
      </c>
      <c r="L18">
        <f>$G18*0</f>
        <v/>
      </c>
      <c r="M18">
        <f>$G18*0</f>
        <v/>
      </c>
      <c r="N18">
        <f>Cfg_n12*H18+Cfg_n18*I18+Cfg_n20*J18+Cfg_n22*K18+Cfg_n36*L18+Cfg_n40*M18</f>
        <v/>
      </c>
      <c r="O18" s="16">
        <f>IFERROR(VLOOKUP($E18,LISTINO!$B:$G,6,FALSE),0)</f>
        <v/>
      </c>
      <c r="P18" s="16">
        <f>$N18*$O18</f>
        <v/>
      </c>
      <c r="Q18">
        <f>IF($N18&gt;0,"SI","")</f>
        <v/>
      </c>
    </row>
    <row r="19">
      <c r="A19">
        <f>'DISTINTA COMPLETA'!A19</f>
        <v/>
      </c>
      <c r="B19">
        <f>'DISTINTA COMPLETA'!B19</f>
        <v/>
      </c>
      <c r="C19">
        <f>'DISTINTA COMPLETA'!D19</f>
        <v/>
      </c>
      <c r="D19">
        <f>'DISTINTA COMPLETA'!E19</f>
        <v/>
      </c>
      <c r="E19">
        <f>'DISTINTA COMPLETA'!D19</f>
        <v/>
      </c>
      <c r="F19" t="inlineStr">
        <is>
          <t>SKIP</t>
        </is>
      </c>
      <c r="G19">
        <f>0</f>
        <v/>
      </c>
      <c r="H19">
        <f>$G19*0</f>
        <v/>
      </c>
      <c r="I19">
        <f>$G19*0</f>
        <v/>
      </c>
      <c r="J19">
        <f>$G19*0</f>
        <v/>
      </c>
      <c r="K19">
        <f>$G19*0</f>
        <v/>
      </c>
      <c r="L19">
        <f>$G19*0</f>
        <v/>
      </c>
      <c r="M19">
        <f>$G19*0</f>
        <v/>
      </c>
      <c r="N19">
        <f>Cfg_n12*H19+Cfg_n18*I19+Cfg_n20*J19+Cfg_n22*K19+Cfg_n36*L19+Cfg_n40*M19</f>
        <v/>
      </c>
      <c r="O19" s="16">
        <f>IFERROR(VLOOKUP($E19,LISTINO!$B:$G,6,FALSE),0)</f>
        <v/>
      </c>
      <c r="P19" s="16">
        <f>$N19*$O19</f>
        <v/>
      </c>
      <c r="Q19">
        <f>IF($N19&gt;0,"SI","")</f>
        <v/>
      </c>
    </row>
    <row r="20">
      <c r="A20">
        <f>'DISTINTA COMPLETA'!A20</f>
        <v/>
      </c>
      <c r="B20">
        <f>'DISTINTA COMPLETA'!B20</f>
        <v/>
      </c>
      <c r="C20">
        <f>'DISTINTA COMPLETA'!D20</f>
        <v/>
      </c>
      <c r="D20">
        <f>'DISTINTA COMPLETA'!E20</f>
        <v/>
      </c>
      <c r="E20">
        <f>'DISTINTA COMPLETA'!D20</f>
        <v/>
      </c>
      <c r="F20" t="inlineStr">
        <is>
          <t>SKIP</t>
        </is>
      </c>
      <c r="G20">
        <f>0</f>
        <v/>
      </c>
      <c r="H20">
        <f>$G20*0</f>
        <v/>
      </c>
      <c r="I20">
        <f>$G20*0</f>
        <v/>
      </c>
      <c r="J20">
        <f>$G20*0</f>
        <v/>
      </c>
      <c r="K20">
        <f>$G20*0</f>
        <v/>
      </c>
      <c r="L20">
        <f>$G20*0</f>
        <v/>
      </c>
      <c r="M20">
        <f>$G20*0</f>
        <v/>
      </c>
      <c r="N20">
        <f>Cfg_n12*H20+Cfg_n18*I20+Cfg_n20*J20+Cfg_n22*K20+Cfg_n36*L20+Cfg_n40*M20</f>
        <v/>
      </c>
      <c r="O20" s="16">
        <f>IFERROR(VLOOKUP($E20,LISTINO!$B:$G,6,FALSE),0)</f>
        <v/>
      </c>
      <c r="P20" s="16">
        <f>$N20*$O20</f>
        <v/>
      </c>
      <c r="Q20">
        <f>IF($N20&gt;0,"SI","")</f>
        <v/>
      </c>
    </row>
    <row r="21">
      <c r="A21">
        <f>'DISTINTA COMPLETA'!A21</f>
        <v/>
      </c>
      <c r="B21">
        <f>'DISTINTA COMPLETA'!B21</f>
        <v/>
      </c>
      <c r="C21">
        <f>'DISTINTA COMPLETA'!D21</f>
        <v/>
      </c>
      <c r="D21">
        <f>'DISTINTA COMPLETA'!E21</f>
        <v/>
      </c>
      <c r="E21">
        <f>'DISTINTA COMPLETA'!D21</f>
        <v/>
      </c>
      <c r="F21" t="inlineStr">
        <is>
          <t>SKIP</t>
        </is>
      </c>
      <c r="G21">
        <f>0</f>
        <v/>
      </c>
      <c r="H21">
        <f>$G21*0</f>
        <v/>
      </c>
      <c r="I21">
        <f>$G21*0</f>
        <v/>
      </c>
      <c r="J21">
        <f>$G21*0</f>
        <v/>
      </c>
      <c r="K21">
        <f>$G21*0</f>
        <v/>
      </c>
      <c r="L21">
        <f>$G21*0</f>
        <v/>
      </c>
      <c r="M21">
        <f>$G21*0</f>
        <v/>
      </c>
      <c r="N21">
        <f>Cfg_n12*H21+Cfg_n18*I21+Cfg_n20*J21+Cfg_n22*K21+Cfg_n36*L21+Cfg_n40*M21</f>
        <v/>
      </c>
      <c r="O21" s="16">
        <f>IFERROR(VLOOKUP($E21,LISTINO!$B:$G,6,FALSE),0)</f>
        <v/>
      </c>
      <c r="P21" s="16">
        <f>$N21*$O21</f>
        <v/>
      </c>
      <c r="Q21">
        <f>IF($N21&gt;0,"SI","")</f>
        <v/>
      </c>
    </row>
    <row r="22">
      <c r="A22">
        <f>'DISTINTA COMPLETA'!A22</f>
        <v/>
      </c>
      <c r="B22">
        <f>'DISTINTA COMPLETA'!B22</f>
        <v/>
      </c>
      <c r="C22">
        <f>'DISTINTA COMPLETA'!D22</f>
        <v/>
      </c>
      <c r="D22">
        <f>'DISTINTA COMPLETA'!E22</f>
        <v/>
      </c>
      <c r="E22">
        <f>'DISTINTA COMPLETA'!D22</f>
        <v/>
      </c>
      <c r="F22" t="inlineStr">
        <is>
          <t>SKIP</t>
        </is>
      </c>
      <c r="G22">
        <f>0</f>
        <v/>
      </c>
      <c r="H22">
        <f>$G22*0</f>
        <v/>
      </c>
      <c r="I22">
        <f>$G22*0</f>
        <v/>
      </c>
      <c r="J22">
        <f>$G22*0</f>
        <v/>
      </c>
      <c r="K22">
        <f>$G22*0</f>
        <v/>
      </c>
      <c r="L22">
        <f>$G22*0</f>
        <v/>
      </c>
      <c r="M22">
        <f>$G22*0</f>
        <v/>
      </c>
      <c r="N22">
        <f>Cfg_n12*H22+Cfg_n18*I22+Cfg_n20*J22+Cfg_n22*K22+Cfg_n36*L22+Cfg_n40*M22</f>
        <v/>
      </c>
      <c r="O22" s="16">
        <f>IFERROR(VLOOKUP($E22,LISTINO!$B:$G,6,FALSE),0)</f>
        <v/>
      </c>
      <c r="P22" s="16">
        <f>$N22*$O22</f>
        <v/>
      </c>
      <c r="Q22">
        <f>IF($N22&gt;0,"SI","")</f>
        <v/>
      </c>
    </row>
    <row r="23">
      <c r="A23">
        <f>'DISTINTA COMPLETA'!A23</f>
        <v/>
      </c>
      <c r="B23">
        <f>'DISTINTA COMPLETA'!B23</f>
        <v/>
      </c>
      <c r="C23">
        <f>'DISTINTA COMPLETA'!D23</f>
        <v/>
      </c>
      <c r="D23">
        <f>'DISTINTA COMPLETA'!E23</f>
        <v/>
      </c>
      <c r="E23">
        <f>'DISTINTA COMPLETA'!D23</f>
        <v/>
      </c>
      <c r="F23" t="inlineStr">
        <is>
          <t>SKIP</t>
        </is>
      </c>
      <c r="G23">
        <f>0</f>
        <v/>
      </c>
      <c r="H23">
        <f>$G23*0</f>
        <v/>
      </c>
      <c r="I23">
        <f>$G23*0</f>
        <v/>
      </c>
      <c r="J23">
        <f>$G23*0</f>
        <v/>
      </c>
      <c r="K23">
        <f>$G23*0</f>
        <v/>
      </c>
      <c r="L23">
        <f>$G23*0</f>
        <v/>
      </c>
      <c r="M23">
        <f>$G23*0</f>
        <v/>
      </c>
      <c r="N23">
        <f>Cfg_n12*H23+Cfg_n18*I23+Cfg_n20*J23+Cfg_n22*K23+Cfg_n36*L23+Cfg_n40*M23</f>
        <v/>
      </c>
      <c r="O23" s="16">
        <f>IFERROR(VLOOKUP($E23,LISTINO!$B:$G,6,FALSE),0)</f>
        <v/>
      </c>
      <c r="P23" s="16">
        <f>$N23*$O23</f>
        <v/>
      </c>
      <c r="Q23">
        <f>IF($N23&gt;0,"SI","")</f>
        <v/>
      </c>
    </row>
    <row r="24">
      <c r="A24">
        <f>'DISTINTA COMPLETA'!A24</f>
        <v/>
      </c>
      <c r="B24">
        <f>'DISTINTA COMPLETA'!B24</f>
        <v/>
      </c>
      <c r="C24">
        <f>'DISTINTA COMPLETA'!D24</f>
        <v/>
      </c>
      <c r="D24">
        <f>'DISTINTA COMPLETA'!E24</f>
        <v/>
      </c>
      <c r="E24">
        <f>"TTS.PM.001."&amp;Cfg_TraveFrag&amp;"."&amp;IF(Cfg_Struttura="Agrivoltaico","22",Cfg_LenMot)</f>
        <v/>
      </c>
      <c r="F24" t="inlineStr">
        <is>
          <t>PIL_MOT</t>
        </is>
      </c>
      <c r="G24">
        <f>1</f>
        <v/>
      </c>
      <c r="H24">
        <f>$G24*1</f>
        <v/>
      </c>
      <c r="I24">
        <f>$G24*1</f>
        <v/>
      </c>
      <c r="J24">
        <f>$G24*1</f>
        <v/>
      </c>
      <c r="K24">
        <f>$G24*1</f>
        <v/>
      </c>
      <c r="L24">
        <f>$G24*1</f>
        <v/>
      </c>
      <c r="M24">
        <f>$G24*1</f>
        <v/>
      </c>
      <c r="N24">
        <f>Cfg_n12*H24+Cfg_n18*I24+Cfg_n20*J24+Cfg_n22*K24+Cfg_n36*L24+Cfg_n40*M24</f>
        <v/>
      </c>
      <c r="O24" s="16">
        <f>IFERROR(VLOOKUP($E24,LISTINO!$B:$G,6,FALSE),0)</f>
        <v/>
      </c>
      <c r="P24" s="16">
        <f>$N24*$O24</f>
        <v/>
      </c>
      <c r="Q24">
        <f>IF($N24&gt;0,"SI","")</f>
        <v/>
      </c>
    </row>
    <row r="25">
      <c r="A25">
        <f>'DISTINTA COMPLETA'!A25</f>
        <v/>
      </c>
      <c r="B25">
        <f>'DISTINTA COMPLETA'!B25</f>
        <v/>
      </c>
      <c r="C25">
        <f>'DISTINTA COMPLETA'!D25</f>
        <v/>
      </c>
      <c r="D25">
        <f>'DISTINTA COMPLETA'!E25</f>
        <v/>
      </c>
      <c r="E25">
        <f>'DISTINTA COMPLETA'!D25</f>
        <v/>
      </c>
      <c r="F25" t="inlineStr">
        <is>
          <t>SKIP</t>
        </is>
      </c>
      <c r="G25">
        <f>0</f>
        <v/>
      </c>
      <c r="H25">
        <f>$G25*0</f>
        <v/>
      </c>
      <c r="I25">
        <f>$G25*0</f>
        <v/>
      </c>
      <c r="J25">
        <f>$G25*0</f>
        <v/>
      </c>
      <c r="K25">
        <f>$G25*0</f>
        <v/>
      </c>
      <c r="L25">
        <f>$G25*0</f>
        <v/>
      </c>
      <c r="M25">
        <f>$G25*0</f>
        <v/>
      </c>
      <c r="N25">
        <f>Cfg_n12*H25+Cfg_n18*I25+Cfg_n20*J25+Cfg_n22*K25+Cfg_n36*L25+Cfg_n40*M25</f>
        <v/>
      </c>
      <c r="O25" s="16">
        <f>IFERROR(VLOOKUP($E25,LISTINO!$B:$G,6,FALSE),0)</f>
        <v/>
      </c>
      <c r="P25" s="16">
        <f>$N25*$O25</f>
        <v/>
      </c>
      <c r="Q25">
        <f>IF($N25&gt;0,"SI","")</f>
        <v/>
      </c>
    </row>
    <row r="26">
      <c r="A26">
        <f>'DISTINTA COMPLETA'!A26</f>
        <v/>
      </c>
      <c r="B26">
        <f>'DISTINTA COMPLETA'!B26</f>
        <v/>
      </c>
      <c r="C26">
        <f>'DISTINTA COMPLETA'!D26</f>
        <v/>
      </c>
      <c r="D26">
        <f>'DISTINTA COMPLETA'!E26</f>
        <v/>
      </c>
      <c r="E26">
        <f>'DISTINTA COMPLETA'!D26</f>
        <v/>
      </c>
      <c r="F26" t="inlineStr">
        <is>
          <t>SKIP</t>
        </is>
      </c>
      <c r="G26">
        <f>0</f>
        <v/>
      </c>
      <c r="H26">
        <f>$G26*0</f>
        <v/>
      </c>
      <c r="I26">
        <f>$G26*0</f>
        <v/>
      </c>
      <c r="J26">
        <f>$G26*0</f>
        <v/>
      </c>
      <c r="K26">
        <f>$G26*0</f>
        <v/>
      </c>
      <c r="L26">
        <f>$G26*0</f>
        <v/>
      </c>
      <c r="M26">
        <f>$G26*0</f>
        <v/>
      </c>
      <c r="N26">
        <f>Cfg_n12*H26+Cfg_n18*I26+Cfg_n20*J26+Cfg_n22*K26+Cfg_n36*L26+Cfg_n40*M26</f>
        <v/>
      </c>
      <c r="O26" s="16">
        <f>IFERROR(VLOOKUP($E26,LISTINO!$B:$G,6,FALSE),0)</f>
        <v/>
      </c>
      <c r="P26" s="16">
        <f>$N26*$O26</f>
        <v/>
      </c>
      <c r="Q26">
        <f>IF($N26&gt;0,"SI","")</f>
        <v/>
      </c>
    </row>
    <row r="27">
      <c r="A27">
        <f>'DISTINTA COMPLETA'!A27</f>
        <v/>
      </c>
      <c r="B27">
        <f>'DISTINTA COMPLETA'!B27</f>
        <v/>
      </c>
      <c r="C27">
        <f>'DISTINTA COMPLETA'!D27</f>
        <v/>
      </c>
      <c r="D27">
        <f>'DISTINTA COMPLETA'!E27</f>
        <v/>
      </c>
      <c r="E27">
        <f>'DISTINTA COMPLETA'!D27</f>
        <v/>
      </c>
      <c r="F27" t="inlineStr">
        <is>
          <t>SKIP</t>
        </is>
      </c>
      <c r="G27">
        <f>0</f>
        <v/>
      </c>
      <c r="H27">
        <f>$G27*0</f>
        <v/>
      </c>
      <c r="I27">
        <f>$G27*0</f>
        <v/>
      </c>
      <c r="J27">
        <f>$G27*0</f>
        <v/>
      </c>
      <c r="K27">
        <f>$G27*0</f>
        <v/>
      </c>
      <c r="L27">
        <f>$G27*0</f>
        <v/>
      </c>
      <c r="M27">
        <f>$G27*0</f>
        <v/>
      </c>
      <c r="N27">
        <f>Cfg_n12*H27+Cfg_n18*I27+Cfg_n20*J27+Cfg_n22*K27+Cfg_n36*L27+Cfg_n40*M27</f>
        <v/>
      </c>
      <c r="O27" s="16">
        <f>IFERROR(VLOOKUP($E27,LISTINO!$B:$G,6,FALSE),0)</f>
        <v/>
      </c>
      <c r="P27" s="16">
        <f>$N27*$O27</f>
        <v/>
      </c>
      <c r="Q27">
        <f>IF($N27&gt;0,"SI","")</f>
        <v/>
      </c>
    </row>
    <row r="28">
      <c r="A28">
        <f>'DISTINTA COMPLETA'!A28</f>
        <v/>
      </c>
      <c r="B28">
        <f>'DISTINTA COMPLETA'!B28</f>
        <v/>
      </c>
      <c r="C28">
        <f>'DISTINTA COMPLETA'!D28</f>
        <v/>
      </c>
      <c r="D28">
        <f>'DISTINTA COMPLETA'!E28</f>
        <v/>
      </c>
      <c r="E28">
        <f>'DISTINTA COMPLETA'!D28</f>
        <v/>
      </c>
      <c r="F28" t="inlineStr">
        <is>
          <t>SKIP</t>
        </is>
      </c>
      <c r="G28">
        <f>0</f>
        <v/>
      </c>
      <c r="H28">
        <f>$G28*0</f>
        <v/>
      </c>
      <c r="I28">
        <f>$G28*0</f>
        <v/>
      </c>
      <c r="J28">
        <f>$G28*0</f>
        <v/>
      </c>
      <c r="K28">
        <f>$G28*0</f>
        <v/>
      </c>
      <c r="L28">
        <f>$G28*0</f>
        <v/>
      </c>
      <c r="M28">
        <f>$G28*0</f>
        <v/>
      </c>
      <c r="N28">
        <f>Cfg_n12*H28+Cfg_n18*I28+Cfg_n20*J28+Cfg_n22*K28+Cfg_n36*L28+Cfg_n40*M28</f>
        <v/>
      </c>
      <c r="O28" s="16">
        <f>IFERROR(VLOOKUP($E28,LISTINO!$B:$G,6,FALSE),0)</f>
        <v/>
      </c>
      <c r="P28" s="16">
        <f>$N28*$O28</f>
        <v/>
      </c>
      <c r="Q28">
        <f>IF($N28&gt;0,"SI","")</f>
        <v/>
      </c>
    </row>
    <row r="29">
      <c r="A29">
        <f>'DISTINTA COMPLETA'!A29</f>
        <v/>
      </c>
      <c r="B29">
        <f>'DISTINTA COMPLETA'!B29</f>
        <v/>
      </c>
      <c r="C29">
        <f>'DISTINTA COMPLETA'!D29</f>
        <v/>
      </c>
      <c r="D29">
        <f>'DISTINTA COMPLETA'!E29</f>
        <v/>
      </c>
      <c r="E29">
        <f>'DISTINTA COMPLETA'!D29</f>
        <v/>
      </c>
      <c r="F29" t="inlineStr">
        <is>
          <t>SKIP</t>
        </is>
      </c>
      <c r="G29">
        <f>0</f>
        <v/>
      </c>
      <c r="H29">
        <f>$G29*0</f>
        <v/>
      </c>
      <c r="I29">
        <f>$G29*0</f>
        <v/>
      </c>
      <c r="J29">
        <f>$G29*0</f>
        <v/>
      </c>
      <c r="K29">
        <f>$G29*0</f>
        <v/>
      </c>
      <c r="L29">
        <f>$G29*0</f>
        <v/>
      </c>
      <c r="M29">
        <f>$G29*0</f>
        <v/>
      </c>
      <c r="N29">
        <f>Cfg_n12*H29+Cfg_n18*I29+Cfg_n20*J29+Cfg_n22*K29+Cfg_n36*L29+Cfg_n40*M29</f>
        <v/>
      </c>
      <c r="O29" s="16">
        <f>IFERROR(VLOOKUP($E29,LISTINO!$B:$G,6,FALSE),0)</f>
        <v/>
      </c>
      <c r="P29" s="16">
        <f>$N29*$O29</f>
        <v/>
      </c>
      <c r="Q29">
        <f>IF($N29&gt;0,"SI","")</f>
        <v/>
      </c>
    </row>
    <row r="30">
      <c r="A30">
        <f>'DISTINTA COMPLETA'!A30</f>
        <v/>
      </c>
      <c r="B30">
        <f>'DISTINTA COMPLETA'!B30</f>
        <v/>
      </c>
      <c r="C30">
        <f>'DISTINTA COMPLETA'!D30</f>
        <v/>
      </c>
      <c r="D30">
        <f>'DISTINTA COMPLETA'!E30</f>
        <v/>
      </c>
      <c r="E30">
        <f>'DISTINTA COMPLETA'!D30</f>
        <v/>
      </c>
      <c r="F30" t="inlineStr">
        <is>
          <t>SKIP</t>
        </is>
      </c>
      <c r="G30">
        <f>0</f>
        <v/>
      </c>
      <c r="H30">
        <f>$G30*0</f>
        <v/>
      </c>
      <c r="I30">
        <f>$G30*0</f>
        <v/>
      </c>
      <c r="J30">
        <f>$G30*0</f>
        <v/>
      </c>
      <c r="K30">
        <f>$G30*0</f>
        <v/>
      </c>
      <c r="L30">
        <f>$G30*0</f>
        <v/>
      </c>
      <c r="M30">
        <f>$G30*0</f>
        <v/>
      </c>
      <c r="N30">
        <f>Cfg_n12*H30+Cfg_n18*I30+Cfg_n20*J30+Cfg_n22*K30+Cfg_n36*L30+Cfg_n40*M30</f>
        <v/>
      </c>
      <c r="O30" s="16">
        <f>IFERROR(VLOOKUP($E30,LISTINO!$B:$G,6,FALSE),0)</f>
        <v/>
      </c>
      <c r="P30" s="16">
        <f>$N30*$O30</f>
        <v/>
      </c>
      <c r="Q30">
        <f>IF($N30&gt;0,"SI","")</f>
        <v/>
      </c>
    </row>
    <row r="31">
      <c r="A31">
        <f>'DISTINTA COMPLETA'!A31</f>
        <v/>
      </c>
      <c r="B31">
        <f>'DISTINTA COMPLETA'!B31</f>
        <v/>
      </c>
      <c r="C31">
        <f>'DISTINTA COMPLETA'!D31</f>
        <v/>
      </c>
      <c r="D31">
        <f>'DISTINTA COMPLETA'!E31</f>
        <v/>
      </c>
      <c r="E31">
        <f>'DISTINTA COMPLETA'!D31</f>
        <v/>
      </c>
      <c r="F31" t="inlineStr">
        <is>
          <t>SKIP</t>
        </is>
      </c>
      <c r="G31">
        <f>0</f>
        <v/>
      </c>
      <c r="H31">
        <f>$G31*0</f>
        <v/>
      </c>
      <c r="I31">
        <f>$G31*0</f>
        <v/>
      </c>
      <c r="J31">
        <f>$G31*0</f>
        <v/>
      </c>
      <c r="K31">
        <f>$G31*0</f>
        <v/>
      </c>
      <c r="L31">
        <f>$G31*0</f>
        <v/>
      </c>
      <c r="M31">
        <f>$G31*0</f>
        <v/>
      </c>
      <c r="N31">
        <f>Cfg_n12*H31+Cfg_n18*I31+Cfg_n20*J31+Cfg_n22*K31+Cfg_n36*L31+Cfg_n40*M31</f>
        <v/>
      </c>
      <c r="O31" s="16">
        <f>IFERROR(VLOOKUP($E31,LISTINO!$B:$G,6,FALSE),0)</f>
        <v/>
      </c>
      <c r="P31" s="16">
        <f>$N31*$O31</f>
        <v/>
      </c>
      <c r="Q31">
        <f>IF($N31&gt;0,"SI","")</f>
        <v/>
      </c>
    </row>
    <row r="32">
      <c r="A32">
        <f>'DISTINTA COMPLETA'!A32</f>
        <v/>
      </c>
      <c r="B32">
        <f>'DISTINTA COMPLETA'!B32</f>
        <v/>
      </c>
      <c r="C32">
        <f>'DISTINTA COMPLETA'!D32</f>
        <v/>
      </c>
      <c r="D32">
        <f>'DISTINTA COMPLETA'!E32</f>
        <v/>
      </c>
      <c r="E32">
        <f>'DISTINTA COMPLETA'!D32</f>
        <v/>
      </c>
      <c r="F32" t="inlineStr">
        <is>
          <t>SKIP</t>
        </is>
      </c>
      <c r="G32">
        <f>0</f>
        <v/>
      </c>
      <c r="H32">
        <f>$G32*0</f>
        <v/>
      </c>
      <c r="I32">
        <f>$G32*0</f>
        <v/>
      </c>
      <c r="J32">
        <f>$G32*0</f>
        <v/>
      </c>
      <c r="K32">
        <f>$G32*0</f>
        <v/>
      </c>
      <c r="L32">
        <f>$G32*0</f>
        <v/>
      </c>
      <c r="M32">
        <f>$G32*0</f>
        <v/>
      </c>
      <c r="N32">
        <f>Cfg_n12*H32+Cfg_n18*I32+Cfg_n20*J32+Cfg_n22*K32+Cfg_n36*L32+Cfg_n40*M32</f>
        <v/>
      </c>
      <c r="O32" s="16">
        <f>IFERROR(VLOOKUP($E32,LISTINO!$B:$G,6,FALSE),0)</f>
        <v/>
      </c>
      <c r="P32" s="16">
        <f>$N32*$O32</f>
        <v/>
      </c>
      <c r="Q32">
        <f>IF($N32&gt;0,"SI","")</f>
        <v/>
      </c>
    </row>
    <row r="33">
      <c r="A33">
        <f>'DISTINTA COMPLETA'!A33</f>
        <v/>
      </c>
      <c r="B33">
        <f>'DISTINTA COMPLETA'!B33</f>
        <v/>
      </c>
      <c r="C33">
        <f>'DISTINTA COMPLETA'!D33</f>
        <v/>
      </c>
      <c r="D33">
        <f>'DISTINTA COMPLETA'!E33</f>
        <v/>
      </c>
      <c r="E33">
        <f>'DISTINTA COMPLETA'!D33</f>
        <v/>
      </c>
      <c r="F33" t="inlineStr">
        <is>
          <t>SKIP</t>
        </is>
      </c>
      <c r="G33">
        <f>0</f>
        <v/>
      </c>
      <c r="H33">
        <f>$G33*0</f>
        <v/>
      </c>
      <c r="I33">
        <f>$G33*0</f>
        <v/>
      </c>
      <c r="J33">
        <f>$G33*0</f>
        <v/>
      </c>
      <c r="K33">
        <f>$G33*0</f>
        <v/>
      </c>
      <c r="L33">
        <f>$G33*0</f>
        <v/>
      </c>
      <c r="M33">
        <f>$G33*0</f>
        <v/>
      </c>
      <c r="N33">
        <f>Cfg_n12*H33+Cfg_n18*I33+Cfg_n20*J33+Cfg_n22*K33+Cfg_n36*L33+Cfg_n40*M33</f>
        <v/>
      </c>
      <c r="O33" s="16">
        <f>IFERROR(VLOOKUP($E33,LISTINO!$B:$G,6,FALSE),0)</f>
        <v/>
      </c>
      <c r="P33" s="16">
        <f>$N33*$O33</f>
        <v/>
      </c>
      <c r="Q33">
        <f>IF($N33&gt;0,"SI","")</f>
        <v/>
      </c>
    </row>
    <row r="34">
      <c r="A34">
        <f>'DISTINTA COMPLETA'!A34</f>
        <v/>
      </c>
      <c r="B34">
        <f>'DISTINTA COMPLETA'!B34</f>
        <v/>
      </c>
      <c r="C34">
        <f>'DISTINTA COMPLETA'!D34</f>
        <v/>
      </c>
      <c r="D34">
        <f>'DISTINTA COMPLETA'!E34</f>
        <v/>
      </c>
      <c r="E34">
        <f>'DISTINTA COMPLETA'!D34</f>
        <v/>
      </c>
      <c r="F34" t="inlineStr">
        <is>
          <t>SKIP</t>
        </is>
      </c>
      <c r="G34">
        <f>0</f>
        <v/>
      </c>
      <c r="H34">
        <f>$G34*0</f>
        <v/>
      </c>
      <c r="I34">
        <f>$G34*0</f>
        <v/>
      </c>
      <c r="J34">
        <f>$G34*0</f>
        <v/>
      </c>
      <c r="K34">
        <f>$G34*0</f>
        <v/>
      </c>
      <c r="L34">
        <f>$G34*0</f>
        <v/>
      </c>
      <c r="M34">
        <f>$G34*0</f>
        <v/>
      </c>
      <c r="N34">
        <f>Cfg_n12*H34+Cfg_n18*I34+Cfg_n20*J34+Cfg_n22*K34+Cfg_n36*L34+Cfg_n40*M34</f>
        <v/>
      </c>
      <c r="O34" s="16">
        <f>IFERROR(VLOOKUP($E34,LISTINO!$B:$G,6,FALSE),0)</f>
        <v/>
      </c>
      <c r="P34" s="16">
        <f>$N34*$O34</f>
        <v/>
      </c>
      <c r="Q34">
        <f>IF($N34&gt;0,"SI","")</f>
        <v/>
      </c>
    </row>
    <row r="35">
      <c r="A35">
        <f>'DISTINTA COMPLETA'!A35</f>
        <v/>
      </c>
      <c r="B35">
        <f>'DISTINTA COMPLETA'!B35</f>
        <v/>
      </c>
      <c r="C35">
        <f>'DISTINTA COMPLETA'!D35</f>
        <v/>
      </c>
      <c r="D35">
        <f>'DISTINTA COMPLETA'!E35</f>
        <v/>
      </c>
      <c r="E35">
        <f>'DISTINTA COMPLETA'!D35</f>
        <v/>
      </c>
      <c r="F35" t="inlineStr">
        <is>
          <t>SKIP</t>
        </is>
      </c>
      <c r="G35">
        <f>0</f>
        <v/>
      </c>
      <c r="H35">
        <f>$G35*0</f>
        <v/>
      </c>
      <c r="I35">
        <f>$G35*0</f>
        <v/>
      </c>
      <c r="J35">
        <f>$G35*0</f>
        <v/>
      </c>
      <c r="K35">
        <f>$G35*0</f>
        <v/>
      </c>
      <c r="L35">
        <f>$G35*0</f>
        <v/>
      </c>
      <c r="M35">
        <f>$G35*0</f>
        <v/>
      </c>
      <c r="N35">
        <f>Cfg_n12*H35+Cfg_n18*I35+Cfg_n20*J35+Cfg_n22*K35+Cfg_n36*L35+Cfg_n40*M35</f>
        <v/>
      </c>
      <c r="O35" s="16">
        <f>IFERROR(VLOOKUP($E35,LISTINO!$B:$G,6,FALSE),0)</f>
        <v/>
      </c>
      <c r="P35" s="16">
        <f>$N35*$O35</f>
        <v/>
      </c>
      <c r="Q35">
        <f>IF($N35&gt;0,"SI","")</f>
        <v/>
      </c>
    </row>
    <row r="36">
      <c r="A36">
        <f>'DISTINTA COMPLETA'!A36</f>
        <v/>
      </c>
      <c r="B36">
        <f>'DISTINTA COMPLETA'!B36</f>
        <v/>
      </c>
      <c r="C36">
        <f>'DISTINTA COMPLETA'!D36</f>
        <v/>
      </c>
      <c r="D36">
        <f>'DISTINTA COMPLETA'!E36</f>
        <v/>
      </c>
      <c r="E36">
        <f>'DISTINTA COMPLETA'!D36</f>
        <v/>
      </c>
      <c r="F36" t="inlineStr">
        <is>
          <t>SKIP</t>
        </is>
      </c>
      <c r="G36">
        <f>0</f>
        <v/>
      </c>
      <c r="H36">
        <f>$G36*0</f>
        <v/>
      </c>
      <c r="I36">
        <f>$G36*0</f>
        <v/>
      </c>
      <c r="J36">
        <f>$G36*0</f>
        <v/>
      </c>
      <c r="K36">
        <f>$G36*0</f>
        <v/>
      </c>
      <c r="L36">
        <f>$G36*0</f>
        <v/>
      </c>
      <c r="M36">
        <f>$G36*0</f>
        <v/>
      </c>
      <c r="N36">
        <f>Cfg_n12*H36+Cfg_n18*I36+Cfg_n20*J36+Cfg_n22*K36+Cfg_n36*L36+Cfg_n40*M36</f>
        <v/>
      </c>
      <c r="O36" s="16">
        <f>IFERROR(VLOOKUP($E36,LISTINO!$B:$G,6,FALSE),0)</f>
        <v/>
      </c>
      <c r="P36" s="16">
        <f>$N36*$O36</f>
        <v/>
      </c>
      <c r="Q36">
        <f>IF($N36&gt;0,"SI","")</f>
        <v/>
      </c>
    </row>
    <row r="37">
      <c r="A37">
        <f>'DISTINTA COMPLETA'!A37</f>
        <v/>
      </c>
      <c r="B37">
        <f>'DISTINTA COMPLETA'!B37</f>
        <v/>
      </c>
      <c r="C37">
        <f>'DISTINTA COMPLETA'!D37</f>
        <v/>
      </c>
      <c r="D37">
        <f>'DISTINTA COMPLETA'!E37</f>
        <v/>
      </c>
      <c r="E37">
        <f>'DISTINTA COMPLETA'!D37</f>
        <v/>
      </c>
      <c r="F37" t="inlineStr">
        <is>
          <t>SKIP</t>
        </is>
      </c>
      <c r="G37">
        <f>0</f>
        <v/>
      </c>
      <c r="H37">
        <f>$G37*0</f>
        <v/>
      </c>
      <c r="I37">
        <f>$G37*0</f>
        <v/>
      </c>
      <c r="J37">
        <f>$G37*0</f>
        <v/>
      </c>
      <c r="K37">
        <f>$G37*0</f>
        <v/>
      </c>
      <c r="L37">
        <f>$G37*0</f>
        <v/>
      </c>
      <c r="M37">
        <f>$G37*0</f>
        <v/>
      </c>
      <c r="N37">
        <f>Cfg_n12*H37+Cfg_n18*I37+Cfg_n20*J37+Cfg_n22*K37+Cfg_n36*L37+Cfg_n40*M37</f>
        <v/>
      </c>
      <c r="O37" s="16">
        <f>IFERROR(VLOOKUP($E37,LISTINO!$B:$G,6,FALSE),0)</f>
        <v/>
      </c>
      <c r="P37" s="16">
        <f>$N37*$O37</f>
        <v/>
      </c>
      <c r="Q37">
        <f>IF($N37&gt;0,"SI","")</f>
        <v/>
      </c>
    </row>
    <row r="38">
      <c r="A38">
        <f>'DISTINTA COMPLETA'!A38</f>
        <v/>
      </c>
      <c r="B38">
        <f>'DISTINTA COMPLETA'!B38</f>
        <v/>
      </c>
      <c r="C38">
        <f>'DISTINTA COMPLETA'!D38</f>
        <v/>
      </c>
      <c r="D38">
        <f>'DISTINTA COMPLETA'!E38</f>
        <v/>
      </c>
      <c r="E38">
        <f>'DISTINTA COMPLETA'!D38</f>
        <v/>
      </c>
      <c r="F38" t="inlineStr">
        <is>
          <t>SKIP</t>
        </is>
      </c>
      <c r="G38">
        <f>0</f>
        <v/>
      </c>
      <c r="H38">
        <f>$G38*0</f>
        <v/>
      </c>
      <c r="I38">
        <f>$G38*0</f>
        <v/>
      </c>
      <c r="J38">
        <f>$G38*0</f>
        <v/>
      </c>
      <c r="K38">
        <f>$G38*0</f>
        <v/>
      </c>
      <c r="L38">
        <f>$G38*0</f>
        <v/>
      </c>
      <c r="M38">
        <f>$G38*0</f>
        <v/>
      </c>
      <c r="N38">
        <f>Cfg_n12*H38+Cfg_n18*I38+Cfg_n20*J38+Cfg_n22*K38+Cfg_n36*L38+Cfg_n40*M38</f>
        <v/>
      </c>
      <c r="O38" s="16">
        <f>IFERROR(VLOOKUP($E38,LISTINO!$B:$G,6,FALSE),0)</f>
        <v/>
      </c>
      <c r="P38" s="16">
        <f>$N38*$O38</f>
        <v/>
      </c>
      <c r="Q38">
        <f>IF($N38&gt;0,"SI","")</f>
        <v/>
      </c>
    </row>
    <row r="39">
      <c r="A39">
        <f>'DISTINTA COMPLETA'!A39</f>
        <v/>
      </c>
      <c r="B39">
        <f>'DISTINTA COMPLETA'!B39</f>
        <v/>
      </c>
      <c r="C39">
        <f>'DISTINTA COMPLETA'!D39</f>
        <v/>
      </c>
      <c r="D39">
        <f>'DISTINTA COMPLETA'!E39</f>
        <v/>
      </c>
      <c r="E39">
        <f>'DISTINTA COMPLETA'!D39</f>
        <v/>
      </c>
      <c r="F39" t="inlineStr">
        <is>
          <t>SKIP</t>
        </is>
      </c>
      <c r="G39">
        <f>0</f>
        <v/>
      </c>
      <c r="H39">
        <f>$G39*0</f>
        <v/>
      </c>
      <c r="I39">
        <f>$G39*0</f>
        <v/>
      </c>
      <c r="J39">
        <f>$G39*0</f>
        <v/>
      </c>
      <c r="K39">
        <f>$G39*0</f>
        <v/>
      </c>
      <c r="L39">
        <f>$G39*0</f>
        <v/>
      </c>
      <c r="M39">
        <f>$G39*0</f>
        <v/>
      </c>
      <c r="N39">
        <f>Cfg_n12*H39+Cfg_n18*I39+Cfg_n20*J39+Cfg_n22*K39+Cfg_n36*L39+Cfg_n40*M39</f>
        <v/>
      </c>
      <c r="O39" s="16">
        <f>IFERROR(VLOOKUP($E39,LISTINO!$B:$G,6,FALSE),0)</f>
        <v/>
      </c>
      <c r="P39" s="16">
        <f>$N39*$O39</f>
        <v/>
      </c>
      <c r="Q39">
        <f>IF($N39&gt;0,"SI","")</f>
        <v/>
      </c>
    </row>
    <row r="40">
      <c r="A40">
        <f>'DISTINTA COMPLETA'!A40</f>
        <v/>
      </c>
      <c r="B40">
        <f>'DISTINTA COMPLETA'!B40</f>
        <v/>
      </c>
      <c r="C40">
        <f>'DISTINTA COMPLETA'!D40</f>
        <v/>
      </c>
      <c r="D40">
        <f>'DISTINTA COMPLETA'!E40</f>
        <v/>
      </c>
      <c r="E40">
        <f>'DISTINTA COMPLETA'!D40</f>
        <v/>
      </c>
      <c r="F40" t="inlineStr">
        <is>
          <t>SKIP</t>
        </is>
      </c>
      <c r="G40">
        <f>0</f>
        <v/>
      </c>
      <c r="H40">
        <f>$G40*0</f>
        <v/>
      </c>
      <c r="I40">
        <f>$G40*0</f>
        <v/>
      </c>
      <c r="J40">
        <f>$G40*0</f>
        <v/>
      </c>
      <c r="K40">
        <f>$G40*0</f>
        <v/>
      </c>
      <c r="L40">
        <f>$G40*0</f>
        <v/>
      </c>
      <c r="M40">
        <f>$G40*0</f>
        <v/>
      </c>
      <c r="N40">
        <f>Cfg_n12*H40+Cfg_n18*I40+Cfg_n20*J40+Cfg_n22*K40+Cfg_n36*L40+Cfg_n40*M40</f>
        <v/>
      </c>
      <c r="O40" s="16">
        <f>IFERROR(VLOOKUP($E40,LISTINO!$B:$G,6,FALSE),0)</f>
        <v/>
      </c>
      <c r="P40" s="16">
        <f>$N40*$O40</f>
        <v/>
      </c>
      <c r="Q40">
        <f>IF($N40&gt;0,"SI","")</f>
        <v/>
      </c>
    </row>
    <row r="41">
      <c r="A41">
        <f>'DISTINTA COMPLETA'!A41</f>
        <v/>
      </c>
      <c r="B41">
        <f>'DISTINTA COMPLETA'!B41</f>
        <v/>
      </c>
      <c r="C41">
        <f>'DISTINTA COMPLETA'!D41</f>
        <v/>
      </c>
      <c r="D41">
        <f>'DISTINTA COMPLETA'!E41</f>
        <v/>
      </c>
      <c r="E41">
        <f>'DISTINTA COMPLETA'!D41</f>
        <v/>
      </c>
      <c r="F41" t="inlineStr">
        <is>
          <t>SKIP</t>
        </is>
      </c>
      <c r="G41">
        <f>0</f>
        <v/>
      </c>
      <c r="H41">
        <f>$G41*0</f>
        <v/>
      </c>
      <c r="I41">
        <f>$G41*0</f>
        <v/>
      </c>
      <c r="J41">
        <f>$G41*0</f>
        <v/>
      </c>
      <c r="K41">
        <f>$G41*0</f>
        <v/>
      </c>
      <c r="L41">
        <f>$G41*0</f>
        <v/>
      </c>
      <c r="M41">
        <f>$G41*0</f>
        <v/>
      </c>
      <c r="N41">
        <f>Cfg_n12*H41+Cfg_n18*I41+Cfg_n20*J41+Cfg_n22*K41+Cfg_n36*L41+Cfg_n40*M41</f>
        <v/>
      </c>
      <c r="O41" s="16">
        <f>IFERROR(VLOOKUP($E41,LISTINO!$B:$G,6,FALSE),0)</f>
        <v/>
      </c>
      <c r="P41" s="16">
        <f>$N41*$O41</f>
        <v/>
      </c>
      <c r="Q41">
        <f>IF($N41&gt;0,"SI","")</f>
        <v/>
      </c>
    </row>
    <row r="42">
      <c r="A42">
        <f>'DISTINTA COMPLETA'!A42</f>
        <v/>
      </c>
      <c r="B42">
        <f>'DISTINTA COMPLETA'!B42</f>
        <v/>
      </c>
      <c r="C42">
        <f>'DISTINTA COMPLETA'!D42</f>
        <v/>
      </c>
      <c r="D42">
        <f>'DISTINTA COMPLETA'!E42</f>
        <v/>
      </c>
      <c r="E42">
        <f>'DISTINTA COMPLETA'!D42</f>
        <v/>
      </c>
      <c r="F42" t="inlineStr">
        <is>
          <t>SKIP</t>
        </is>
      </c>
      <c r="G42">
        <f>0</f>
        <v/>
      </c>
      <c r="H42">
        <f>$G42*0</f>
        <v/>
      </c>
      <c r="I42">
        <f>$G42*0</f>
        <v/>
      </c>
      <c r="J42">
        <f>$G42*0</f>
        <v/>
      </c>
      <c r="K42">
        <f>$G42*0</f>
        <v/>
      </c>
      <c r="L42">
        <f>$G42*0</f>
        <v/>
      </c>
      <c r="M42">
        <f>$G42*0</f>
        <v/>
      </c>
      <c r="N42">
        <f>Cfg_n12*H42+Cfg_n18*I42+Cfg_n20*J42+Cfg_n22*K42+Cfg_n36*L42+Cfg_n40*M42</f>
        <v/>
      </c>
      <c r="O42" s="16">
        <f>IFERROR(VLOOKUP($E42,LISTINO!$B:$G,6,FALSE),0)</f>
        <v/>
      </c>
      <c r="P42" s="16">
        <f>$N42*$O42</f>
        <v/>
      </c>
      <c r="Q42">
        <f>IF($N42&gt;0,"SI","")</f>
        <v/>
      </c>
    </row>
    <row r="43">
      <c r="A43">
        <f>'DISTINTA COMPLETA'!A43</f>
        <v/>
      </c>
      <c r="B43">
        <f>'DISTINTA COMPLETA'!B43</f>
        <v/>
      </c>
      <c r="C43">
        <f>'DISTINTA COMPLETA'!D43</f>
        <v/>
      </c>
      <c r="D43">
        <f>'DISTINTA COMPLETA'!E43</f>
        <v/>
      </c>
      <c r="E43">
        <f>'DISTINTA COMPLETA'!D43</f>
        <v/>
      </c>
      <c r="F43" t="inlineStr">
        <is>
          <t>SKIP</t>
        </is>
      </c>
      <c r="G43">
        <f>0</f>
        <v/>
      </c>
      <c r="H43">
        <f>$G43*0</f>
        <v/>
      </c>
      <c r="I43">
        <f>$G43*0</f>
        <v/>
      </c>
      <c r="J43">
        <f>$G43*0</f>
        <v/>
      </c>
      <c r="K43">
        <f>$G43*0</f>
        <v/>
      </c>
      <c r="L43">
        <f>$G43*0</f>
        <v/>
      </c>
      <c r="M43">
        <f>$G43*0</f>
        <v/>
      </c>
      <c r="N43">
        <f>Cfg_n12*H43+Cfg_n18*I43+Cfg_n20*J43+Cfg_n22*K43+Cfg_n36*L43+Cfg_n40*M43</f>
        <v/>
      </c>
      <c r="O43" s="16">
        <f>IFERROR(VLOOKUP($E43,LISTINO!$B:$G,6,FALSE),0)</f>
        <v/>
      </c>
      <c r="P43" s="16">
        <f>$N43*$O43</f>
        <v/>
      </c>
      <c r="Q43">
        <f>IF($N43&gt;0,"SI","")</f>
        <v/>
      </c>
    </row>
    <row r="44">
      <c r="A44">
        <f>'DISTINTA COMPLETA'!A44</f>
        <v/>
      </c>
      <c r="B44">
        <f>'DISTINTA COMPLETA'!B44</f>
        <v/>
      </c>
      <c r="C44">
        <f>'DISTINTA COMPLETA'!D44</f>
        <v/>
      </c>
      <c r="D44">
        <f>'DISTINTA COMPLETA'!E44</f>
        <v/>
      </c>
      <c r="E44">
        <f>'DISTINTA COMPLETA'!D44</f>
        <v/>
      </c>
      <c r="F44" t="inlineStr">
        <is>
          <t>SKIP</t>
        </is>
      </c>
      <c r="G44">
        <f>0</f>
        <v/>
      </c>
      <c r="H44">
        <f>$G44*0</f>
        <v/>
      </c>
      <c r="I44">
        <f>$G44*0</f>
        <v/>
      </c>
      <c r="J44">
        <f>$G44*0</f>
        <v/>
      </c>
      <c r="K44">
        <f>$G44*0</f>
        <v/>
      </c>
      <c r="L44">
        <f>$G44*0</f>
        <v/>
      </c>
      <c r="M44">
        <f>$G44*0</f>
        <v/>
      </c>
      <c r="N44">
        <f>Cfg_n12*H44+Cfg_n18*I44+Cfg_n20*J44+Cfg_n22*K44+Cfg_n36*L44+Cfg_n40*M44</f>
        <v/>
      </c>
      <c r="O44" s="16">
        <f>IFERROR(VLOOKUP($E44,LISTINO!$B:$G,6,FALSE),0)</f>
        <v/>
      </c>
      <c r="P44" s="16">
        <f>$N44*$O44</f>
        <v/>
      </c>
      <c r="Q44">
        <f>IF($N44&gt;0,"SI","")</f>
        <v/>
      </c>
    </row>
    <row r="45">
      <c r="A45">
        <f>'DISTINTA COMPLETA'!A45</f>
        <v/>
      </c>
      <c r="B45">
        <f>'DISTINTA COMPLETA'!B45</f>
        <v/>
      </c>
      <c r="C45">
        <f>'DISTINTA COMPLETA'!D45</f>
        <v/>
      </c>
      <c r="D45">
        <f>'DISTINTA COMPLETA'!E45</f>
        <v/>
      </c>
      <c r="E45">
        <f>'DISTINTA COMPLETA'!D45</f>
        <v/>
      </c>
      <c r="F45" t="inlineStr">
        <is>
          <t>SKIP</t>
        </is>
      </c>
      <c r="G45">
        <f>0</f>
        <v/>
      </c>
      <c r="H45">
        <f>$G45*0</f>
        <v/>
      </c>
      <c r="I45">
        <f>$G45*0</f>
        <v/>
      </c>
      <c r="J45">
        <f>$G45*0</f>
        <v/>
      </c>
      <c r="K45">
        <f>$G45*0</f>
        <v/>
      </c>
      <c r="L45">
        <f>$G45*0</f>
        <v/>
      </c>
      <c r="M45">
        <f>$G45*0</f>
        <v/>
      </c>
      <c r="N45">
        <f>Cfg_n12*H45+Cfg_n18*I45+Cfg_n20*J45+Cfg_n22*K45+Cfg_n36*L45+Cfg_n40*M45</f>
        <v/>
      </c>
      <c r="O45" s="16">
        <f>IFERROR(VLOOKUP($E45,LISTINO!$B:$G,6,FALSE),0)</f>
        <v/>
      </c>
      <c r="P45" s="16">
        <f>$N45*$O45</f>
        <v/>
      </c>
      <c r="Q45">
        <f>IF($N45&gt;0,"SI","")</f>
        <v/>
      </c>
    </row>
    <row r="46">
      <c r="A46">
        <f>'DISTINTA COMPLETA'!A46</f>
        <v/>
      </c>
      <c r="B46">
        <f>'DISTINTA COMPLETA'!B46</f>
        <v/>
      </c>
      <c r="C46">
        <f>'DISTINTA COMPLETA'!D46</f>
        <v/>
      </c>
      <c r="D46">
        <f>'DISTINTA COMPLETA'!E46</f>
        <v/>
      </c>
      <c r="E46">
        <f>'DISTINTA COMPLETA'!D46</f>
        <v/>
      </c>
      <c r="F46" t="inlineStr">
        <is>
          <t>SKIP</t>
        </is>
      </c>
      <c r="G46">
        <f>0</f>
        <v/>
      </c>
      <c r="H46">
        <f>$G46*0</f>
        <v/>
      </c>
      <c r="I46">
        <f>$G46*0</f>
        <v/>
      </c>
      <c r="J46">
        <f>$G46*0</f>
        <v/>
      </c>
      <c r="K46">
        <f>$G46*0</f>
        <v/>
      </c>
      <c r="L46">
        <f>$G46*0</f>
        <v/>
      </c>
      <c r="M46">
        <f>$G46*0</f>
        <v/>
      </c>
      <c r="N46">
        <f>Cfg_n12*H46+Cfg_n18*I46+Cfg_n20*J46+Cfg_n22*K46+Cfg_n36*L46+Cfg_n40*M46</f>
        <v/>
      </c>
      <c r="O46" s="16">
        <f>IFERROR(VLOOKUP($E46,LISTINO!$B:$G,6,FALSE),0)</f>
        <v/>
      </c>
      <c r="P46" s="16">
        <f>$N46*$O46</f>
        <v/>
      </c>
      <c r="Q46">
        <f>IF($N46&gt;0,"SI","")</f>
        <v/>
      </c>
    </row>
    <row r="47">
      <c r="A47">
        <f>'DISTINTA COMPLETA'!A47</f>
        <v/>
      </c>
      <c r="B47">
        <f>'DISTINTA COMPLETA'!B47</f>
        <v/>
      </c>
      <c r="C47">
        <f>'DISTINTA COMPLETA'!D47</f>
        <v/>
      </c>
      <c r="D47">
        <f>'DISTINTA COMPLETA'!E47</f>
        <v/>
      </c>
      <c r="E47">
        <f>'DISTINTA COMPLETA'!D47</f>
        <v/>
      </c>
      <c r="F47" t="inlineStr">
        <is>
          <t>SKIP</t>
        </is>
      </c>
      <c r="G47">
        <f>0</f>
        <v/>
      </c>
      <c r="H47">
        <f>$G47*0</f>
        <v/>
      </c>
      <c r="I47">
        <f>$G47*0</f>
        <v/>
      </c>
      <c r="J47">
        <f>$G47*0</f>
        <v/>
      </c>
      <c r="K47">
        <f>$G47*0</f>
        <v/>
      </c>
      <c r="L47">
        <f>$G47*0</f>
        <v/>
      </c>
      <c r="M47">
        <f>$G47*0</f>
        <v/>
      </c>
      <c r="N47">
        <f>Cfg_n12*H47+Cfg_n18*I47+Cfg_n20*J47+Cfg_n22*K47+Cfg_n36*L47+Cfg_n40*M47</f>
        <v/>
      </c>
      <c r="O47" s="16">
        <f>IFERROR(VLOOKUP($E47,LISTINO!$B:$G,6,FALSE),0)</f>
        <v/>
      </c>
      <c r="P47" s="16">
        <f>$N47*$O47</f>
        <v/>
      </c>
      <c r="Q47">
        <f>IF($N47&gt;0,"SI","")</f>
        <v/>
      </c>
    </row>
    <row r="48">
      <c r="A48">
        <f>'DISTINTA COMPLETA'!A48</f>
        <v/>
      </c>
      <c r="B48">
        <f>'DISTINTA COMPLETA'!B48</f>
        <v/>
      </c>
      <c r="C48">
        <f>'DISTINTA COMPLETA'!D48</f>
        <v/>
      </c>
      <c r="D48">
        <f>'DISTINTA COMPLETA'!E48</f>
        <v/>
      </c>
      <c r="E48">
        <f>'DISTINTA COMPLETA'!D48</f>
        <v/>
      </c>
      <c r="F48" t="inlineStr">
        <is>
          <t>SKIP</t>
        </is>
      </c>
      <c r="G48">
        <f>0</f>
        <v/>
      </c>
      <c r="H48">
        <f>$G48*0</f>
        <v/>
      </c>
      <c r="I48">
        <f>$G48*0</f>
        <v/>
      </c>
      <c r="J48">
        <f>$G48*0</f>
        <v/>
      </c>
      <c r="K48">
        <f>$G48*0</f>
        <v/>
      </c>
      <c r="L48">
        <f>$G48*0</f>
        <v/>
      </c>
      <c r="M48">
        <f>$G48*0</f>
        <v/>
      </c>
      <c r="N48">
        <f>Cfg_n12*H48+Cfg_n18*I48+Cfg_n20*J48+Cfg_n22*K48+Cfg_n36*L48+Cfg_n40*M48</f>
        <v/>
      </c>
      <c r="O48" s="16">
        <f>IFERROR(VLOOKUP($E48,LISTINO!$B:$G,6,FALSE),0)</f>
        <v/>
      </c>
      <c r="P48" s="16">
        <f>$N48*$O48</f>
        <v/>
      </c>
      <c r="Q48">
        <f>IF($N48&gt;0,"SI","")</f>
        <v/>
      </c>
    </row>
    <row r="49">
      <c r="A49">
        <f>'DISTINTA COMPLETA'!A49</f>
        <v/>
      </c>
      <c r="B49">
        <f>'DISTINTA COMPLETA'!B49</f>
        <v/>
      </c>
      <c r="C49">
        <f>'DISTINTA COMPLETA'!D49</f>
        <v/>
      </c>
      <c r="D49">
        <f>'DISTINTA COMPLETA'!E49</f>
        <v/>
      </c>
      <c r="E49">
        <f>'DISTINTA COMPLETA'!D49</f>
        <v/>
      </c>
      <c r="F49" t="inlineStr">
        <is>
          <t>SKIP</t>
        </is>
      </c>
      <c r="G49">
        <f>0</f>
        <v/>
      </c>
      <c r="H49">
        <f>$G49*0</f>
        <v/>
      </c>
      <c r="I49">
        <f>$G49*0</f>
        <v/>
      </c>
      <c r="J49">
        <f>$G49*0</f>
        <v/>
      </c>
      <c r="K49">
        <f>$G49*0</f>
        <v/>
      </c>
      <c r="L49">
        <f>$G49*0</f>
        <v/>
      </c>
      <c r="M49">
        <f>$G49*0</f>
        <v/>
      </c>
      <c r="N49">
        <f>Cfg_n12*H49+Cfg_n18*I49+Cfg_n20*J49+Cfg_n22*K49+Cfg_n36*L49+Cfg_n40*M49</f>
        <v/>
      </c>
      <c r="O49" s="16">
        <f>IFERROR(VLOOKUP($E49,LISTINO!$B:$G,6,FALSE),0)</f>
        <v/>
      </c>
      <c r="P49" s="16">
        <f>$N49*$O49</f>
        <v/>
      </c>
      <c r="Q49">
        <f>IF($N49&gt;0,"SI","")</f>
        <v/>
      </c>
    </row>
    <row r="50">
      <c r="A50">
        <f>'DISTINTA COMPLETA'!A50</f>
        <v/>
      </c>
      <c r="B50">
        <f>'DISTINTA COMPLETA'!B50</f>
        <v/>
      </c>
      <c r="C50">
        <f>'DISTINTA COMPLETA'!D50</f>
        <v/>
      </c>
      <c r="D50">
        <f>'DISTINTA COMPLETA'!E50</f>
        <v/>
      </c>
      <c r="E50">
        <f>'DISTINTA COMPLETA'!D50</f>
        <v/>
      </c>
      <c r="F50" t="inlineStr">
        <is>
          <t>SKIP</t>
        </is>
      </c>
      <c r="G50">
        <f>0</f>
        <v/>
      </c>
      <c r="H50">
        <f>$G50*0</f>
        <v/>
      </c>
      <c r="I50">
        <f>$G50*0</f>
        <v/>
      </c>
      <c r="J50">
        <f>$G50*0</f>
        <v/>
      </c>
      <c r="K50">
        <f>$G50*0</f>
        <v/>
      </c>
      <c r="L50">
        <f>$G50*0</f>
        <v/>
      </c>
      <c r="M50">
        <f>$G50*0</f>
        <v/>
      </c>
      <c r="N50">
        <f>Cfg_n12*H50+Cfg_n18*I50+Cfg_n20*J50+Cfg_n22*K50+Cfg_n36*L50+Cfg_n40*M50</f>
        <v/>
      </c>
      <c r="O50" s="16">
        <f>IFERROR(VLOOKUP($E50,LISTINO!$B:$G,6,FALSE),0)</f>
        <v/>
      </c>
      <c r="P50" s="16">
        <f>$N50*$O50</f>
        <v/>
      </c>
      <c r="Q50">
        <f>IF($N50&gt;0,"SI","")</f>
        <v/>
      </c>
    </row>
    <row r="51">
      <c r="A51">
        <f>'DISTINTA COMPLETA'!A51</f>
        <v/>
      </c>
      <c r="B51">
        <f>'DISTINTA COMPLETA'!B51</f>
        <v/>
      </c>
      <c r="C51">
        <f>'DISTINTA COMPLETA'!D51</f>
        <v/>
      </c>
      <c r="D51">
        <f>'DISTINTA COMPLETA'!E51</f>
        <v/>
      </c>
      <c r="E51">
        <f>'DISTINTA COMPLETA'!D51</f>
        <v/>
      </c>
      <c r="F51" t="inlineStr">
        <is>
          <t>SKIP</t>
        </is>
      </c>
      <c r="G51">
        <f>0</f>
        <v/>
      </c>
      <c r="H51">
        <f>$G51*0</f>
        <v/>
      </c>
      <c r="I51">
        <f>$G51*0</f>
        <v/>
      </c>
      <c r="J51">
        <f>$G51*0</f>
        <v/>
      </c>
      <c r="K51">
        <f>$G51*0</f>
        <v/>
      </c>
      <c r="L51">
        <f>$G51*0</f>
        <v/>
      </c>
      <c r="M51">
        <f>$G51*0</f>
        <v/>
      </c>
      <c r="N51">
        <f>Cfg_n12*H51+Cfg_n18*I51+Cfg_n20*J51+Cfg_n22*K51+Cfg_n36*L51+Cfg_n40*M51</f>
        <v/>
      </c>
      <c r="O51" s="16">
        <f>IFERROR(VLOOKUP($E51,LISTINO!$B:$G,6,FALSE),0)</f>
        <v/>
      </c>
      <c r="P51" s="16">
        <f>$N51*$O51</f>
        <v/>
      </c>
      <c r="Q51">
        <f>IF($N51&gt;0,"SI","")</f>
        <v/>
      </c>
    </row>
    <row r="52">
      <c r="A52">
        <f>'DISTINTA COMPLETA'!A52</f>
        <v/>
      </c>
      <c r="B52">
        <f>'DISTINTA COMPLETA'!B52</f>
        <v/>
      </c>
      <c r="C52">
        <f>'DISTINTA COMPLETA'!D52</f>
        <v/>
      </c>
      <c r="D52">
        <f>'DISTINTA COMPLETA'!E52</f>
        <v/>
      </c>
      <c r="E52">
        <f>'DISTINTA COMPLETA'!D52</f>
        <v/>
      </c>
      <c r="F52" t="inlineStr">
        <is>
          <t>SKIP</t>
        </is>
      </c>
      <c r="G52">
        <f>0</f>
        <v/>
      </c>
      <c r="H52">
        <f>$G52*0</f>
        <v/>
      </c>
      <c r="I52">
        <f>$G52*0</f>
        <v/>
      </c>
      <c r="J52">
        <f>$G52*0</f>
        <v/>
      </c>
      <c r="K52">
        <f>$G52*0</f>
        <v/>
      </c>
      <c r="L52">
        <f>$G52*0</f>
        <v/>
      </c>
      <c r="M52">
        <f>$G52*0</f>
        <v/>
      </c>
      <c r="N52">
        <f>Cfg_n12*H52+Cfg_n18*I52+Cfg_n20*J52+Cfg_n22*K52+Cfg_n36*L52+Cfg_n40*M52</f>
        <v/>
      </c>
      <c r="O52" s="16">
        <f>IFERROR(VLOOKUP($E52,LISTINO!$B:$G,6,FALSE),0)</f>
        <v/>
      </c>
      <c r="P52" s="16">
        <f>$N52*$O52</f>
        <v/>
      </c>
      <c r="Q52">
        <f>IF($N52&gt;0,"SI","")</f>
        <v/>
      </c>
    </row>
    <row r="53">
      <c r="A53">
        <f>'DISTINTA COMPLETA'!A53</f>
        <v/>
      </c>
      <c r="B53">
        <f>'DISTINTA COMPLETA'!B53</f>
        <v/>
      </c>
      <c r="C53">
        <f>'DISTINTA COMPLETA'!D53</f>
        <v/>
      </c>
      <c r="D53">
        <f>'DISTINTA COMPLETA'!E53</f>
        <v/>
      </c>
      <c r="E53">
        <f>'DISTINTA COMPLETA'!D53</f>
        <v/>
      </c>
      <c r="F53" t="inlineStr">
        <is>
          <t>SKIP</t>
        </is>
      </c>
      <c r="G53">
        <f>0</f>
        <v/>
      </c>
      <c r="H53">
        <f>$G53*0</f>
        <v/>
      </c>
      <c r="I53">
        <f>$G53*0</f>
        <v/>
      </c>
      <c r="J53">
        <f>$G53*0</f>
        <v/>
      </c>
      <c r="K53">
        <f>$G53*0</f>
        <v/>
      </c>
      <c r="L53">
        <f>$G53*0</f>
        <v/>
      </c>
      <c r="M53">
        <f>$G53*0</f>
        <v/>
      </c>
      <c r="N53">
        <f>Cfg_n12*H53+Cfg_n18*I53+Cfg_n20*J53+Cfg_n22*K53+Cfg_n36*L53+Cfg_n40*M53</f>
        <v/>
      </c>
      <c r="O53" s="16">
        <f>IFERROR(VLOOKUP($E53,LISTINO!$B:$G,6,FALSE),0)</f>
        <v/>
      </c>
      <c r="P53" s="16">
        <f>$N53*$O53</f>
        <v/>
      </c>
      <c r="Q53">
        <f>IF($N53&gt;0,"SI","")</f>
        <v/>
      </c>
    </row>
    <row r="54">
      <c r="A54">
        <f>'DISTINTA COMPLETA'!A54</f>
        <v/>
      </c>
      <c r="B54">
        <f>'DISTINTA COMPLETA'!B54</f>
        <v/>
      </c>
      <c r="C54">
        <f>'DISTINTA COMPLETA'!D54</f>
        <v/>
      </c>
      <c r="D54">
        <f>'DISTINTA COMPLETA'!E54</f>
        <v/>
      </c>
      <c r="E54">
        <f>'DISTINTA COMPLETA'!D54</f>
        <v/>
      </c>
      <c r="F54" t="inlineStr">
        <is>
          <t>SKIP</t>
        </is>
      </c>
      <c r="G54">
        <f>0</f>
        <v/>
      </c>
      <c r="H54">
        <f>$G54*0</f>
        <v/>
      </c>
      <c r="I54">
        <f>$G54*0</f>
        <v/>
      </c>
      <c r="J54">
        <f>$G54*0</f>
        <v/>
      </c>
      <c r="K54">
        <f>$G54*0</f>
        <v/>
      </c>
      <c r="L54">
        <f>$G54*0</f>
        <v/>
      </c>
      <c r="M54">
        <f>$G54*0</f>
        <v/>
      </c>
      <c r="N54">
        <f>Cfg_n12*H54+Cfg_n18*I54+Cfg_n20*J54+Cfg_n22*K54+Cfg_n36*L54+Cfg_n40*M54</f>
        <v/>
      </c>
      <c r="O54" s="16">
        <f>IFERROR(VLOOKUP($E54,LISTINO!$B:$G,6,FALSE),0)</f>
        <v/>
      </c>
      <c r="P54" s="16">
        <f>$N54*$O54</f>
        <v/>
      </c>
      <c r="Q54">
        <f>IF($N54&gt;0,"SI","")</f>
        <v/>
      </c>
    </row>
    <row r="55">
      <c r="A55">
        <f>'DISTINTA COMPLETA'!A55</f>
        <v/>
      </c>
      <c r="B55">
        <f>'DISTINTA COMPLETA'!B55</f>
        <v/>
      </c>
      <c r="C55">
        <f>'DISTINTA COMPLETA'!D55</f>
        <v/>
      </c>
      <c r="D55">
        <f>'DISTINTA COMPLETA'!E55</f>
        <v/>
      </c>
      <c r="E55">
        <f>'DISTINTA COMPLETA'!D55</f>
        <v/>
      </c>
      <c r="F55" t="inlineStr">
        <is>
          <t>SKIP</t>
        </is>
      </c>
      <c r="G55">
        <f>0</f>
        <v/>
      </c>
      <c r="H55">
        <f>$G55*0</f>
        <v/>
      </c>
      <c r="I55">
        <f>$G55*0</f>
        <v/>
      </c>
      <c r="J55">
        <f>$G55*0</f>
        <v/>
      </c>
      <c r="K55">
        <f>$G55*0</f>
        <v/>
      </c>
      <c r="L55">
        <f>$G55*0</f>
        <v/>
      </c>
      <c r="M55">
        <f>$G55*0</f>
        <v/>
      </c>
      <c r="N55">
        <f>Cfg_n12*H55+Cfg_n18*I55+Cfg_n20*J55+Cfg_n22*K55+Cfg_n36*L55+Cfg_n40*M55</f>
        <v/>
      </c>
      <c r="O55" s="16">
        <f>IFERROR(VLOOKUP($E55,LISTINO!$B:$G,6,FALSE),0)</f>
        <v/>
      </c>
      <c r="P55" s="16">
        <f>$N55*$O55</f>
        <v/>
      </c>
      <c r="Q55">
        <f>IF($N55&gt;0,"SI","")</f>
        <v/>
      </c>
    </row>
    <row r="56">
      <c r="A56">
        <f>'DISTINTA COMPLETA'!A56</f>
        <v/>
      </c>
      <c r="B56">
        <f>'DISTINTA COMPLETA'!B56</f>
        <v/>
      </c>
      <c r="C56">
        <f>'DISTINTA COMPLETA'!D56</f>
        <v/>
      </c>
      <c r="D56">
        <f>'DISTINTA COMPLETA'!E56</f>
        <v/>
      </c>
      <c r="E56">
        <f>'DISTINTA COMPLETA'!D56</f>
        <v/>
      </c>
      <c r="F56" t="inlineStr">
        <is>
          <t>SKIP</t>
        </is>
      </c>
      <c r="G56">
        <f>0</f>
        <v/>
      </c>
      <c r="H56">
        <f>$G56*0</f>
        <v/>
      </c>
      <c r="I56">
        <f>$G56*0</f>
        <v/>
      </c>
      <c r="J56">
        <f>$G56*0</f>
        <v/>
      </c>
      <c r="K56">
        <f>$G56*0</f>
        <v/>
      </c>
      <c r="L56">
        <f>$G56*0</f>
        <v/>
      </c>
      <c r="M56">
        <f>$G56*0</f>
        <v/>
      </c>
      <c r="N56">
        <f>Cfg_n12*H56+Cfg_n18*I56+Cfg_n20*J56+Cfg_n22*K56+Cfg_n36*L56+Cfg_n40*M56</f>
        <v/>
      </c>
      <c r="O56" s="16">
        <f>IFERROR(VLOOKUP($E56,LISTINO!$B:$G,6,FALSE),0)</f>
        <v/>
      </c>
      <c r="P56" s="16">
        <f>$N56*$O56</f>
        <v/>
      </c>
      <c r="Q56">
        <f>IF($N56&gt;0,"SI","")</f>
        <v/>
      </c>
    </row>
    <row r="57">
      <c r="A57">
        <f>'DISTINTA COMPLETA'!A57</f>
        <v/>
      </c>
      <c r="B57">
        <f>'DISTINTA COMPLETA'!B57</f>
        <v/>
      </c>
      <c r="C57">
        <f>'DISTINTA COMPLETA'!D57</f>
        <v/>
      </c>
      <c r="D57">
        <f>'DISTINTA COMPLETA'!E57</f>
        <v/>
      </c>
      <c r="E57">
        <f>'DISTINTA COMPLETA'!D57</f>
        <v/>
      </c>
      <c r="F57" t="inlineStr">
        <is>
          <t>SKIP</t>
        </is>
      </c>
      <c r="G57">
        <f>0</f>
        <v/>
      </c>
      <c r="H57">
        <f>$G57*0</f>
        <v/>
      </c>
      <c r="I57">
        <f>$G57*0</f>
        <v/>
      </c>
      <c r="J57">
        <f>$G57*0</f>
        <v/>
      </c>
      <c r="K57">
        <f>$G57*0</f>
        <v/>
      </c>
      <c r="L57">
        <f>$G57*0</f>
        <v/>
      </c>
      <c r="M57">
        <f>$G57*0</f>
        <v/>
      </c>
      <c r="N57">
        <f>Cfg_n12*H57+Cfg_n18*I57+Cfg_n20*J57+Cfg_n22*K57+Cfg_n36*L57+Cfg_n40*M57</f>
        <v/>
      </c>
      <c r="O57" s="16">
        <f>IFERROR(VLOOKUP($E57,LISTINO!$B:$G,6,FALSE),0)</f>
        <v/>
      </c>
      <c r="P57" s="16">
        <f>$N57*$O57</f>
        <v/>
      </c>
      <c r="Q57">
        <f>IF($N57&gt;0,"SI","")</f>
        <v/>
      </c>
    </row>
    <row r="58">
      <c r="A58">
        <f>'DISTINTA COMPLETA'!A58</f>
        <v/>
      </c>
      <c r="B58">
        <f>'DISTINTA COMPLETA'!B58</f>
        <v/>
      </c>
      <c r="C58">
        <f>'DISTINTA COMPLETA'!D58</f>
        <v/>
      </c>
      <c r="D58">
        <f>'DISTINTA COMPLETA'!E58</f>
        <v/>
      </c>
      <c r="E58">
        <f>'DISTINTA COMPLETA'!D58</f>
        <v/>
      </c>
      <c r="F58" t="inlineStr">
        <is>
          <t>SKIP</t>
        </is>
      </c>
      <c r="G58">
        <f>0</f>
        <v/>
      </c>
      <c r="H58">
        <f>$G58*0</f>
        <v/>
      </c>
      <c r="I58">
        <f>$G58*0</f>
        <v/>
      </c>
      <c r="J58">
        <f>$G58*0</f>
        <v/>
      </c>
      <c r="K58">
        <f>$G58*0</f>
        <v/>
      </c>
      <c r="L58">
        <f>$G58*0</f>
        <v/>
      </c>
      <c r="M58">
        <f>$G58*0</f>
        <v/>
      </c>
      <c r="N58">
        <f>Cfg_n12*H58+Cfg_n18*I58+Cfg_n20*J58+Cfg_n22*K58+Cfg_n36*L58+Cfg_n40*M58</f>
        <v/>
      </c>
      <c r="O58" s="16">
        <f>IFERROR(VLOOKUP($E58,LISTINO!$B:$G,6,FALSE),0)</f>
        <v/>
      </c>
      <c r="P58" s="16">
        <f>$N58*$O58</f>
        <v/>
      </c>
      <c r="Q58">
        <f>IF($N58&gt;0,"SI","")</f>
        <v/>
      </c>
    </row>
    <row r="59">
      <c r="A59">
        <f>'DISTINTA COMPLETA'!A59</f>
        <v/>
      </c>
      <c r="B59">
        <f>'DISTINTA COMPLETA'!B59</f>
        <v/>
      </c>
      <c r="C59">
        <f>'DISTINTA COMPLETA'!D59</f>
        <v/>
      </c>
      <c r="D59">
        <f>'DISTINTA COMPLETA'!E59</f>
        <v/>
      </c>
      <c r="E59">
        <f>'DISTINTA COMPLETA'!D59</f>
        <v/>
      </c>
      <c r="F59" t="inlineStr">
        <is>
          <t>SKIP</t>
        </is>
      </c>
      <c r="G59">
        <f>0</f>
        <v/>
      </c>
      <c r="H59">
        <f>$G59*0</f>
        <v/>
      </c>
      <c r="I59">
        <f>$G59*0</f>
        <v/>
      </c>
      <c r="J59">
        <f>$G59*0</f>
        <v/>
      </c>
      <c r="K59">
        <f>$G59*0</f>
        <v/>
      </c>
      <c r="L59">
        <f>$G59*0</f>
        <v/>
      </c>
      <c r="M59">
        <f>$G59*0</f>
        <v/>
      </c>
      <c r="N59">
        <f>Cfg_n12*H59+Cfg_n18*I59+Cfg_n20*J59+Cfg_n22*K59+Cfg_n36*L59+Cfg_n40*M59</f>
        <v/>
      </c>
      <c r="O59" s="16">
        <f>IFERROR(VLOOKUP($E59,LISTINO!$B:$G,6,FALSE),0)</f>
        <v/>
      </c>
      <c r="P59" s="16">
        <f>$N59*$O59</f>
        <v/>
      </c>
      <c r="Q59">
        <f>IF($N59&gt;0,"SI","")</f>
        <v/>
      </c>
    </row>
    <row r="60">
      <c r="A60">
        <f>'DISTINTA COMPLETA'!A60</f>
        <v/>
      </c>
      <c r="B60">
        <f>'DISTINTA COMPLETA'!B60</f>
        <v/>
      </c>
      <c r="C60">
        <f>'DISTINTA COMPLETA'!D60</f>
        <v/>
      </c>
      <c r="D60">
        <f>'DISTINTA COMPLETA'!E60</f>
        <v/>
      </c>
      <c r="E60">
        <f>'DISTINTA COMPLETA'!D60</f>
        <v/>
      </c>
      <c r="F60" t="inlineStr">
        <is>
          <t>SKIP</t>
        </is>
      </c>
      <c r="G60">
        <f>0</f>
        <v/>
      </c>
      <c r="H60">
        <f>$G60*0</f>
        <v/>
      </c>
      <c r="I60">
        <f>$G60*0</f>
        <v/>
      </c>
      <c r="J60">
        <f>$G60*0</f>
        <v/>
      </c>
      <c r="K60">
        <f>$G60*0</f>
        <v/>
      </c>
      <c r="L60">
        <f>$G60*0</f>
        <v/>
      </c>
      <c r="M60">
        <f>$G60*0</f>
        <v/>
      </c>
      <c r="N60">
        <f>Cfg_n12*H60+Cfg_n18*I60+Cfg_n20*J60+Cfg_n22*K60+Cfg_n36*L60+Cfg_n40*M60</f>
        <v/>
      </c>
      <c r="O60" s="16">
        <f>IFERROR(VLOOKUP($E60,LISTINO!$B:$G,6,FALSE),0)</f>
        <v/>
      </c>
      <c r="P60" s="16">
        <f>$N60*$O60</f>
        <v/>
      </c>
      <c r="Q60">
        <f>IF($N60&gt;0,"SI","")</f>
        <v/>
      </c>
    </row>
    <row r="61">
      <c r="A61">
        <f>'DISTINTA COMPLETA'!A61</f>
        <v/>
      </c>
      <c r="B61">
        <f>'DISTINTA COMPLETA'!B61</f>
        <v/>
      </c>
      <c r="C61">
        <f>'DISTINTA COMPLETA'!D61</f>
        <v/>
      </c>
      <c r="D61">
        <f>'DISTINTA COMPLETA'!E61</f>
        <v/>
      </c>
      <c r="E61">
        <f>'DISTINTA COMPLETA'!D61</f>
        <v/>
      </c>
      <c r="F61" t="inlineStr">
        <is>
          <t>SKIP</t>
        </is>
      </c>
      <c r="G61">
        <f>0</f>
        <v/>
      </c>
      <c r="H61">
        <f>$G61*0</f>
        <v/>
      </c>
      <c r="I61">
        <f>$G61*0</f>
        <v/>
      </c>
      <c r="J61">
        <f>$G61*0</f>
        <v/>
      </c>
      <c r="K61">
        <f>$G61*0</f>
        <v/>
      </c>
      <c r="L61">
        <f>$G61*0</f>
        <v/>
      </c>
      <c r="M61">
        <f>$G61*0</f>
        <v/>
      </c>
      <c r="N61">
        <f>Cfg_n12*H61+Cfg_n18*I61+Cfg_n20*J61+Cfg_n22*K61+Cfg_n36*L61+Cfg_n40*M61</f>
        <v/>
      </c>
      <c r="O61" s="16">
        <f>IFERROR(VLOOKUP($E61,LISTINO!$B:$G,6,FALSE),0)</f>
        <v/>
      </c>
      <c r="P61" s="16">
        <f>$N61*$O61</f>
        <v/>
      </c>
      <c r="Q61">
        <f>IF($N61&gt;0,"SI","")</f>
        <v/>
      </c>
    </row>
    <row r="62">
      <c r="A62">
        <f>'DISTINTA COMPLETA'!A62</f>
        <v/>
      </c>
      <c r="B62">
        <f>'DISTINTA COMPLETA'!B62</f>
        <v/>
      </c>
      <c r="C62">
        <f>'DISTINTA COMPLETA'!D62</f>
        <v/>
      </c>
      <c r="D62">
        <f>'DISTINTA COMPLETA'!E62</f>
        <v/>
      </c>
      <c r="E62">
        <f>'DISTINTA COMPLETA'!D62</f>
        <v/>
      </c>
      <c r="F62" t="inlineStr">
        <is>
          <t>GIUNZ</t>
        </is>
      </c>
      <c r="G62">
        <f>IF(Cfg_Struttura="Agrivoltaico",1,0)</f>
        <v/>
      </c>
      <c r="H62">
        <f>$G62*2</f>
        <v/>
      </c>
      <c r="I62">
        <f>$G62*2</f>
        <v/>
      </c>
      <c r="J62">
        <f>$G62*2</f>
        <v/>
      </c>
      <c r="K62">
        <f>$G62*2</f>
        <v/>
      </c>
      <c r="L62">
        <f>$G62*2</f>
        <v/>
      </c>
      <c r="M62">
        <f>$G62*2</f>
        <v/>
      </c>
      <c r="N62">
        <f>Cfg_n12*H62+Cfg_n18*I62+Cfg_n20*J62+Cfg_n22*K62+Cfg_n36*L62+Cfg_n40*M62</f>
        <v/>
      </c>
      <c r="O62" s="16">
        <f>IFERROR(VLOOKUP($E62,LISTINO!$B:$G,6,FALSE),0)</f>
        <v/>
      </c>
      <c r="P62" s="16">
        <f>$N62*$O62</f>
        <v/>
      </c>
      <c r="Q62">
        <f>IF($N62&gt;0,"SI","")</f>
        <v/>
      </c>
    </row>
    <row r="63">
      <c r="A63">
        <f>'DISTINTA COMPLETA'!A63</f>
        <v/>
      </c>
      <c r="B63">
        <f>'DISTINTA COMPLETA'!B63</f>
        <v/>
      </c>
      <c r="C63">
        <f>'DISTINTA COMPLETA'!D63</f>
        <v/>
      </c>
      <c r="D63">
        <f>'DISTINTA COMPLETA'!E63</f>
        <v/>
      </c>
      <c r="E63">
        <f>'DISTINTA COMPLETA'!D63</f>
        <v/>
      </c>
      <c r="F63" t="inlineStr">
        <is>
          <t>GIUNZ</t>
        </is>
      </c>
      <c r="G63">
        <f>IF(Cfg_Struttura="Agrivoltaico",1,0)</f>
        <v/>
      </c>
      <c r="H63">
        <f>$G63*8</f>
        <v/>
      </c>
      <c r="I63">
        <f>$G63*8</f>
        <v/>
      </c>
      <c r="J63">
        <f>$G63*8</f>
        <v/>
      </c>
      <c r="K63">
        <f>$G63*8</f>
        <v/>
      </c>
      <c r="L63">
        <f>$G63*8</f>
        <v/>
      </c>
      <c r="M63">
        <f>$G63*8</f>
        <v/>
      </c>
      <c r="N63">
        <f>Cfg_n12*H63+Cfg_n18*I63+Cfg_n20*J63+Cfg_n22*K63+Cfg_n36*L63+Cfg_n40*M63</f>
        <v/>
      </c>
      <c r="O63" s="16">
        <f>IFERROR(VLOOKUP($E63,LISTINO!$B:$G,6,FALSE),0)</f>
        <v/>
      </c>
      <c r="P63" s="16">
        <f>$N63*$O63</f>
        <v/>
      </c>
      <c r="Q63">
        <f>IF($N63&gt;0,"SI","")</f>
        <v/>
      </c>
    </row>
    <row r="64">
      <c r="A64">
        <f>'DISTINTA COMPLETA'!A64</f>
        <v/>
      </c>
      <c r="B64">
        <f>'DISTINTA COMPLETA'!B64</f>
        <v/>
      </c>
      <c r="C64">
        <f>'DISTINTA COMPLETA'!D64</f>
        <v/>
      </c>
      <c r="D64">
        <f>'DISTINTA COMPLETA'!E64</f>
        <v/>
      </c>
      <c r="E64">
        <f>'DISTINTA COMPLETA'!D64</f>
        <v/>
      </c>
      <c r="F64" t="inlineStr">
        <is>
          <t>GIUNZ</t>
        </is>
      </c>
      <c r="G64">
        <f>IF(Cfg_Struttura="Agrivoltaico",1,0)</f>
        <v/>
      </c>
      <c r="H64">
        <f>$G64*8</f>
        <v/>
      </c>
      <c r="I64">
        <f>$G64*8</f>
        <v/>
      </c>
      <c r="J64">
        <f>$G64*8</f>
        <v/>
      </c>
      <c r="K64">
        <f>$G64*8</f>
        <v/>
      </c>
      <c r="L64">
        <f>$G64*8</f>
        <v/>
      </c>
      <c r="M64">
        <f>$G64*8</f>
        <v/>
      </c>
      <c r="N64">
        <f>Cfg_n12*H64+Cfg_n18*I64+Cfg_n20*J64+Cfg_n22*K64+Cfg_n36*L64+Cfg_n40*M64</f>
        <v/>
      </c>
      <c r="O64" s="16">
        <f>IFERROR(VLOOKUP($E64,LISTINO!$B:$G,6,FALSE),0)</f>
        <v/>
      </c>
      <c r="P64" s="16">
        <f>$N64*$O64</f>
        <v/>
      </c>
      <c r="Q64">
        <f>IF($N64&gt;0,"SI","")</f>
        <v/>
      </c>
    </row>
    <row r="65">
      <c r="A65">
        <f>'DISTINTA COMPLETA'!A65</f>
        <v/>
      </c>
      <c r="B65">
        <f>'DISTINTA COMPLETA'!B65</f>
        <v/>
      </c>
      <c r="C65">
        <f>'DISTINTA COMPLETA'!D65</f>
        <v/>
      </c>
      <c r="D65">
        <f>'DISTINTA COMPLETA'!E65</f>
        <v/>
      </c>
      <c r="E65">
        <f>'DISTINTA COMPLETA'!D65</f>
        <v/>
      </c>
      <c r="F65" t="inlineStr">
        <is>
          <t>GIUNZ</t>
        </is>
      </c>
      <c r="G65">
        <f>IF(Cfg_Struttura="Agrivoltaico",1,0)</f>
        <v/>
      </c>
      <c r="H65">
        <f>$G65*8</f>
        <v/>
      </c>
      <c r="I65">
        <f>$G65*8</f>
        <v/>
      </c>
      <c r="J65">
        <f>$G65*8</f>
        <v/>
      </c>
      <c r="K65">
        <f>$G65*8</f>
        <v/>
      </c>
      <c r="L65">
        <f>$G65*8</f>
        <v/>
      </c>
      <c r="M65">
        <f>$G65*8</f>
        <v/>
      </c>
      <c r="N65">
        <f>Cfg_n12*H65+Cfg_n18*I65+Cfg_n20*J65+Cfg_n22*K65+Cfg_n36*L65+Cfg_n40*M65</f>
        <v/>
      </c>
      <c r="O65" s="16">
        <f>IFERROR(VLOOKUP($E65,LISTINO!$B:$G,6,FALSE),0)</f>
        <v/>
      </c>
      <c r="P65" s="16">
        <f>$N65*$O65</f>
        <v/>
      </c>
      <c r="Q65">
        <f>IF($N65&gt;0,"SI","")</f>
        <v/>
      </c>
    </row>
    <row r="66">
      <c r="A66">
        <f>'DISTINTA COMPLETA'!A66</f>
        <v/>
      </c>
      <c r="B66">
        <f>'DISTINTA COMPLETA'!B66</f>
        <v/>
      </c>
      <c r="C66">
        <f>'DISTINTA COMPLETA'!D66</f>
        <v/>
      </c>
      <c r="D66">
        <f>'DISTINTA COMPLETA'!E66</f>
        <v/>
      </c>
      <c r="E66">
        <f>'DISTINTA COMPLETA'!D66</f>
        <v/>
      </c>
      <c r="F66" t="inlineStr">
        <is>
          <t>GIUNZ</t>
        </is>
      </c>
      <c r="G66">
        <f>IF(Cfg_Struttura="Agrivoltaico",1,0)</f>
        <v/>
      </c>
      <c r="H66">
        <f>$G66*8</f>
        <v/>
      </c>
      <c r="I66">
        <f>$G66*8</f>
        <v/>
      </c>
      <c r="J66">
        <f>$G66*8</f>
        <v/>
      </c>
      <c r="K66">
        <f>$G66*8</f>
        <v/>
      </c>
      <c r="L66">
        <f>$G66*8</f>
        <v/>
      </c>
      <c r="M66">
        <f>$G66*8</f>
        <v/>
      </c>
      <c r="N66">
        <f>Cfg_n12*H66+Cfg_n18*I66+Cfg_n20*J66+Cfg_n22*K66+Cfg_n36*L66+Cfg_n40*M66</f>
        <v/>
      </c>
      <c r="O66" s="16">
        <f>IFERROR(VLOOKUP($E66,LISTINO!$B:$G,6,FALSE),0)</f>
        <v/>
      </c>
      <c r="P66" s="16">
        <f>$N66*$O66</f>
        <v/>
      </c>
      <c r="Q66">
        <f>IF($N66&gt;0,"SI","")</f>
        <v/>
      </c>
    </row>
    <row r="67">
      <c r="A67">
        <f>'DISTINTA COMPLETA'!A67</f>
        <v/>
      </c>
      <c r="B67">
        <f>'DISTINTA COMPLETA'!B67</f>
        <v/>
      </c>
      <c r="C67">
        <f>'DISTINTA COMPLETA'!D67</f>
        <v/>
      </c>
      <c r="D67">
        <f>'DISTINTA COMPLETA'!E67</f>
        <v/>
      </c>
      <c r="E67">
        <f>'DISTINTA COMPLETA'!D67</f>
        <v/>
      </c>
      <c r="F67" t="inlineStr">
        <is>
          <t>GIUNZ</t>
        </is>
      </c>
      <c r="G67">
        <f>IF(Cfg_Struttura="Agrivoltaico",1,0)</f>
        <v/>
      </c>
      <c r="H67">
        <f>$G67*2</f>
        <v/>
      </c>
      <c r="I67">
        <f>$G67*2</f>
        <v/>
      </c>
      <c r="J67">
        <f>$G67*2</f>
        <v/>
      </c>
      <c r="K67">
        <f>$G67*2</f>
        <v/>
      </c>
      <c r="L67">
        <f>$G67*2</f>
        <v/>
      </c>
      <c r="M67">
        <f>$G67*2</f>
        <v/>
      </c>
      <c r="N67">
        <f>Cfg_n12*H67+Cfg_n18*I67+Cfg_n20*J67+Cfg_n22*K67+Cfg_n36*L67+Cfg_n40*M67</f>
        <v/>
      </c>
      <c r="O67" s="16">
        <f>IFERROR(VLOOKUP($E67,LISTINO!$B:$G,6,FALSE),0)</f>
        <v/>
      </c>
      <c r="P67" s="16">
        <f>$N67*$O67</f>
        <v/>
      </c>
      <c r="Q67">
        <f>IF($N67&gt;0,"SI","")</f>
        <v/>
      </c>
    </row>
    <row r="68">
      <c r="A68">
        <f>'DISTINTA COMPLETA'!A68</f>
        <v/>
      </c>
      <c r="B68">
        <f>'DISTINTA COMPLETA'!B68</f>
        <v/>
      </c>
      <c r="C68">
        <f>'DISTINTA COMPLETA'!D68</f>
        <v/>
      </c>
      <c r="D68">
        <f>'DISTINTA COMPLETA'!E68</f>
        <v/>
      </c>
      <c r="E68">
        <f>'DISTINTA COMPLETA'!D68</f>
        <v/>
      </c>
      <c r="F68" t="inlineStr">
        <is>
          <t>GIUNZ</t>
        </is>
      </c>
      <c r="G68">
        <f>IF(Cfg_Struttura="Agrivoltaico",1,0)</f>
        <v/>
      </c>
      <c r="H68">
        <f>$G68*4</f>
        <v/>
      </c>
      <c r="I68">
        <f>$G68*4</f>
        <v/>
      </c>
      <c r="J68">
        <f>$G68*4</f>
        <v/>
      </c>
      <c r="K68">
        <f>$G68*4</f>
        <v/>
      </c>
      <c r="L68">
        <f>$G68*4</f>
        <v/>
      </c>
      <c r="M68">
        <f>$G68*4</f>
        <v/>
      </c>
      <c r="N68">
        <f>Cfg_n12*H68+Cfg_n18*I68+Cfg_n20*J68+Cfg_n22*K68+Cfg_n36*L68+Cfg_n40*M68</f>
        <v/>
      </c>
      <c r="O68" s="16">
        <f>IFERROR(VLOOKUP($E68,LISTINO!$B:$G,6,FALSE),0)</f>
        <v/>
      </c>
      <c r="P68" s="16">
        <f>$N68*$O68</f>
        <v/>
      </c>
      <c r="Q68">
        <f>IF($N68&gt;0,"SI","")</f>
        <v/>
      </c>
    </row>
    <row r="69">
      <c r="A69">
        <f>'DISTINTA COMPLETA'!A69</f>
        <v/>
      </c>
      <c r="B69">
        <f>'DISTINTA COMPLETA'!B69</f>
        <v/>
      </c>
      <c r="C69">
        <f>'DISTINTA COMPLETA'!D69</f>
        <v/>
      </c>
      <c r="D69">
        <f>'DISTINTA COMPLETA'!E69</f>
        <v/>
      </c>
      <c r="E69">
        <f>'DISTINTA COMPLETA'!D69</f>
        <v/>
      </c>
      <c r="F69" t="inlineStr">
        <is>
          <t>GIUNZ</t>
        </is>
      </c>
      <c r="G69">
        <f>IF(Cfg_Struttura="Agrivoltaico",1,0)</f>
        <v/>
      </c>
      <c r="H69">
        <f>$G69*24</f>
        <v/>
      </c>
      <c r="I69">
        <f>$G69*24</f>
        <v/>
      </c>
      <c r="J69">
        <f>$G69*24</f>
        <v/>
      </c>
      <c r="K69">
        <f>$G69*24</f>
        <v/>
      </c>
      <c r="L69">
        <f>$G69*24</f>
        <v/>
      </c>
      <c r="M69">
        <f>$G69*24</f>
        <v/>
      </c>
      <c r="N69">
        <f>Cfg_n12*H69+Cfg_n18*I69+Cfg_n20*J69+Cfg_n22*K69+Cfg_n36*L69+Cfg_n40*M69</f>
        <v/>
      </c>
      <c r="O69" s="16">
        <f>IFERROR(VLOOKUP($E69,LISTINO!$B:$G,6,FALSE),0)</f>
        <v/>
      </c>
      <c r="P69" s="16">
        <f>$N69*$O69</f>
        <v/>
      </c>
      <c r="Q69">
        <f>IF($N69&gt;0,"SI","")</f>
        <v/>
      </c>
    </row>
    <row r="70">
      <c r="A70">
        <f>'DISTINTA COMPLETA'!A70</f>
        <v/>
      </c>
      <c r="B70">
        <f>'DISTINTA COMPLETA'!B70</f>
        <v/>
      </c>
      <c r="C70">
        <f>'DISTINTA COMPLETA'!D70</f>
        <v/>
      </c>
      <c r="D70">
        <f>'DISTINTA COMPLETA'!E70</f>
        <v/>
      </c>
      <c r="E70">
        <f>'DISTINTA COMPLETA'!D70</f>
        <v/>
      </c>
      <c r="F70" t="inlineStr">
        <is>
          <t>GIUNZ</t>
        </is>
      </c>
      <c r="G70">
        <f>IF(Cfg_Struttura="Agrivoltaico",1,0)</f>
        <v/>
      </c>
      <c r="H70">
        <f>$G70*24</f>
        <v/>
      </c>
      <c r="I70">
        <f>$G70*24</f>
        <v/>
      </c>
      <c r="J70">
        <f>$G70*24</f>
        <v/>
      </c>
      <c r="K70">
        <f>$G70*24</f>
        <v/>
      </c>
      <c r="L70">
        <f>$G70*24</f>
        <v/>
      </c>
      <c r="M70">
        <f>$G70*24</f>
        <v/>
      </c>
      <c r="N70">
        <f>Cfg_n12*H70+Cfg_n18*I70+Cfg_n20*J70+Cfg_n22*K70+Cfg_n36*L70+Cfg_n40*M70</f>
        <v/>
      </c>
      <c r="O70" s="16">
        <f>IFERROR(VLOOKUP($E70,LISTINO!$B:$G,6,FALSE),0)</f>
        <v/>
      </c>
      <c r="P70" s="16">
        <f>$N70*$O70</f>
        <v/>
      </c>
      <c r="Q70">
        <f>IF($N70&gt;0,"SI","")</f>
        <v/>
      </c>
    </row>
    <row r="71">
      <c r="A71">
        <f>'DISTINTA COMPLETA'!A71</f>
        <v/>
      </c>
      <c r="B71">
        <f>'DISTINTA COMPLETA'!B71</f>
        <v/>
      </c>
      <c r="C71">
        <f>'DISTINTA COMPLETA'!D71</f>
        <v/>
      </c>
      <c r="D71">
        <f>'DISTINTA COMPLETA'!E71</f>
        <v/>
      </c>
      <c r="E71">
        <f>'DISTINTA COMPLETA'!D71</f>
        <v/>
      </c>
      <c r="F71" t="inlineStr">
        <is>
          <t>GIUNZ</t>
        </is>
      </c>
      <c r="G71">
        <f>IF(Cfg_Struttura="Agrivoltaico",1,0)</f>
        <v/>
      </c>
      <c r="H71">
        <f>$G71*24</f>
        <v/>
      </c>
      <c r="I71">
        <f>$G71*24</f>
        <v/>
      </c>
      <c r="J71">
        <f>$G71*24</f>
        <v/>
      </c>
      <c r="K71">
        <f>$G71*24</f>
        <v/>
      </c>
      <c r="L71">
        <f>$G71*24</f>
        <v/>
      </c>
      <c r="M71">
        <f>$G71*24</f>
        <v/>
      </c>
      <c r="N71">
        <f>Cfg_n12*H71+Cfg_n18*I71+Cfg_n20*J71+Cfg_n22*K71+Cfg_n36*L71+Cfg_n40*M71</f>
        <v/>
      </c>
      <c r="O71" s="16">
        <f>IFERROR(VLOOKUP($E71,LISTINO!$B:$G,6,FALSE),0)</f>
        <v/>
      </c>
      <c r="P71" s="16">
        <f>$N71*$O71</f>
        <v/>
      </c>
      <c r="Q71">
        <f>IF($N71&gt;0,"SI","")</f>
        <v/>
      </c>
    </row>
    <row r="72">
      <c r="A72">
        <f>'DISTINTA COMPLETA'!A72</f>
        <v/>
      </c>
      <c r="B72">
        <f>'DISTINTA COMPLETA'!B72</f>
        <v/>
      </c>
      <c r="C72">
        <f>'DISTINTA COMPLETA'!D72</f>
        <v/>
      </c>
      <c r="D72">
        <f>'DISTINTA COMPLETA'!E72</f>
        <v/>
      </c>
      <c r="E72">
        <f>'DISTINTA COMPLETA'!D72</f>
        <v/>
      </c>
      <c r="F72" t="inlineStr">
        <is>
          <t>GIUNZ</t>
        </is>
      </c>
      <c r="G72">
        <f>IF(Cfg_Struttura="Agrivoltaico",1,0)</f>
        <v/>
      </c>
      <c r="H72">
        <f>$G72*24</f>
        <v/>
      </c>
      <c r="I72">
        <f>$G72*24</f>
        <v/>
      </c>
      <c r="J72">
        <f>$G72*24</f>
        <v/>
      </c>
      <c r="K72">
        <f>$G72*24</f>
        <v/>
      </c>
      <c r="L72">
        <f>$G72*24</f>
        <v/>
      </c>
      <c r="M72">
        <f>$G72*24</f>
        <v/>
      </c>
      <c r="N72">
        <f>Cfg_n12*H72+Cfg_n18*I72+Cfg_n20*J72+Cfg_n22*K72+Cfg_n36*L72+Cfg_n40*M72</f>
        <v/>
      </c>
      <c r="O72" s="16">
        <f>IFERROR(VLOOKUP($E72,LISTINO!$B:$G,6,FALSE),0)</f>
        <v/>
      </c>
      <c r="P72" s="16">
        <f>$N72*$O72</f>
        <v/>
      </c>
      <c r="Q72">
        <f>IF($N72&gt;0,"SI","")</f>
        <v/>
      </c>
    </row>
    <row r="73">
      <c r="A73">
        <f>'DISTINTA COMPLETA'!A73</f>
        <v/>
      </c>
      <c r="B73">
        <f>'DISTINTA COMPLETA'!B73</f>
        <v/>
      </c>
      <c r="C73">
        <f>'DISTINTA COMPLETA'!D73</f>
        <v/>
      </c>
      <c r="D73">
        <f>'DISTINTA COMPLETA'!E73</f>
        <v/>
      </c>
      <c r="E73">
        <f>'DISTINTA COMPLETA'!D73</f>
        <v/>
      </c>
      <c r="F73" t="inlineStr">
        <is>
          <t>-</t>
        </is>
      </c>
      <c r="G73">
        <f>1</f>
        <v/>
      </c>
      <c r="H73">
        <f>$G73*2</f>
        <v/>
      </c>
      <c r="I73">
        <f>$G73*2</f>
        <v/>
      </c>
      <c r="J73">
        <f>$G73*2</f>
        <v/>
      </c>
      <c r="K73">
        <f>$G73*2</f>
        <v/>
      </c>
      <c r="L73">
        <f>$G73*2</f>
        <v/>
      </c>
      <c r="M73">
        <f>$G73*2</f>
        <v/>
      </c>
      <c r="N73">
        <f>Cfg_n12*H73+Cfg_n18*I73+Cfg_n20*J73+Cfg_n22*K73+Cfg_n36*L73+Cfg_n40*M73</f>
        <v/>
      </c>
      <c r="O73" s="16">
        <f>IFERROR(VLOOKUP($E73,LISTINO!$B:$G,6,FALSE),0)</f>
        <v/>
      </c>
      <c r="P73" s="16">
        <f>$N73*$O73</f>
        <v/>
      </c>
      <c r="Q73">
        <f>IF($N73&gt;0,"SI","")</f>
        <v/>
      </c>
    </row>
    <row r="74">
      <c r="A74">
        <f>'DISTINTA COMPLETA'!A74</f>
        <v/>
      </c>
      <c r="B74">
        <f>'DISTINTA COMPLETA'!B74</f>
        <v/>
      </c>
      <c r="C74">
        <f>'DISTINTA COMPLETA'!D74</f>
        <v/>
      </c>
      <c r="D74">
        <f>'DISTINTA COMPLETA'!E74</f>
        <v/>
      </c>
      <c r="E74">
        <f>'DISTINTA COMPLETA'!D74</f>
        <v/>
      </c>
      <c r="F74" t="inlineStr">
        <is>
          <t>-</t>
        </is>
      </c>
      <c r="G74">
        <f>1</f>
        <v/>
      </c>
      <c r="H74">
        <f>$G74*8</f>
        <v/>
      </c>
      <c r="I74">
        <f>$G74*8</f>
        <v/>
      </c>
      <c r="J74">
        <f>$G74*8</f>
        <v/>
      </c>
      <c r="K74">
        <f>$G74*8</f>
        <v/>
      </c>
      <c r="L74">
        <f>$G74*8</f>
        <v/>
      </c>
      <c r="M74">
        <f>$G74*8</f>
        <v/>
      </c>
      <c r="N74">
        <f>Cfg_n12*H74+Cfg_n18*I74+Cfg_n20*J74+Cfg_n22*K74+Cfg_n36*L74+Cfg_n40*M74</f>
        <v/>
      </c>
      <c r="O74" s="16">
        <f>IFERROR(VLOOKUP($E74,LISTINO!$B:$G,6,FALSE),0)</f>
        <v/>
      </c>
      <c r="P74" s="16">
        <f>$N74*$O74</f>
        <v/>
      </c>
      <c r="Q74">
        <f>IF($N74&gt;0,"SI","")</f>
        <v/>
      </c>
    </row>
    <row r="75">
      <c r="A75">
        <f>'DISTINTA COMPLETA'!A75</f>
        <v/>
      </c>
      <c r="B75">
        <f>'DISTINTA COMPLETA'!B75</f>
        <v/>
      </c>
      <c r="C75">
        <f>'DISTINTA COMPLETA'!D75</f>
        <v/>
      </c>
      <c r="D75">
        <f>'DISTINTA COMPLETA'!E75</f>
        <v/>
      </c>
      <c r="E75">
        <f>'DISTINTA COMPLETA'!D75</f>
        <v/>
      </c>
      <c r="F75" t="inlineStr">
        <is>
          <t>-</t>
        </is>
      </c>
      <c r="G75">
        <f>1</f>
        <v/>
      </c>
      <c r="H75">
        <f>$G75*16</f>
        <v/>
      </c>
      <c r="I75">
        <f>$G75*16</f>
        <v/>
      </c>
      <c r="J75">
        <f>$G75*16</f>
        <v/>
      </c>
      <c r="K75">
        <f>$G75*16</f>
        <v/>
      </c>
      <c r="L75">
        <f>$G75*16</f>
        <v/>
      </c>
      <c r="M75">
        <f>$G75*16</f>
        <v/>
      </c>
      <c r="N75">
        <f>Cfg_n12*H75+Cfg_n18*I75+Cfg_n20*J75+Cfg_n22*K75+Cfg_n36*L75+Cfg_n40*M75</f>
        <v/>
      </c>
      <c r="O75" s="16">
        <f>IFERROR(VLOOKUP($E75,LISTINO!$B:$G,6,FALSE),0)</f>
        <v/>
      </c>
      <c r="P75" s="16">
        <f>$N75*$O75</f>
        <v/>
      </c>
      <c r="Q75">
        <f>IF($N75&gt;0,"SI","")</f>
        <v/>
      </c>
    </row>
    <row r="76">
      <c r="A76">
        <f>'DISTINTA COMPLETA'!A76</f>
        <v/>
      </c>
      <c r="B76">
        <f>'DISTINTA COMPLETA'!B76</f>
        <v/>
      </c>
      <c r="C76">
        <f>'DISTINTA COMPLETA'!D76</f>
        <v/>
      </c>
      <c r="D76">
        <f>'DISTINTA COMPLETA'!E76</f>
        <v/>
      </c>
      <c r="E76">
        <f>'DISTINTA COMPLETA'!D76</f>
        <v/>
      </c>
      <c r="F76" t="inlineStr">
        <is>
          <t>-</t>
        </is>
      </c>
      <c r="G76">
        <f>1</f>
        <v/>
      </c>
      <c r="H76">
        <f>$G76*8</f>
        <v/>
      </c>
      <c r="I76">
        <f>$G76*8</f>
        <v/>
      </c>
      <c r="J76">
        <f>$G76*8</f>
        <v/>
      </c>
      <c r="K76">
        <f>$G76*8</f>
        <v/>
      </c>
      <c r="L76">
        <f>$G76*8</f>
        <v/>
      </c>
      <c r="M76">
        <f>$G76*8</f>
        <v/>
      </c>
      <c r="N76">
        <f>Cfg_n12*H76+Cfg_n18*I76+Cfg_n20*J76+Cfg_n22*K76+Cfg_n36*L76+Cfg_n40*M76</f>
        <v/>
      </c>
      <c r="O76" s="16">
        <f>IFERROR(VLOOKUP($E76,LISTINO!$B:$G,6,FALSE),0)</f>
        <v/>
      </c>
      <c r="P76" s="16">
        <f>$N76*$O76</f>
        <v/>
      </c>
      <c r="Q76">
        <f>IF($N76&gt;0,"SI","")</f>
        <v/>
      </c>
    </row>
    <row r="77">
      <c r="A77">
        <f>'DISTINTA COMPLETA'!A77</f>
        <v/>
      </c>
      <c r="B77">
        <f>'DISTINTA COMPLETA'!B77</f>
        <v/>
      </c>
      <c r="C77">
        <f>'DISTINTA COMPLETA'!D77</f>
        <v/>
      </c>
      <c r="D77">
        <f>'DISTINTA COMPLETA'!E77</f>
        <v/>
      </c>
      <c r="E77">
        <f>'DISTINTA COMPLETA'!D77</f>
        <v/>
      </c>
      <c r="F77" t="inlineStr">
        <is>
          <t>-</t>
        </is>
      </c>
      <c r="G77">
        <f>1</f>
        <v/>
      </c>
      <c r="H77">
        <f>$G77*1</f>
        <v/>
      </c>
      <c r="I77">
        <f>$G77*1</f>
        <v/>
      </c>
      <c r="J77">
        <f>$G77*1</f>
        <v/>
      </c>
      <c r="K77">
        <f>$G77*1</f>
        <v/>
      </c>
      <c r="L77">
        <f>$G77*1</f>
        <v/>
      </c>
      <c r="M77">
        <f>$G77*1</f>
        <v/>
      </c>
      <c r="N77">
        <f>Cfg_n12*H77+Cfg_n18*I77+Cfg_n20*J77+Cfg_n22*K77+Cfg_n36*L77+Cfg_n40*M77</f>
        <v/>
      </c>
      <c r="O77" s="16">
        <f>IFERROR(VLOOKUP($E77,LISTINO!$B:$G,6,FALSE),0)</f>
        <v/>
      </c>
      <c r="P77" s="16">
        <f>$N77*$O77</f>
        <v/>
      </c>
      <c r="Q77">
        <f>IF($N77&gt;0,"SI","")</f>
        <v/>
      </c>
    </row>
    <row r="78">
      <c r="A78">
        <f>'DISTINTA COMPLETA'!A78</f>
        <v/>
      </c>
      <c r="B78">
        <f>'DISTINTA COMPLETA'!B78</f>
        <v/>
      </c>
      <c r="C78">
        <f>'DISTINTA COMPLETA'!D78</f>
        <v/>
      </c>
      <c r="D78">
        <f>'DISTINTA COMPLETA'!E78</f>
        <v/>
      </c>
      <c r="E78">
        <f>'DISTINTA COMPLETA'!D78</f>
        <v/>
      </c>
      <c r="F78" t="inlineStr">
        <is>
          <t>-</t>
        </is>
      </c>
      <c r="G78">
        <f>1</f>
        <v/>
      </c>
      <c r="H78">
        <f>$G78*4</f>
        <v/>
      </c>
      <c r="I78">
        <f>$G78*4</f>
        <v/>
      </c>
      <c r="J78">
        <f>$G78*4</f>
        <v/>
      </c>
      <c r="K78">
        <f>$G78*4</f>
        <v/>
      </c>
      <c r="L78">
        <f>$G78*4</f>
        <v/>
      </c>
      <c r="M78">
        <f>$G78*4</f>
        <v/>
      </c>
      <c r="N78">
        <f>Cfg_n12*H78+Cfg_n18*I78+Cfg_n20*J78+Cfg_n22*K78+Cfg_n36*L78+Cfg_n40*M78</f>
        <v/>
      </c>
      <c r="O78" s="16">
        <f>IFERROR(VLOOKUP($E78,LISTINO!$B:$G,6,FALSE),0)</f>
        <v/>
      </c>
      <c r="P78" s="16">
        <f>$N78*$O78</f>
        <v/>
      </c>
      <c r="Q78">
        <f>IF($N78&gt;0,"SI","")</f>
        <v/>
      </c>
    </row>
    <row r="79">
      <c r="A79">
        <f>'DISTINTA COMPLETA'!A79</f>
        <v/>
      </c>
      <c r="B79">
        <f>'DISTINTA COMPLETA'!B79</f>
        <v/>
      </c>
      <c r="C79">
        <f>'DISTINTA COMPLETA'!D79</f>
        <v/>
      </c>
      <c r="D79">
        <f>'DISTINTA COMPLETA'!E79</f>
        <v/>
      </c>
      <c r="E79">
        <f>'DISTINTA COMPLETA'!D79</f>
        <v/>
      </c>
      <c r="F79" t="inlineStr">
        <is>
          <t>-</t>
        </is>
      </c>
      <c r="G79">
        <f>1</f>
        <v/>
      </c>
      <c r="H79">
        <f>$G79*4</f>
        <v/>
      </c>
      <c r="I79">
        <f>$G79*4</f>
        <v/>
      </c>
      <c r="J79">
        <f>$G79*4</f>
        <v/>
      </c>
      <c r="K79">
        <f>$G79*4</f>
        <v/>
      </c>
      <c r="L79">
        <f>$G79*4</f>
        <v/>
      </c>
      <c r="M79">
        <f>$G79*4</f>
        <v/>
      </c>
      <c r="N79">
        <f>Cfg_n12*H79+Cfg_n18*I79+Cfg_n20*J79+Cfg_n22*K79+Cfg_n36*L79+Cfg_n40*M79</f>
        <v/>
      </c>
      <c r="O79" s="16">
        <f>IFERROR(VLOOKUP($E79,LISTINO!$B:$G,6,FALSE),0)</f>
        <v/>
      </c>
      <c r="P79" s="16">
        <f>$N79*$O79</f>
        <v/>
      </c>
      <c r="Q79">
        <f>IF($N79&gt;0,"SI","")</f>
        <v/>
      </c>
    </row>
    <row r="80">
      <c r="A80">
        <f>'DISTINTA COMPLETA'!A80</f>
        <v/>
      </c>
      <c r="B80">
        <f>'DISTINTA COMPLETA'!B80</f>
        <v/>
      </c>
      <c r="C80">
        <f>'DISTINTA COMPLETA'!D80</f>
        <v/>
      </c>
      <c r="D80">
        <f>'DISTINTA COMPLETA'!E80</f>
        <v/>
      </c>
      <c r="E80">
        <f>'DISTINTA COMPLETA'!D80</f>
        <v/>
      </c>
      <c r="F80" t="inlineStr">
        <is>
          <t>-</t>
        </is>
      </c>
      <c r="G80">
        <f>1</f>
        <v/>
      </c>
      <c r="H80">
        <f>$G80*1</f>
        <v/>
      </c>
      <c r="I80">
        <f>$G80*1</f>
        <v/>
      </c>
      <c r="J80">
        <f>$G80*1</f>
        <v/>
      </c>
      <c r="K80">
        <f>$G80*1</f>
        <v/>
      </c>
      <c r="L80">
        <f>$G80*1</f>
        <v/>
      </c>
      <c r="M80">
        <f>$G80*1</f>
        <v/>
      </c>
      <c r="N80">
        <f>Cfg_n12*H80+Cfg_n18*I80+Cfg_n20*J80+Cfg_n22*K80+Cfg_n36*L80+Cfg_n40*M80</f>
        <v/>
      </c>
      <c r="O80" s="16">
        <f>IFERROR(VLOOKUP($E80,LISTINO!$B:$G,6,FALSE),0)</f>
        <v/>
      </c>
      <c r="P80" s="16">
        <f>$N80*$O80</f>
        <v/>
      </c>
      <c r="Q80">
        <f>IF($N80&gt;0,"SI","")</f>
        <v/>
      </c>
    </row>
    <row r="81">
      <c r="A81">
        <f>'DISTINTA COMPLETA'!A81</f>
        <v/>
      </c>
      <c r="B81">
        <f>'DISTINTA COMPLETA'!B81</f>
        <v/>
      </c>
      <c r="C81">
        <f>'DISTINTA COMPLETA'!D81</f>
        <v/>
      </c>
      <c r="D81">
        <f>'DISTINTA COMPLETA'!E81</f>
        <v/>
      </c>
      <c r="E81">
        <f>'DISTINTA COMPLETA'!D81</f>
        <v/>
      </c>
      <c r="F81" t="inlineStr">
        <is>
          <t>-</t>
        </is>
      </c>
      <c r="G81">
        <f>1</f>
        <v/>
      </c>
      <c r="H81">
        <f>$G81*4</f>
        <v/>
      </c>
      <c r="I81">
        <f>$G81*4</f>
        <v/>
      </c>
      <c r="J81">
        <f>$G81*4</f>
        <v/>
      </c>
      <c r="K81">
        <f>$G81*4</f>
        <v/>
      </c>
      <c r="L81">
        <f>$G81*4</f>
        <v/>
      </c>
      <c r="M81">
        <f>$G81*4</f>
        <v/>
      </c>
      <c r="N81">
        <f>Cfg_n12*H81+Cfg_n18*I81+Cfg_n20*J81+Cfg_n22*K81+Cfg_n36*L81+Cfg_n40*M81</f>
        <v/>
      </c>
      <c r="O81" s="16">
        <f>IFERROR(VLOOKUP($E81,LISTINO!$B:$G,6,FALSE),0)</f>
        <v/>
      </c>
      <c r="P81" s="16">
        <f>$N81*$O81</f>
        <v/>
      </c>
      <c r="Q81">
        <f>IF($N81&gt;0,"SI","")</f>
        <v/>
      </c>
    </row>
    <row r="82">
      <c r="A82">
        <f>'DISTINTA COMPLETA'!A82</f>
        <v/>
      </c>
      <c r="B82">
        <f>'DISTINTA COMPLETA'!B82</f>
        <v/>
      </c>
      <c r="C82">
        <f>'DISTINTA COMPLETA'!D82</f>
        <v/>
      </c>
      <c r="D82">
        <f>'DISTINTA COMPLETA'!E82</f>
        <v/>
      </c>
      <c r="E82">
        <f>'DISTINTA COMPLETA'!D82</f>
        <v/>
      </c>
      <c r="F82" t="inlineStr">
        <is>
          <t>-</t>
        </is>
      </c>
      <c r="G82">
        <f>1</f>
        <v/>
      </c>
      <c r="H82">
        <f>$G82*4</f>
        <v/>
      </c>
      <c r="I82">
        <f>$G82*4</f>
        <v/>
      </c>
      <c r="J82">
        <f>$G82*4</f>
        <v/>
      </c>
      <c r="K82">
        <f>$G82*4</f>
        <v/>
      </c>
      <c r="L82">
        <f>$G82*4</f>
        <v/>
      </c>
      <c r="M82">
        <f>$G82*4</f>
        <v/>
      </c>
      <c r="N82">
        <f>Cfg_n12*H82+Cfg_n18*I82+Cfg_n20*J82+Cfg_n22*K82+Cfg_n36*L82+Cfg_n40*M82</f>
        <v/>
      </c>
      <c r="O82" s="16">
        <f>IFERROR(VLOOKUP($E82,LISTINO!$B:$G,6,FALSE),0)</f>
        <v/>
      </c>
      <c r="P82" s="16">
        <f>$N82*$O82</f>
        <v/>
      </c>
      <c r="Q82">
        <f>IF($N82&gt;0,"SI","")</f>
        <v/>
      </c>
    </row>
    <row r="83">
      <c r="A83">
        <f>'DISTINTA COMPLETA'!A83</f>
        <v/>
      </c>
      <c r="B83">
        <f>'DISTINTA COMPLETA'!B83</f>
        <v/>
      </c>
      <c r="C83">
        <f>'DISTINTA COMPLETA'!D83</f>
        <v/>
      </c>
      <c r="D83">
        <f>'DISTINTA COMPLETA'!E83</f>
        <v/>
      </c>
      <c r="E83">
        <f>"TTS.PF.001."&amp;Cfg_TraveFrag&amp;"."&amp;Cfg_LenFond</f>
        <v/>
      </c>
      <c r="F83" t="inlineStr">
        <is>
          <t>FOND_CUSC</t>
        </is>
      </c>
      <c r="G83">
        <f>IF(Cfg_Struttura="Agrivoltaico",1,0)</f>
        <v/>
      </c>
      <c r="H83">
        <f>$G83*2</f>
        <v/>
      </c>
      <c r="I83">
        <f>$G83*4</f>
        <v/>
      </c>
      <c r="J83">
        <f>$G83*4</f>
        <v/>
      </c>
      <c r="K83">
        <f>$G83*4</f>
        <v/>
      </c>
      <c r="L83">
        <f>$G83*8</f>
        <v/>
      </c>
      <c r="M83">
        <f>$G83*10</f>
        <v/>
      </c>
      <c r="N83">
        <f>Cfg_n12*H83+Cfg_n18*I83+Cfg_n20*J83+Cfg_n22*K83+Cfg_n36*L83+Cfg_n40*M83</f>
        <v/>
      </c>
      <c r="O83" s="16">
        <f>IFERROR(VLOOKUP($E83,LISTINO!$B:$G,6,FALSE),0)</f>
        <v/>
      </c>
      <c r="P83" s="16">
        <f>$N83*$O83</f>
        <v/>
      </c>
      <c r="Q83">
        <f>IF($N83&gt;0,"SI","")</f>
        <v/>
      </c>
    </row>
    <row r="84">
      <c r="A84">
        <f>'DISTINTA COMPLETA'!A84</f>
        <v/>
      </c>
      <c r="B84">
        <f>'DISTINTA COMPLETA'!B84</f>
        <v/>
      </c>
      <c r="C84">
        <f>'DISTINTA COMPLETA'!D84</f>
        <v/>
      </c>
      <c r="D84">
        <f>'DISTINTA COMPLETA'!E84</f>
        <v/>
      </c>
      <c r="E84">
        <f>"TTS.PC.001."&amp;Cfg_TraveFrag&amp;"."&amp;IF(Cfg_Struttura="Agrivoltaico","23",Cfg_LenCusc)</f>
        <v/>
      </c>
      <c r="F84" t="inlineStr">
        <is>
          <t>PIL_CUSC</t>
        </is>
      </c>
      <c r="G84">
        <f>1</f>
        <v/>
      </c>
      <c r="H84">
        <f>$G84*2</f>
        <v/>
      </c>
      <c r="I84">
        <f>$G84*4</f>
        <v/>
      </c>
      <c r="J84">
        <f>$G84*4</f>
        <v/>
      </c>
      <c r="K84">
        <f>$G84*4</f>
        <v/>
      </c>
      <c r="L84">
        <f>$G84*8</f>
        <v/>
      </c>
      <c r="M84">
        <f>$G84*10</f>
        <v/>
      </c>
      <c r="N84">
        <f>Cfg_n12*H84+Cfg_n18*I84+Cfg_n20*J84+Cfg_n22*K84+Cfg_n36*L84+Cfg_n40*M84</f>
        <v/>
      </c>
      <c r="O84" s="16">
        <f>IFERROR(VLOOKUP($E84,LISTINO!$B:$G,6,FALSE),0)</f>
        <v/>
      </c>
      <c r="P84" s="16">
        <f>$N84*$O84</f>
        <v/>
      </c>
      <c r="Q84">
        <f>IF($N84&gt;0,"SI","")</f>
        <v/>
      </c>
    </row>
    <row r="85">
      <c r="A85">
        <f>'DISTINTA COMPLETA'!A85</f>
        <v/>
      </c>
      <c r="B85">
        <f>'DISTINTA COMPLETA'!B85</f>
        <v/>
      </c>
      <c r="C85">
        <f>'DISTINTA COMPLETA'!D85</f>
        <v/>
      </c>
      <c r="D85">
        <f>'DISTINTA COMPLETA'!E85</f>
        <v/>
      </c>
      <c r="E85">
        <f>'DISTINTA COMPLETA'!D85</f>
        <v/>
      </c>
      <c r="F85" t="inlineStr">
        <is>
          <t>SKIP</t>
        </is>
      </c>
      <c r="G85">
        <f>0</f>
        <v/>
      </c>
      <c r="H85">
        <f>$G85*0</f>
        <v/>
      </c>
      <c r="I85">
        <f>$G85*0</f>
        <v/>
      </c>
      <c r="J85">
        <f>$G85*0</f>
        <v/>
      </c>
      <c r="K85">
        <f>$G85*0</f>
        <v/>
      </c>
      <c r="L85">
        <f>$G85*0</f>
        <v/>
      </c>
      <c r="M85">
        <f>$G85*0</f>
        <v/>
      </c>
      <c r="N85">
        <f>Cfg_n12*H85+Cfg_n18*I85+Cfg_n20*J85+Cfg_n22*K85+Cfg_n36*L85+Cfg_n40*M85</f>
        <v/>
      </c>
      <c r="O85" s="16">
        <f>IFERROR(VLOOKUP($E85,LISTINO!$B:$G,6,FALSE),0)</f>
        <v/>
      </c>
      <c r="P85" s="16">
        <f>$N85*$O85</f>
        <v/>
      </c>
      <c r="Q85">
        <f>IF($N85&gt;0,"SI","")</f>
        <v/>
      </c>
    </row>
    <row r="86">
      <c r="A86">
        <f>'DISTINTA COMPLETA'!A86</f>
        <v/>
      </c>
      <c r="B86">
        <f>'DISTINTA COMPLETA'!B86</f>
        <v/>
      </c>
      <c r="C86">
        <f>'DISTINTA COMPLETA'!D86</f>
        <v/>
      </c>
      <c r="D86">
        <f>'DISTINTA COMPLETA'!E86</f>
        <v/>
      </c>
      <c r="E86">
        <f>'DISTINTA COMPLETA'!D86</f>
        <v/>
      </c>
      <c r="F86" t="inlineStr">
        <is>
          <t>SKIP</t>
        </is>
      </c>
      <c r="G86">
        <f>0</f>
        <v/>
      </c>
      <c r="H86">
        <f>$G86*0</f>
        <v/>
      </c>
      <c r="I86">
        <f>$G86*0</f>
        <v/>
      </c>
      <c r="J86">
        <f>$G86*0</f>
        <v/>
      </c>
      <c r="K86">
        <f>$G86*0</f>
        <v/>
      </c>
      <c r="L86">
        <f>$G86*0</f>
        <v/>
      </c>
      <c r="M86">
        <f>$G86*0</f>
        <v/>
      </c>
      <c r="N86">
        <f>Cfg_n12*H86+Cfg_n18*I86+Cfg_n20*J86+Cfg_n22*K86+Cfg_n36*L86+Cfg_n40*M86</f>
        <v/>
      </c>
      <c r="O86" s="16">
        <f>IFERROR(VLOOKUP($E86,LISTINO!$B:$G,6,FALSE),0)</f>
        <v/>
      </c>
      <c r="P86" s="16">
        <f>$N86*$O86</f>
        <v/>
      </c>
      <c r="Q86">
        <f>IF($N86&gt;0,"SI","")</f>
        <v/>
      </c>
    </row>
    <row r="87">
      <c r="A87">
        <f>'DISTINTA COMPLETA'!A87</f>
        <v/>
      </c>
      <c r="B87">
        <f>'DISTINTA COMPLETA'!B87</f>
        <v/>
      </c>
      <c r="C87">
        <f>'DISTINTA COMPLETA'!D87</f>
        <v/>
      </c>
      <c r="D87">
        <f>'DISTINTA COMPLETA'!E87</f>
        <v/>
      </c>
      <c r="E87">
        <f>'DISTINTA COMPLETA'!D87</f>
        <v/>
      </c>
      <c r="F87" t="inlineStr">
        <is>
          <t>SKIP</t>
        </is>
      </c>
      <c r="G87">
        <f>0</f>
        <v/>
      </c>
      <c r="H87">
        <f>$G87*0</f>
        <v/>
      </c>
      <c r="I87">
        <f>$G87*0</f>
        <v/>
      </c>
      <c r="J87">
        <f>$G87*0</f>
        <v/>
      </c>
      <c r="K87">
        <f>$G87*0</f>
        <v/>
      </c>
      <c r="L87">
        <f>$G87*0</f>
        <v/>
      </c>
      <c r="M87">
        <f>$G87*0</f>
        <v/>
      </c>
      <c r="N87">
        <f>Cfg_n12*H87+Cfg_n18*I87+Cfg_n20*J87+Cfg_n22*K87+Cfg_n36*L87+Cfg_n40*M87</f>
        <v/>
      </c>
      <c r="O87" s="16">
        <f>IFERROR(VLOOKUP($E87,LISTINO!$B:$G,6,FALSE),0)</f>
        <v/>
      </c>
      <c r="P87" s="16">
        <f>$N87*$O87</f>
        <v/>
      </c>
      <c r="Q87">
        <f>IF($N87&gt;0,"SI","")</f>
        <v/>
      </c>
    </row>
    <row r="88">
      <c r="A88">
        <f>'DISTINTA COMPLETA'!A88</f>
        <v/>
      </c>
      <c r="B88">
        <f>'DISTINTA COMPLETA'!B88</f>
        <v/>
      </c>
      <c r="C88">
        <f>'DISTINTA COMPLETA'!D88</f>
        <v/>
      </c>
      <c r="D88">
        <f>'DISTINTA COMPLETA'!E88</f>
        <v/>
      </c>
      <c r="E88">
        <f>'DISTINTA COMPLETA'!D88</f>
        <v/>
      </c>
      <c r="F88" t="inlineStr">
        <is>
          <t>SKIP</t>
        </is>
      </c>
      <c r="G88">
        <f>0</f>
        <v/>
      </c>
      <c r="H88">
        <f>$G88*0</f>
        <v/>
      </c>
      <c r="I88">
        <f>$G88*0</f>
        <v/>
      </c>
      <c r="J88">
        <f>$G88*0</f>
        <v/>
      </c>
      <c r="K88">
        <f>$G88*0</f>
        <v/>
      </c>
      <c r="L88">
        <f>$G88*0</f>
        <v/>
      </c>
      <c r="M88">
        <f>$G88*0</f>
        <v/>
      </c>
      <c r="N88">
        <f>Cfg_n12*H88+Cfg_n18*I88+Cfg_n20*J88+Cfg_n22*K88+Cfg_n36*L88+Cfg_n40*M88</f>
        <v/>
      </c>
      <c r="O88" s="16">
        <f>IFERROR(VLOOKUP($E88,LISTINO!$B:$G,6,FALSE),0)</f>
        <v/>
      </c>
      <c r="P88" s="16">
        <f>$N88*$O88</f>
        <v/>
      </c>
      <c r="Q88">
        <f>IF($N88&gt;0,"SI","")</f>
        <v/>
      </c>
    </row>
    <row r="89">
      <c r="A89">
        <f>'DISTINTA COMPLETA'!A89</f>
        <v/>
      </c>
      <c r="B89">
        <f>'DISTINTA COMPLETA'!B89</f>
        <v/>
      </c>
      <c r="C89">
        <f>'DISTINTA COMPLETA'!D89</f>
        <v/>
      </c>
      <c r="D89">
        <f>'DISTINTA COMPLETA'!E89</f>
        <v/>
      </c>
      <c r="E89">
        <f>'DISTINTA COMPLETA'!D89</f>
        <v/>
      </c>
      <c r="F89" t="inlineStr">
        <is>
          <t>SKIP</t>
        </is>
      </c>
      <c r="G89">
        <f>0</f>
        <v/>
      </c>
      <c r="H89">
        <f>$G89*0</f>
        <v/>
      </c>
      <c r="I89">
        <f>$G89*0</f>
        <v/>
      </c>
      <c r="J89">
        <f>$G89*0</f>
        <v/>
      </c>
      <c r="K89">
        <f>$G89*0</f>
        <v/>
      </c>
      <c r="L89">
        <f>$G89*0</f>
        <v/>
      </c>
      <c r="M89">
        <f>$G89*0</f>
        <v/>
      </c>
      <c r="N89">
        <f>Cfg_n12*H89+Cfg_n18*I89+Cfg_n20*J89+Cfg_n22*K89+Cfg_n36*L89+Cfg_n40*M89</f>
        <v/>
      </c>
      <c r="O89" s="16">
        <f>IFERROR(VLOOKUP($E89,LISTINO!$B:$G,6,FALSE),0)</f>
        <v/>
      </c>
      <c r="P89" s="16">
        <f>$N89*$O89</f>
        <v/>
      </c>
      <c r="Q89">
        <f>IF($N89&gt;0,"SI","")</f>
        <v/>
      </c>
    </row>
    <row r="90">
      <c r="A90">
        <f>'DISTINTA COMPLETA'!A90</f>
        <v/>
      </c>
      <c r="B90">
        <f>'DISTINTA COMPLETA'!B90</f>
        <v/>
      </c>
      <c r="C90">
        <f>'DISTINTA COMPLETA'!D90</f>
        <v/>
      </c>
      <c r="D90">
        <f>'DISTINTA COMPLETA'!E90</f>
        <v/>
      </c>
      <c r="E90">
        <f>'DISTINTA COMPLETA'!D90</f>
        <v/>
      </c>
      <c r="F90" t="inlineStr">
        <is>
          <t>SKIP</t>
        </is>
      </c>
      <c r="G90">
        <f>0</f>
        <v/>
      </c>
      <c r="H90">
        <f>$G90*0</f>
        <v/>
      </c>
      <c r="I90">
        <f>$G90*0</f>
        <v/>
      </c>
      <c r="J90">
        <f>$G90*0</f>
        <v/>
      </c>
      <c r="K90">
        <f>$G90*0</f>
        <v/>
      </c>
      <c r="L90">
        <f>$G90*0</f>
        <v/>
      </c>
      <c r="M90">
        <f>$G90*0</f>
        <v/>
      </c>
      <c r="N90">
        <f>Cfg_n12*H90+Cfg_n18*I90+Cfg_n20*J90+Cfg_n22*K90+Cfg_n36*L90+Cfg_n40*M90</f>
        <v/>
      </c>
      <c r="O90" s="16">
        <f>IFERROR(VLOOKUP($E90,LISTINO!$B:$G,6,FALSE),0)</f>
        <v/>
      </c>
      <c r="P90" s="16">
        <f>$N90*$O90</f>
        <v/>
      </c>
      <c r="Q90">
        <f>IF($N90&gt;0,"SI","")</f>
        <v/>
      </c>
    </row>
    <row r="91">
      <c r="A91">
        <f>'DISTINTA COMPLETA'!A91</f>
        <v/>
      </c>
      <c r="B91">
        <f>'DISTINTA COMPLETA'!B91</f>
        <v/>
      </c>
      <c r="C91">
        <f>'DISTINTA COMPLETA'!D91</f>
        <v/>
      </c>
      <c r="D91">
        <f>'DISTINTA COMPLETA'!E91</f>
        <v/>
      </c>
      <c r="E91">
        <f>'DISTINTA COMPLETA'!D91</f>
        <v/>
      </c>
      <c r="F91" t="inlineStr">
        <is>
          <t>SKIP</t>
        </is>
      </c>
      <c r="G91">
        <f>0</f>
        <v/>
      </c>
      <c r="H91">
        <f>$G91*0</f>
        <v/>
      </c>
      <c r="I91">
        <f>$G91*0</f>
        <v/>
      </c>
      <c r="J91">
        <f>$G91*0</f>
        <v/>
      </c>
      <c r="K91">
        <f>$G91*0</f>
        <v/>
      </c>
      <c r="L91">
        <f>$G91*0</f>
        <v/>
      </c>
      <c r="M91">
        <f>$G91*0</f>
        <v/>
      </c>
      <c r="N91">
        <f>Cfg_n12*H91+Cfg_n18*I91+Cfg_n20*J91+Cfg_n22*K91+Cfg_n36*L91+Cfg_n40*M91</f>
        <v/>
      </c>
      <c r="O91" s="16">
        <f>IFERROR(VLOOKUP($E91,LISTINO!$B:$G,6,FALSE),0)</f>
        <v/>
      </c>
      <c r="P91" s="16">
        <f>$N91*$O91</f>
        <v/>
      </c>
      <c r="Q91">
        <f>IF($N91&gt;0,"SI","")</f>
        <v/>
      </c>
    </row>
    <row r="92">
      <c r="A92">
        <f>'DISTINTA COMPLETA'!A92</f>
        <v/>
      </c>
      <c r="B92">
        <f>'DISTINTA COMPLETA'!B92</f>
        <v/>
      </c>
      <c r="C92">
        <f>'DISTINTA COMPLETA'!D92</f>
        <v/>
      </c>
      <c r="D92">
        <f>'DISTINTA COMPLETA'!E92</f>
        <v/>
      </c>
      <c r="E92">
        <f>'DISTINTA COMPLETA'!D92</f>
        <v/>
      </c>
      <c r="F92" t="inlineStr">
        <is>
          <t>SKIP</t>
        </is>
      </c>
      <c r="G92">
        <f>0</f>
        <v/>
      </c>
      <c r="H92">
        <f>$G92*0</f>
        <v/>
      </c>
      <c r="I92">
        <f>$G92*0</f>
        <v/>
      </c>
      <c r="J92">
        <f>$G92*0</f>
        <v/>
      </c>
      <c r="K92">
        <f>$G92*0</f>
        <v/>
      </c>
      <c r="L92">
        <f>$G92*0</f>
        <v/>
      </c>
      <c r="M92">
        <f>$G92*0</f>
        <v/>
      </c>
      <c r="N92">
        <f>Cfg_n12*H92+Cfg_n18*I92+Cfg_n20*J92+Cfg_n22*K92+Cfg_n36*L92+Cfg_n40*M92</f>
        <v/>
      </c>
      <c r="O92" s="16">
        <f>IFERROR(VLOOKUP($E92,LISTINO!$B:$G,6,FALSE),0)</f>
        <v/>
      </c>
      <c r="P92" s="16">
        <f>$N92*$O92</f>
        <v/>
      </c>
      <c r="Q92">
        <f>IF($N92&gt;0,"SI","")</f>
        <v/>
      </c>
    </row>
    <row r="93">
      <c r="A93">
        <f>'DISTINTA COMPLETA'!A93</f>
        <v/>
      </c>
      <c r="B93">
        <f>'DISTINTA COMPLETA'!B93</f>
        <v/>
      </c>
      <c r="C93">
        <f>'DISTINTA COMPLETA'!D93</f>
        <v/>
      </c>
      <c r="D93">
        <f>'DISTINTA COMPLETA'!E93</f>
        <v/>
      </c>
      <c r="E93">
        <f>'DISTINTA COMPLETA'!D93</f>
        <v/>
      </c>
      <c r="F93" t="inlineStr">
        <is>
          <t>SKIP</t>
        </is>
      </c>
      <c r="G93">
        <f>0</f>
        <v/>
      </c>
      <c r="H93">
        <f>$G93*0</f>
        <v/>
      </c>
      <c r="I93">
        <f>$G93*0</f>
        <v/>
      </c>
      <c r="J93">
        <f>$G93*0</f>
        <v/>
      </c>
      <c r="K93">
        <f>$G93*0</f>
        <v/>
      </c>
      <c r="L93">
        <f>$G93*0</f>
        <v/>
      </c>
      <c r="M93">
        <f>$G93*0</f>
        <v/>
      </c>
      <c r="N93">
        <f>Cfg_n12*H93+Cfg_n18*I93+Cfg_n20*J93+Cfg_n22*K93+Cfg_n36*L93+Cfg_n40*M93</f>
        <v/>
      </c>
      <c r="O93" s="16">
        <f>IFERROR(VLOOKUP($E93,LISTINO!$B:$G,6,FALSE),0)</f>
        <v/>
      </c>
      <c r="P93" s="16">
        <f>$N93*$O93</f>
        <v/>
      </c>
      <c r="Q93">
        <f>IF($N93&gt;0,"SI","")</f>
        <v/>
      </c>
    </row>
    <row r="94">
      <c r="A94">
        <f>'DISTINTA COMPLETA'!A94</f>
        <v/>
      </c>
      <c r="B94">
        <f>'DISTINTA COMPLETA'!B94</f>
        <v/>
      </c>
      <c r="C94">
        <f>'DISTINTA COMPLETA'!D94</f>
        <v/>
      </c>
      <c r="D94">
        <f>'DISTINTA COMPLETA'!E94</f>
        <v/>
      </c>
      <c r="E94">
        <f>'DISTINTA COMPLETA'!D94</f>
        <v/>
      </c>
      <c r="F94" t="inlineStr">
        <is>
          <t>SKIP</t>
        </is>
      </c>
      <c r="G94">
        <f>0</f>
        <v/>
      </c>
      <c r="H94">
        <f>$G94*0</f>
        <v/>
      </c>
      <c r="I94">
        <f>$G94*0</f>
        <v/>
      </c>
      <c r="J94">
        <f>$G94*0</f>
        <v/>
      </c>
      <c r="K94">
        <f>$G94*0</f>
        <v/>
      </c>
      <c r="L94">
        <f>$G94*0</f>
        <v/>
      </c>
      <c r="M94">
        <f>$G94*0</f>
        <v/>
      </c>
      <c r="N94">
        <f>Cfg_n12*H94+Cfg_n18*I94+Cfg_n20*J94+Cfg_n22*K94+Cfg_n36*L94+Cfg_n40*M94</f>
        <v/>
      </c>
      <c r="O94" s="16">
        <f>IFERROR(VLOOKUP($E94,LISTINO!$B:$G,6,FALSE),0)</f>
        <v/>
      </c>
      <c r="P94" s="16">
        <f>$N94*$O94</f>
        <v/>
      </c>
      <c r="Q94">
        <f>IF($N94&gt;0,"SI","")</f>
        <v/>
      </c>
    </row>
    <row r="95">
      <c r="A95">
        <f>'DISTINTA COMPLETA'!A95</f>
        <v/>
      </c>
      <c r="B95">
        <f>'DISTINTA COMPLETA'!B95</f>
        <v/>
      </c>
      <c r="C95">
        <f>'DISTINTA COMPLETA'!D95</f>
        <v/>
      </c>
      <c r="D95">
        <f>'DISTINTA COMPLETA'!E95</f>
        <v/>
      </c>
      <c r="E95">
        <f>'DISTINTA COMPLETA'!D95</f>
        <v/>
      </c>
      <c r="F95" t="inlineStr">
        <is>
          <t>SKIP</t>
        </is>
      </c>
      <c r="G95">
        <f>0</f>
        <v/>
      </c>
      <c r="H95">
        <f>$G95*0</f>
        <v/>
      </c>
      <c r="I95">
        <f>$G95*0</f>
        <v/>
      </c>
      <c r="J95">
        <f>$G95*0</f>
        <v/>
      </c>
      <c r="K95">
        <f>$G95*0</f>
        <v/>
      </c>
      <c r="L95">
        <f>$G95*0</f>
        <v/>
      </c>
      <c r="M95">
        <f>$G95*0</f>
        <v/>
      </c>
      <c r="N95">
        <f>Cfg_n12*H95+Cfg_n18*I95+Cfg_n20*J95+Cfg_n22*K95+Cfg_n36*L95+Cfg_n40*M95</f>
        <v/>
      </c>
      <c r="O95" s="16">
        <f>IFERROR(VLOOKUP($E95,LISTINO!$B:$G,6,FALSE),0)</f>
        <v/>
      </c>
      <c r="P95" s="16">
        <f>$N95*$O95</f>
        <v/>
      </c>
      <c r="Q95">
        <f>IF($N95&gt;0,"SI","")</f>
        <v/>
      </c>
    </row>
    <row r="96">
      <c r="A96">
        <f>'DISTINTA COMPLETA'!A96</f>
        <v/>
      </c>
      <c r="B96">
        <f>'DISTINTA COMPLETA'!B96</f>
        <v/>
      </c>
      <c r="C96">
        <f>'DISTINTA COMPLETA'!D96</f>
        <v/>
      </c>
      <c r="D96">
        <f>'DISTINTA COMPLETA'!E96</f>
        <v/>
      </c>
      <c r="E96">
        <f>'DISTINTA COMPLETA'!D96</f>
        <v/>
      </c>
      <c r="F96" t="inlineStr">
        <is>
          <t>SKIP</t>
        </is>
      </c>
      <c r="G96">
        <f>0</f>
        <v/>
      </c>
      <c r="H96">
        <f>$G96*0</f>
        <v/>
      </c>
      <c r="I96">
        <f>$G96*0</f>
        <v/>
      </c>
      <c r="J96">
        <f>$G96*0</f>
        <v/>
      </c>
      <c r="K96">
        <f>$G96*0</f>
        <v/>
      </c>
      <c r="L96">
        <f>$G96*0</f>
        <v/>
      </c>
      <c r="M96">
        <f>$G96*0</f>
        <v/>
      </c>
      <c r="N96">
        <f>Cfg_n12*H96+Cfg_n18*I96+Cfg_n20*J96+Cfg_n22*K96+Cfg_n36*L96+Cfg_n40*M96</f>
        <v/>
      </c>
      <c r="O96" s="16">
        <f>IFERROR(VLOOKUP($E96,LISTINO!$B:$G,6,FALSE),0)</f>
        <v/>
      </c>
      <c r="P96" s="16">
        <f>$N96*$O96</f>
        <v/>
      </c>
      <c r="Q96">
        <f>IF($N96&gt;0,"SI","")</f>
        <v/>
      </c>
    </row>
    <row r="97">
      <c r="A97">
        <f>'DISTINTA COMPLETA'!A97</f>
        <v/>
      </c>
      <c r="B97">
        <f>'DISTINTA COMPLETA'!B97</f>
        <v/>
      </c>
      <c r="C97">
        <f>'DISTINTA COMPLETA'!D97</f>
        <v/>
      </c>
      <c r="D97">
        <f>'DISTINTA COMPLETA'!E97</f>
        <v/>
      </c>
      <c r="E97">
        <f>'DISTINTA COMPLETA'!D97</f>
        <v/>
      </c>
      <c r="F97" t="inlineStr">
        <is>
          <t>SKIP</t>
        </is>
      </c>
      <c r="G97">
        <f>0</f>
        <v/>
      </c>
      <c r="H97">
        <f>$G97*0</f>
        <v/>
      </c>
      <c r="I97">
        <f>$G97*0</f>
        <v/>
      </c>
      <c r="J97">
        <f>$G97*0</f>
        <v/>
      </c>
      <c r="K97">
        <f>$G97*0</f>
        <v/>
      </c>
      <c r="L97">
        <f>$G97*0</f>
        <v/>
      </c>
      <c r="M97">
        <f>$G97*0</f>
        <v/>
      </c>
      <c r="N97">
        <f>Cfg_n12*H97+Cfg_n18*I97+Cfg_n20*J97+Cfg_n22*K97+Cfg_n36*L97+Cfg_n40*M97</f>
        <v/>
      </c>
      <c r="O97" s="16">
        <f>IFERROR(VLOOKUP($E97,LISTINO!$B:$G,6,FALSE),0)</f>
        <v/>
      </c>
      <c r="P97" s="16">
        <f>$N97*$O97</f>
        <v/>
      </c>
      <c r="Q97">
        <f>IF($N97&gt;0,"SI","")</f>
        <v/>
      </c>
    </row>
    <row r="98">
      <c r="A98">
        <f>'DISTINTA COMPLETA'!A98</f>
        <v/>
      </c>
      <c r="B98">
        <f>'DISTINTA COMPLETA'!B98</f>
        <v/>
      </c>
      <c r="C98">
        <f>'DISTINTA COMPLETA'!D98</f>
        <v/>
      </c>
      <c r="D98">
        <f>'DISTINTA COMPLETA'!E98</f>
        <v/>
      </c>
      <c r="E98">
        <f>'DISTINTA COMPLETA'!D98</f>
        <v/>
      </c>
      <c r="F98" t="inlineStr">
        <is>
          <t>SKIP</t>
        </is>
      </c>
      <c r="G98">
        <f>0</f>
        <v/>
      </c>
      <c r="H98">
        <f>$G98*0</f>
        <v/>
      </c>
      <c r="I98">
        <f>$G98*0</f>
        <v/>
      </c>
      <c r="J98">
        <f>$G98*0</f>
        <v/>
      </c>
      <c r="K98">
        <f>$G98*0</f>
        <v/>
      </c>
      <c r="L98">
        <f>$G98*0</f>
        <v/>
      </c>
      <c r="M98">
        <f>$G98*0</f>
        <v/>
      </c>
      <c r="N98">
        <f>Cfg_n12*H98+Cfg_n18*I98+Cfg_n20*J98+Cfg_n22*K98+Cfg_n36*L98+Cfg_n40*M98</f>
        <v/>
      </c>
      <c r="O98" s="16">
        <f>IFERROR(VLOOKUP($E98,LISTINO!$B:$G,6,FALSE),0)</f>
        <v/>
      </c>
      <c r="P98" s="16">
        <f>$N98*$O98</f>
        <v/>
      </c>
      <c r="Q98">
        <f>IF($N98&gt;0,"SI","")</f>
        <v/>
      </c>
    </row>
    <row r="99">
      <c r="A99">
        <f>'DISTINTA COMPLETA'!A99</f>
        <v/>
      </c>
      <c r="B99">
        <f>'DISTINTA COMPLETA'!B99</f>
        <v/>
      </c>
      <c r="C99">
        <f>'DISTINTA COMPLETA'!D99</f>
        <v/>
      </c>
      <c r="D99">
        <f>'DISTINTA COMPLETA'!E99</f>
        <v/>
      </c>
      <c r="E99">
        <f>'DISTINTA COMPLETA'!D99</f>
        <v/>
      </c>
      <c r="F99" t="inlineStr">
        <is>
          <t>SKIP</t>
        </is>
      </c>
      <c r="G99">
        <f>0</f>
        <v/>
      </c>
      <c r="H99">
        <f>$G99*0</f>
        <v/>
      </c>
      <c r="I99">
        <f>$G99*0</f>
        <v/>
      </c>
      <c r="J99">
        <f>$G99*0</f>
        <v/>
      </c>
      <c r="K99">
        <f>$G99*0</f>
        <v/>
      </c>
      <c r="L99">
        <f>$G99*0</f>
        <v/>
      </c>
      <c r="M99">
        <f>$G99*0</f>
        <v/>
      </c>
      <c r="N99">
        <f>Cfg_n12*H99+Cfg_n18*I99+Cfg_n20*J99+Cfg_n22*K99+Cfg_n36*L99+Cfg_n40*M99</f>
        <v/>
      </c>
      <c r="O99" s="16">
        <f>IFERROR(VLOOKUP($E99,LISTINO!$B:$G,6,FALSE),0)</f>
        <v/>
      </c>
      <c r="P99" s="16">
        <f>$N99*$O99</f>
        <v/>
      </c>
      <c r="Q99">
        <f>IF($N99&gt;0,"SI","")</f>
        <v/>
      </c>
    </row>
    <row r="100">
      <c r="A100">
        <f>'DISTINTA COMPLETA'!A100</f>
        <v/>
      </c>
      <c r="B100">
        <f>'DISTINTA COMPLETA'!B100</f>
        <v/>
      </c>
      <c r="C100">
        <f>'DISTINTA COMPLETA'!D100</f>
        <v/>
      </c>
      <c r="D100">
        <f>'DISTINTA COMPLETA'!E100</f>
        <v/>
      </c>
      <c r="E100">
        <f>'DISTINTA COMPLETA'!D100</f>
        <v/>
      </c>
      <c r="F100" t="inlineStr">
        <is>
          <t>SKIP</t>
        </is>
      </c>
      <c r="G100">
        <f>0</f>
        <v/>
      </c>
      <c r="H100">
        <f>$G100*0</f>
        <v/>
      </c>
      <c r="I100">
        <f>$G100*0</f>
        <v/>
      </c>
      <c r="J100">
        <f>$G100*0</f>
        <v/>
      </c>
      <c r="K100">
        <f>$G100*0</f>
        <v/>
      </c>
      <c r="L100">
        <f>$G100*0</f>
        <v/>
      </c>
      <c r="M100">
        <f>$G100*0</f>
        <v/>
      </c>
      <c r="N100">
        <f>Cfg_n12*H100+Cfg_n18*I100+Cfg_n20*J100+Cfg_n22*K100+Cfg_n36*L100+Cfg_n40*M100</f>
        <v/>
      </c>
      <c r="O100" s="16">
        <f>IFERROR(VLOOKUP($E100,LISTINO!$B:$G,6,FALSE),0)</f>
        <v/>
      </c>
      <c r="P100" s="16">
        <f>$N100*$O100</f>
        <v/>
      </c>
      <c r="Q100">
        <f>IF($N100&gt;0,"SI","")</f>
        <v/>
      </c>
    </row>
    <row r="101">
      <c r="A101">
        <f>'DISTINTA COMPLETA'!A101</f>
        <v/>
      </c>
      <c r="B101">
        <f>'DISTINTA COMPLETA'!B101</f>
        <v/>
      </c>
      <c r="C101">
        <f>'DISTINTA COMPLETA'!D101</f>
        <v/>
      </c>
      <c r="D101">
        <f>'DISTINTA COMPLETA'!E101</f>
        <v/>
      </c>
      <c r="E101">
        <f>'DISTINTA COMPLETA'!D101</f>
        <v/>
      </c>
      <c r="F101" t="inlineStr">
        <is>
          <t>SKIP</t>
        </is>
      </c>
      <c r="G101">
        <f>0</f>
        <v/>
      </c>
      <c r="H101">
        <f>$G101*0</f>
        <v/>
      </c>
      <c r="I101">
        <f>$G101*0</f>
        <v/>
      </c>
      <c r="J101">
        <f>$G101*0</f>
        <v/>
      </c>
      <c r="K101">
        <f>$G101*0</f>
        <v/>
      </c>
      <c r="L101">
        <f>$G101*0</f>
        <v/>
      </c>
      <c r="M101">
        <f>$G101*0</f>
        <v/>
      </c>
      <c r="N101">
        <f>Cfg_n12*H101+Cfg_n18*I101+Cfg_n20*J101+Cfg_n22*K101+Cfg_n36*L101+Cfg_n40*M101</f>
        <v/>
      </c>
      <c r="O101" s="16">
        <f>IFERROR(VLOOKUP($E101,LISTINO!$B:$G,6,FALSE),0)</f>
        <v/>
      </c>
      <c r="P101" s="16">
        <f>$N101*$O101</f>
        <v/>
      </c>
      <c r="Q101">
        <f>IF($N101&gt;0,"SI","")</f>
        <v/>
      </c>
    </row>
    <row r="102">
      <c r="A102">
        <f>'DISTINTA COMPLETA'!A102</f>
        <v/>
      </c>
      <c r="B102">
        <f>'DISTINTA COMPLETA'!B102</f>
        <v/>
      </c>
      <c r="C102">
        <f>'DISTINTA COMPLETA'!D102</f>
        <v/>
      </c>
      <c r="D102">
        <f>'DISTINTA COMPLETA'!E102</f>
        <v/>
      </c>
      <c r="E102">
        <f>'DISTINTA COMPLETA'!D102</f>
        <v/>
      </c>
      <c r="F102" t="inlineStr">
        <is>
          <t>SKIP</t>
        </is>
      </c>
      <c r="G102">
        <f>0</f>
        <v/>
      </c>
      <c r="H102">
        <f>$G102*0</f>
        <v/>
      </c>
      <c r="I102">
        <f>$G102*0</f>
        <v/>
      </c>
      <c r="J102">
        <f>$G102*0</f>
        <v/>
      </c>
      <c r="K102">
        <f>$G102*0</f>
        <v/>
      </c>
      <c r="L102">
        <f>$G102*0</f>
        <v/>
      </c>
      <c r="M102">
        <f>$G102*0</f>
        <v/>
      </c>
      <c r="N102">
        <f>Cfg_n12*H102+Cfg_n18*I102+Cfg_n20*J102+Cfg_n22*K102+Cfg_n36*L102+Cfg_n40*M102</f>
        <v/>
      </c>
      <c r="O102" s="16">
        <f>IFERROR(VLOOKUP($E102,LISTINO!$B:$G,6,FALSE),0)</f>
        <v/>
      </c>
      <c r="P102" s="16">
        <f>$N102*$O102</f>
        <v/>
      </c>
      <c r="Q102">
        <f>IF($N102&gt;0,"SI","")</f>
        <v/>
      </c>
    </row>
    <row r="103">
      <c r="A103">
        <f>'DISTINTA COMPLETA'!A103</f>
        <v/>
      </c>
      <c r="B103">
        <f>'DISTINTA COMPLETA'!B103</f>
        <v/>
      </c>
      <c r="C103">
        <f>'DISTINTA COMPLETA'!D103</f>
        <v/>
      </c>
      <c r="D103">
        <f>'DISTINTA COMPLETA'!E103</f>
        <v/>
      </c>
      <c r="E103">
        <f>'DISTINTA COMPLETA'!D103</f>
        <v/>
      </c>
      <c r="F103" t="inlineStr">
        <is>
          <t>SKIP</t>
        </is>
      </c>
      <c r="G103">
        <f>0</f>
        <v/>
      </c>
      <c r="H103">
        <f>$G103*0</f>
        <v/>
      </c>
      <c r="I103">
        <f>$G103*0</f>
        <v/>
      </c>
      <c r="J103">
        <f>$G103*0</f>
        <v/>
      </c>
      <c r="K103">
        <f>$G103*0</f>
        <v/>
      </c>
      <c r="L103">
        <f>$G103*0</f>
        <v/>
      </c>
      <c r="M103">
        <f>$G103*0</f>
        <v/>
      </c>
      <c r="N103">
        <f>Cfg_n12*H103+Cfg_n18*I103+Cfg_n20*J103+Cfg_n22*K103+Cfg_n36*L103+Cfg_n40*M103</f>
        <v/>
      </c>
      <c r="O103" s="16">
        <f>IFERROR(VLOOKUP($E103,LISTINO!$B:$G,6,FALSE),0)</f>
        <v/>
      </c>
      <c r="P103" s="16">
        <f>$N103*$O103</f>
        <v/>
      </c>
      <c r="Q103">
        <f>IF($N103&gt;0,"SI","")</f>
        <v/>
      </c>
    </row>
    <row r="104">
      <c r="A104">
        <f>'DISTINTA COMPLETA'!A104</f>
        <v/>
      </c>
      <c r="B104">
        <f>'DISTINTA COMPLETA'!B104</f>
        <v/>
      </c>
      <c r="C104">
        <f>'DISTINTA COMPLETA'!D104</f>
        <v/>
      </c>
      <c r="D104">
        <f>'DISTINTA COMPLETA'!E104</f>
        <v/>
      </c>
      <c r="E104">
        <f>'DISTINTA COMPLETA'!D104</f>
        <v/>
      </c>
      <c r="F104" t="inlineStr">
        <is>
          <t>SKIP</t>
        </is>
      </c>
      <c r="G104">
        <f>0</f>
        <v/>
      </c>
      <c r="H104">
        <f>$G104*0</f>
        <v/>
      </c>
      <c r="I104">
        <f>$G104*0</f>
        <v/>
      </c>
      <c r="J104">
        <f>$G104*0</f>
        <v/>
      </c>
      <c r="K104">
        <f>$G104*0</f>
        <v/>
      </c>
      <c r="L104">
        <f>$G104*0</f>
        <v/>
      </c>
      <c r="M104">
        <f>$G104*0</f>
        <v/>
      </c>
      <c r="N104">
        <f>Cfg_n12*H104+Cfg_n18*I104+Cfg_n20*J104+Cfg_n22*K104+Cfg_n36*L104+Cfg_n40*M104</f>
        <v/>
      </c>
      <c r="O104" s="16">
        <f>IFERROR(VLOOKUP($E104,LISTINO!$B:$G,6,FALSE),0)</f>
        <v/>
      </c>
      <c r="P104" s="16">
        <f>$N104*$O104</f>
        <v/>
      </c>
      <c r="Q104">
        <f>IF($N104&gt;0,"SI","")</f>
        <v/>
      </c>
    </row>
    <row r="105">
      <c r="A105">
        <f>'DISTINTA COMPLETA'!A105</f>
        <v/>
      </c>
      <c r="B105">
        <f>'DISTINTA COMPLETA'!B105</f>
        <v/>
      </c>
      <c r="C105">
        <f>'DISTINTA COMPLETA'!D105</f>
        <v/>
      </c>
      <c r="D105">
        <f>'DISTINTA COMPLETA'!E105</f>
        <v/>
      </c>
      <c r="E105">
        <f>'DISTINTA COMPLETA'!D105</f>
        <v/>
      </c>
      <c r="F105" t="inlineStr">
        <is>
          <t>SKIP</t>
        </is>
      </c>
      <c r="G105">
        <f>0</f>
        <v/>
      </c>
      <c r="H105">
        <f>$G105*0</f>
        <v/>
      </c>
      <c r="I105">
        <f>$G105*0</f>
        <v/>
      </c>
      <c r="J105">
        <f>$G105*0</f>
        <v/>
      </c>
      <c r="K105">
        <f>$G105*0</f>
        <v/>
      </c>
      <c r="L105">
        <f>$G105*0</f>
        <v/>
      </c>
      <c r="M105">
        <f>$G105*0</f>
        <v/>
      </c>
      <c r="N105">
        <f>Cfg_n12*H105+Cfg_n18*I105+Cfg_n20*J105+Cfg_n22*K105+Cfg_n36*L105+Cfg_n40*M105</f>
        <v/>
      </c>
      <c r="O105" s="16">
        <f>IFERROR(VLOOKUP($E105,LISTINO!$B:$G,6,FALSE),0)</f>
        <v/>
      </c>
      <c r="P105" s="16">
        <f>$N105*$O105</f>
        <v/>
      </c>
      <c r="Q105">
        <f>IF($N105&gt;0,"SI","")</f>
        <v/>
      </c>
    </row>
    <row r="106">
      <c r="A106">
        <f>'DISTINTA COMPLETA'!A106</f>
        <v/>
      </c>
      <c r="B106">
        <f>'DISTINTA COMPLETA'!B106</f>
        <v/>
      </c>
      <c r="C106">
        <f>'DISTINTA COMPLETA'!D106</f>
        <v/>
      </c>
      <c r="D106">
        <f>'DISTINTA COMPLETA'!E106</f>
        <v/>
      </c>
      <c r="E106">
        <f>'DISTINTA COMPLETA'!D106</f>
        <v/>
      </c>
      <c r="F106" t="inlineStr">
        <is>
          <t>SKIP</t>
        </is>
      </c>
      <c r="G106">
        <f>0</f>
        <v/>
      </c>
      <c r="H106">
        <f>$G106*0</f>
        <v/>
      </c>
      <c r="I106">
        <f>$G106*0</f>
        <v/>
      </c>
      <c r="J106">
        <f>$G106*0</f>
        <v/>
      </c>
      <c r="K106">
        <f>$G106*0</f>
        <v/>
      </c>
      <c r="L106">
        <f>$G106*0</f>
        <v/>
      </c>
      <c r="M106">
        <f>$G106*0</f>
        <v/>
      </c>
      <c r="N106">
        <f>Cfg_n12*H106+Cfg_n18*I106+Cfg_n20*J106+Cfg_n22*K106+Cfg_n36*L106+Cfg_n40*M106</f>
        <v/>
      </c>
      <c r="O106" s="16">
        <f>IFERROR(VLOOKUP($E106,LISTINO!$B:$G,6,FALSE),0)</f>
        <v/>
      </c>
      <c r="P106" s="16">
        <f>$N106*$O106</f>
        <v/>
      </c>
      <c r="Q106">
        <f>IF($N106&gt;0,"SI","")</f>
        <v/>
      </c>
    </row>
    <row r="107">
      <c r="A107">
        <f>'DISTINTA COMPLETA'!A107</f>
        <v/>
      </c>
      <c r="B107">
        <f>'DISTINTA COMPLETA'!B107</f>
        <v/>
      </c>
      <c r="C107">
        <f>'DISTINTA COMPLETA'!D107</f>
        <v/>
      </c>
      <c r="D107">
        <f>'DISTINTA COMPLETA'!E107</f>
        <v/>
      </c>
      <c r="E107">
        <f>'DISTINTA COMPLETA'!D107</f>
        <v/>
      </c>
      <c r="F107" t="inlineStr">
        <is>
          <t>SKIP</t>
        </is>
      </c>
      <c r="G107">
        <f>0</f>
        <v/>
      </c>
      <c r="H107">
        <f>$G107*0</f>
        <v/>
      </c>
      <c r="I107">
        <f>$G107*0</f>
        <v/>
      </c>
      <c r="J107">
        <f>$G107*0</f>
        <v/>
      </c>
      <c r="K107">
        <f>$G107*0</f>
        <v/>
      </c>
      <c r="L107">
        <f>$G107*0</f>
        <v/>
      </c>
      <c r="M107">
        <f>$G107*0</f>
        <v/>
      </c>
      <c r="N107">
        <f>Cfg_n12*H107+Cfg_n18*I107+Cfg_n20*J107+Cfg_n22*K107+Cfg_n36*L107+Cfg_n40*M107</f>
        <v/>
      </c>
      <c r="O107" s="16">
        <f>IFERROR(VLOOKUP($E107,LISTINO!$B:$G,6,FALSE),0)</f>
        <v/>
      </c>
      <c r="P107" s="16">
        <f>$N107*$O107</f>
        <v/>
      </c>
      <c r="Q107">
        <f>IF($N107&gt;0,"SI","")</f>
        <v/>
      </c>
    </row>
    <row r="108">
      <c r="A108">
        <f>'DISTINTA COMPLETA'!A108</f>
        <v/>
      </c>
      <c r="B108">
        <f>'DISTINTA COMPLETA'!B108</f>
        <v/>
      </c>
      <c r="C108">
        <f>'DISTINTA COMPLETA'!D108</f>
        <v/>
      </c>
      <c r="D108">
        <f>'DISTINTA COMPLETA'!E108</f>
        <v/>
      </c>
      <c r="E108">
        <f>'DISTINTA COMPLETA'!D108</f>
        <v/>
      </c>
      <c r="F108" t="inlineStr">
        <is>
          <t>SKIP</t>
        </is>
      </c>
      <c r="G108">
        <f>0</f>
        <v/>
      </c>
      <c r="H108">
        <f>$G108*0</f>
        <v/>
      </c>
      <c r="I108">
        <f>$G108*0</f>
        <v/>
      </c>
      <c r="J108">
        <f>$G108*0</f>
        <v/>
      </c>
      <c r="K108">
        <f>$G108*0</f>
        <v/>
      </c>
      <c r="L108">
        <f>$G108*0</f>
        <v/>
      </c>
      <c r="M108">
        <f>$G108*0</f>
        <v/>
      </c>
      <c r="N108">
        <f>Cfg_n12*H108+Cfg_n18*I108+Cfg_n20*J108+Cfg_n22*K108+Cfg_n36*L108+Cfg_n40*M108</f>
        <v/>
      </c>
      <c r="O108" s="16">
        <f>IFERROR(VLOOKUP($E108,LISTINO!$B:$G,6,FALSE),0)</f>
        <v/>
      </c>
      <c r="P108" s="16">
        <f>$N108*$O108</f>
        <v/>
      </c>
      <c r="Q108">
        <f>IF($N108&gt;0,"SI","")</f>
        <v/>
      </c>
    </row>
    <row r="109">
      <c r="A109">
        <f>'DISTINTA COMPLETA'!A109</f>
        <v/>
      </c>
      <c r="B109">
        <f>'DISTINTA COMPLETA'!B109</f>
        <v/>
      </c>
      <c r="C109">
        <f>'DISTINTA COMPLETA'!D109</f>
        <v/>
      </c>
      <c r="D109">
        <f>'DISTINTA COMPLETA'!E109</f>
        <v/>
      </c>
      <c r="E109">
        <f>'DISTINTA COMPLETA'!D109</f>
        <v/>
      </c>
      <c r="F109" t="inlineStr">
        <is>
          <t>SKIP</t>
        </is>
      </c>
      <c r="G109">
        <f>0</f>
        <v/>
      </c>
      <c r="H109">
        <f>$G109*0</f>
        <v/>
      </c>
      <c r="I109">
        <f>$G109*0</f>
        <v/>
      </c>
      <c r="J109">
        <f>$G109*0</f>
        <v/>
      </c>
      <c r="K109">
        <f>$G109*0</f>
        <v/>
      </c>
      <c r="L109">
        <f>$G109*0</f>
        <v/>
      </c>
      <c r="M109">
        <f>$G109*0</f>
        <v/>
      </c>
      <c r="N109">
        <f>Cfg_n12*H109+Cfg_n18*I109+Cfg_n20*J109+Cfg_n22*K109+Cfg_n36*L109+Cfg_n40*M109</f>
        <v/>
      </c>
      <c r="O109" s="16">
        <f>IFERROR(VLOOKUP($E109,LISTINO!$B:$G,6,FALSE),0)</f>
        <v/>
      </c>
      <c r="P109" s="16">
        <f>$N109*$O109</f>
        <v/>
      </c>
      <c r="Q109">
        <f>IF($N109&gt;0,"SI","")</f>
        <v/>
      </c>
    </row>
    <row r="110">
      <c r="A110">
        <f>'DISTINTA COMPLETA'!A110</f>
        <v/>
      </c>
      <c r="B110">
        <f>'DISTINTA COMPLETA'!B110</f>
        <v/>
      </c>
      <c r="C110">
        <f>'DISTINTA COMPLETA'!D110</f>
        <v/>
      </c>
      <c r="D110">
        <f>'DISTINTA COMPLETA'!E110</f>
        <v/>
      </c>
      <c r="E110">
        <f>'DISTINTA COMPLETA'!D110</f>
        <v/>
      </c>
      <c r="F110" t="inlineStr">
        <is>
          <t>SKIP</t>
        </is>
      </c>
      <c r="G110">
        <f>0</f>
        <v/>
      </c>
      <c r="H110">
        <f>$G110*0</f>
        <v/>
      </c>
      <c r="I110">
        <f>$G110*0</f>
        <v/>
      </c>
      <c r="J110">
        <f>$G110*0</f>
        <v/>
      </c>
      <c r="K110">
        <f>$G110*0</f>
        <v/>
      </c>
      <c r="L110">
        <f>$G110*0</f>
        <v/>
      </c>
      <c r="M110">
        <f>$G110*0</f>
        <v/>
      </c>
      <c r="N110">
        <f>Cfg_n12*H110+Cfg_n18*I110+Cfg_n20*J110+Cfg_n22*K110+Cfg_n36*L110+Cfg_n40*M110</f>
        <v/>
      </c>
      <c r="O110" s="16">
        <f>IFERROR(VLOOKUP($E110,LISTINO!$B:$G,6,FALSE),0)</f>
        <v/>
      </c>
      <c r="P110" s="16">
        <f>$N110*$O110</f>
        <v/>
      </c>
      <c r="Q110">
        <f>IF($N110&gt;0,"SI","")</f>
        <v/>
      </c>
    </row>
    <row r="111">
      <c r="A111">
        <f>'DISTINTA COMPLETA'!A111</f>
        <v/>
      </c>
      <c r="B111">
        <f>'DISTINTA COMPLETA'!B111</f>
        <v/>
      </c>
      <c r="C111">
        <f>'DISTINTA COMPLETA'!D111</f>
        <v/>
      </c>
      <c r="D111">
        <f>'DISTINTA COMPLETA'!E111</f>
        <v/>
      </c>
      <c r="E111">
        <f>'DISTINTA COMPLETA'!D111</f>
        <v/>
      </c>
      <c r="F111" t="inlineStr">
        <is>
          <t>SKIP</t>
        </is>
      </c>
      <c r="G111">
        <f>0</f>
        <v/>
      </c>
      <c r="H111">
        <f>$G111*0</f>
        <v/>
      </c>
      <c r="I111">
        <f>$G111*0</f>
        <v/>
      </c>
      <c r="J111">
        <f>$G111*0</f>
        <v/>
      </c>
      <c r="K111">
        <f>$G111*0</f>
        <v/>
      </c>
      <c r="L111">
        <f>$G111*0</f>
        <v/>
      </c>
      <c r="M111">
        <f>$G111*0</f>
        <v/>
      </c>
      <c r="N111">
        <f>Cfg_n12*H111+Cfg_n18*I111+Cfg_n20*J111+Cfg_n22*K111+Cfg_n36*L111+Cfg_n40*M111</f>
        <v/>
      </c>
      <c r="O111" s="16">
        <f>IFERROR(VLOOKUP($E111,LISTINO!$B:$G,6,FALSE),0)</f>
        <v/>
      </c>
      <c r="P111" s="16">
        <f>$N111*$O111</f>
        <v/>
      </c>
      <c r="Q111">
        <f>IF($N111&gt;0,"SI","")</f>
        <v/>
      </c>
    </row>
    <row r="112">
      <c r="A112">
        <f>'DISTINTA COMPLETA'!A112</f>
        <v/>
      </c>
      <c r="B112">
        <f>'DISTINTA COMPLETA'!B112</f>
        <v/>
      </c>
      <c r="C112">
        <f>'DISTINTA COMPLETA'!D112</f>
        <v/>
      </c>
      <c r="D112">
        <f>'DISTINTA COMPLETA'!E112</f>
        <v/>
      </c>
      <c r="E112">
        <f>'DISTINTA COMPLETA'!D112</f>
        <v/>
      </c>
      <c r="F112" t="inlineStr">
        <is>
          <t>SKIP</t>
        </is>
      </c>
      <c r="G112">
        <f>0</f>
        <v/>
      </c>
      <c r="H112">
        <f>$G112*0</f>
        <v/>
      </c>
      <c r="I112">
        <f>$G112*0</f>
        <v/>
      </c>
      <c r="J112">
        <f>$G112*0</f>
        <v/>
      </c>
      <c r="K112">
        <f>$G112*0</f>
        <v/>
      </c>
      <c r="L112">
        <f>$G112*0</f>
        <v/>
      </c>
      <c r="M112">
        <f>$G112*0</f>
        <v/>
      </c>
      <c r="N112">
        <f>Cfg_n12*H112+Cfg_n18*I112+Cfg_n20*J112+Cfg_n22*K112+Cfg_n36*L112+Cfg_n40*M112</f>
        <v/>
      </c>
      <c r="O112" s="16">
        <f>IFERROR(VLOOKUP($E112,LISTINO!$B:$G,6,FALSE),0)</f>
        <v/>
      </c>
      <c r="P112" s="16">
        <f>$N112*$O112</f>
        <v/>
      </c>
      <c r="Q112">
        <f>IF($N112&gt;0,"SI","")</f>
        <v/>
      </c>
    </row>
    <row r="113">
      <c r="A113">
        <f>'DISTINTA COMPLETA'!A113</f>
        <v/>
      </c>
      <c r="B113">
        <f>'DISTINTA COMPLETA'!B113</f>
        <v/>
      </c>
      <c r="C113">
        <f>'DISTINTA COMPLETA'!D113</f>
        <v/>
      </c>
      <c r="D113">
        <f>'DISTINTA COMPLETA'!E113</f>
        <v/>
      </c>
      <c r="E113">
        <f>'DISTINTA COMPLETA'!D113</f>
        <v/>
      </c>
      <c r="F113" t="inlineStr">
        <is>
          <t>SKIP</t>
        </is>
      </c>
      <c r="G113">
        <f>0</f>
        <v/>
      </c>
      <c r="H113">
        <f>$G113*0</f>
        <v/>
      </c>
      <c r="I113">
        <f>$G113*0</f>
        <v/>
      </c>
      <c r="J113">
        <f>$G113*0</f>
        <v/>
      </c>
      <c r="K113">
        <f>$G113*0</f>
        <v/>
      </c>
      <c r="L113">
        <f>$G113*0</f>
        <v/>
      </c>
      <c r="M113">
        <f>$G113*0</f>
        <v/>
      </c>
      <c r="N113">
        <f>Cfg_n12*H113+Cfg_n18*I113+Cfg_n20*J113+Cfg_n22*K113+Cfg_n36*L113+Cfg_n40*M113</f>
        <v/>
      </c>
      <c r="O113" s="16">
        <f>IFERROR(VLOOKUP($E113,LISTINO!$B:$G,6,FALSE),0)</f>
        <v/>
      </c>
      <c r="P113" s="16">
        <f>$N113*$O113</f>
        <v/>
      </c>
      <c r="Q113">
        <f>IF($N113&gt;0,"SI","")</f>
        <v/>
      </c>
    </row>
    <row r="114">
      <c r="A114">
        <f>'DISTINTA COMPLETA'!A114</f>
        <v/>
      </c>
      <c r="B114">
        <f>'DISTINTA COMPLETA'!B114</f>
        <v/>
      </c>
      <c r="C114">
        <f>'DISTINTA COMPLETA'!D114</f>
        <v/>
      </c>
      <c r="D114">
        <f>'DISTINTA COMPLETA'!E114</f>
        <v/>
      </c>
      <c r="E114">
        <f>'DISTINTA COMPLETA'!D114</f>
        <v/>
      </c>
      <c r="F114" t="inlineStr">
        <is>
          <t>SKIP</t>
        </is>
      </c>
      <c r="G114">
        <f>0</f>
        <v/>
      </c>
      <c r="H114">
        <f>$G114*0</f>
        <v/>
      </c>
      <c r="I114">
        <f>$G114*0</f>
        <v/>
      </c>
      <c r="J114">
        <f>$G114*0</f>
        <v/>
      </c>
      <c r="K114">
        <f>$G114*0</f>
        <v/>
      </c>
      <c r="L114">
        <f>$G114*0</f>
        <v/>
      </c>
      <c r="M114">
        <f>$G114*0</f>
        <v/>
      </c>
      <c r="N114">
        <f>Cfg_n12*H114+Cfg_n18*I114+Cfg_n20*J114+Cfg_n22*K114+Cfg_n36*L114+Cfg_n40*M114</f>
        <v/>
      </c>
      <c r="O114" s="16">
        <f>IFERROR(VLOOKUP($E114,LISTINO!$B:$G,6,FALSE),0)</f>
        <v/>
      </c>
      <c r="P114" s="16">
        <f>$N114*$O114</f>
        <v/>
      </c>
      <c r="Q114">
        <f>IF($N114&gt;0,"SI","")</f>
        <v/>
      </c>
    </row>
    <row r="115">
      <c r="A115">
        <f>'DISTINTA COMPLETA'!A115</f>
        <v/>
      </c>
      <c r="B115">
        <f>'DISTINTA COMPLETA'!B115</f>
        <v/>
      </c>
      <c r="C115">
        <f>'DISTINTA COMPLETA'!D115</f>
        <v/>
      </c>
      <c r="D115">
        <f>'DISTINTA COMPLETA'!E115</f>
        <v/>
      </c>
      <c r="E115">
        <f>'DISTINTA COMPLETA'!D115</f>
        <v/>
      </c>
      <c r="F115" t="inlineStr">
        <is>
          <t>SKIP</t>
        </is>
      </c>
      <c r="G115">
        <f>0</f>
        <v/>
      </c>
      <c r="H115">
        <f>$G115*0</f>
        <v/>
      </c>
      <c r="I115">
        <f>$G115*0</f>
        <v/>
      </c>
      <c r="J115">
        <f>$G115*0</f>
        <v/>
      </c>
      <c r="K115">
        <f>$G115*0</f>
        <v/>
      </c>
      <c r="L115">
        <f>$G115*0</f>
        <v/>
      </c>
      <c r="M115">
        <f>$G115*0</f>
        <v/>
      </c>
      <c r="N115">
        <f>Cfg_n12*H115+Cfg_n18*I115+Cfg_n20*J115+Cfg_n22*K115+Cfg_n36*L115+Cfg_n40*M115</f>
        <v/>
      </c>
      <c r="O115" s="16">
        <f>IFERROR(VLOOKUP($E115,LISTINO!$B:$G,6,FALSE),0)</f>
        <v/>
      </c>
      <c r="P115" s="16">
        <f>$N115*$O115</f>
        <v/>
      </c>
      <c r="Q115">
        <f>IF($N115&gt;0,"SI","")</f>
        <v/>
      </c>
    </row>
    <row r="116">
      <c r="A116">
        <f>'DISTINTA COMPLETA'!A116</f>
        <v/>
      </c>
      <c r="B116">
        <f>'DISTINTA COMPLETA'!B116</f>
        <v/>
      </c>
      <c r="C116">
        <f>'DISTINTA COMPLETA'!D116</f>
        <v/>
      </c>
      <c r="D116">
        <f>'DISTINTA COMPLETA'!E116</f>
        <v/>
      </c>
      <c r="E116">
        <f>'DISTINTA COMPLETA'!D116</f>
        <v/>
      </c>
      <c r="F116" t="inlineStr">
        <is>
          <t>SKIP</t>
        </is>
      </c>
      <c r="G116">
        <f>0</f>
        <v/>
      </c>
      <c r="H116">
        <f>$G116*0</f>
        <v/>
      </c>
      <c r="I116">
        <f>$G116*0</f>
        <v/>
      </c>
      <c r="J116">
        <f>$G116*0</f>
        <v/>
      </c>
      <c r="K116">
        <f>$G116*0</f>
        <v/>
      </c>
      <c r="L116">
        <f>$G116*0</f>
        <v/>
      </c>
      <c r="M116">
        <f>$G116*0</f>
        <v/>
      </c>
      <c r="N116">
        <f>Cfg_n12*H116+Cfg_n18*I116+Cfg_n20*J116+Cfg_n22*K116+Cfg_n36*L116+Cfg_n40*M116</f>
        <v/>
      </c>
      <c r="O116" s="16">
        <f>IFERROR(VLOOKUP($E116,LISTINO!$B:$G,6,FALSE),0)</f>
        <v/>
      </c>
      <c r="P116" s="16">
        <f>$N116*$O116</f>
        <v/>
      </c>
      <c r="Q116">
        <f>IF($N116&gt;0,"SI","")</f>
        <v/>
      </c>
    </row>
    <row r="117">
      <c r="A117">
        <f>'DISTINTA COMPLETA'!A117</f>
        <v/>
      </c>
      <c r="B117">
        <f>'DISTINTA COMPLETA'!B117</f>
        <v/>
      </c>
      <c r="C117">
        <f>'DISTINTA COMPLETA'!D117</f>
        <v/>
      </c>
      <c r="D117">
        <f>'DISTINTA COMPLETA'!E117</f>
        <v/>
      </c>
      <c r="E117">
        <f>'DISTINTA COMPLETA'!D117</f>
        <v/>
      </c>
      <c r="F117" t="inlineStr">
        <is>
          <t>SKIP</t>
        </is>
      </c>
      <c r="G117">
        <f>0</f>
        <v/>
      </c>
      <c r="H117">
        <f>$G117*0</f>
        <v/>
      </c>
      <c r="I117">
        <f>$G117*0</f>
        <v/>
      </c>
      <c r="J117">
        <f>$G117*0</f>
        <v/>
      </c>
      <c r="K117">
        <f>$G117*0</f>
        <v/>
      </c>
      <c r="L117">
        <f>$G117*0</f>
        <v/>
      </c>
      <c r="M117">
        <f>$G117*0</f>
        <v/>
      </c>
      <c r="N117">
        <f>Cfg_n12*H117+Cfg_n18*I117+Cfg_n20*J117+Cfg_n22*K117+Cfg_n36*L117+Cfg_n40*M117</f>
        <v/>
      </c>
      <c r="O117" s="16">
        <f>IFERROR(VLOOKUP($E117,LISTINO!$B:$G,6,FALSE),0)</f>
        <v/>
      </c>
      <c r="P117" s="16">
        <f>$N117*$O117</f>
        <v/>
      </c>
      <c r="Q117">
        <f>IF($N117&gt;0,"SI","")</f>
        <v/>
      </c>
    </row>
    <row r="118">
      <c r="A118">
        <f>'DISTINTA COMPLETA'!A118</f>
        <v/>
      </c>
      <c r="B118">
        <f>'DISTINTA COMPLETA'!B118</f>
        <v/>
      </c>
      <c r="C118">
        <f>'DISTINTA COMPLETA'!D118</f>
        <v/>
      </c>
      <c r="D118">
        <f>'DISTINTA COMPLETA'!E118</f>
        <v/>
      </c>
      <c r="E118">
        <f>'DISTINTA COMPLETA'!D118</f>
        <v/>
      </c>
      <c r="F118" t="inlineStr">
        <is>
          <t>SKIP</t>
        </is>
      </c>
      <c r="G118">
        <f>0</f>
        <v/>
      </c>
      <c r="H118">
        <f>$G118*0</f>
        <v/>
      </c>
      <c r="I118">
        <f>$G118*0</f>
        <v/>
      </c>
      <c r="J118">
        <f>$G118*0</f>
        <v/>
      </c>
      <c r="K118">
        <f>$G118*0</f>
        <v/>
      </c>
      <c r="L118">
        <f>$G118*0</f>
        <v/>
      </c>
      <c r="M118">
        <f>$G118*0</f>
        <v/>
      </c>
      <c r="N118">
        <f>Cfg_n12*H118+Cfg_n18*I118+Cfg_n20*J118+Cfg_n22*K118+Cfg_n36*L118+Cfg_n40*M118</f>
        <v/>
      </c>
      <c r="O118" s="16">
        <f>IFERROR(VLOOKUP($E118,LISTINO!$B:$G,6,FALSE),0)</f>
        <v/>
      </c>
      <c r="P118" s="16">
        <f>$N118*$O118</f>
        <v/>
      </c>
      <c r="Q118">
        <f>IF($N118&gt;0,"SI","")</f>
        <v/>
      </c>
    </row>
    <row r="119">
      <c r="A119">
        <f>'DISTINTA COMPLETA'!A119</f>
        <v/>
      </c>
      <c r="B119">
        <f>'DISTINTA COMPLETA'!B119</f>
        <v/>
      </c>
      <c r="C119">
        <f>'DISTINTA COMPLETA'!D119</f>
        <v/>
      </c>
      <c r="D119">
        <f>'DISTINTA COMPLETA'!E119</f>
        <v/>
      </c>
      <c r="E119">
        <f>'DISTINTA COMPLETA'!D119</f>
        <v/>
      </c>
      <c r="F119" t="inlineStr">
        <is>
          <t>SKIP</t>
        </is>
      </c>
      <c r="G119">
        <f>0</f>
        <v/>
      </c>
      <c r="H119">
        <f>$G119*0</f>
        <v/>
      </c>
      <c r="I119">
        <f>$G119*0</f>
        <v/>
      </c>
      <c r="J119">
        <f>$G119*0</f>
        <v/>
      </c>
      <c r="K119">
        <f>$G119*0</f>
        <v/>
      </c>
      <c r="L119">
        <f>$G119*0</f>
        <v/>
      </c>
      <c r="M119">
        <f>$G119*0</f>
        <v/>
      </c>
      <c r="N119">
        <f>Cfg_n12*H119+Cfg_n18*I119+Cfg_n20*J119+Cfg_n22*K119+Cfg_n36*L119+Cfg_n40*M119</f>
        <v/>
      </c>
      <c r="O119" s="16">
        <f>IFERROR(VLOOKUP($E119,LISTINO!$B:$G,6,FALSE),0)</f>
        <v/>
      </c>
      <c r="P119" s="16">
        <f>$N119*$O119</f>
        <v/>
      </c>
      <c r="Q119">
        <f>IF($N119&gt;0,"SI","")</f>
        <v/>
      </c>
    </row>
    <row r="120">
      <c r="A120">
        <f>'DISTINTA COMPLETA'!A120</f>
        <v/>
      </c>
      <c r="B120">
        <f>'DISTINTA COMPLETA'!B120</f>
        <v/>
      </c>
      <c r="C120">
        <f>'DISTINTA COMPLETA'!D120</f>
        <v/>
      </c>
      <c r="D120">
        <f>'DISTINTA COMPLETA'!E120</f>
        <v/>
      </c>
      <c r="E120">
        <f>'DISTINTA COMPLETA'!D120</f>
        <v/>
      </c>
      <c r="F120" t="inlineStr">
        <is>
          <t>SKIP</t>
        </is>
      </c>
      <c r="G120">
        <f>0</f>
        <v/>
      </c>
      <c r="H120">
        <f>$G120*0</f>
        <v/>
      </c>
      <c r="I120">
        <f>$G120*0</f>
        <v/>
      </c>
      <c r="J120">
        <f>$G120*0</f>
        <v/>
      </c>
      <c r="K120">
        <f>$G120*0</f>
        <v/>
      </c>
      <c r="L120">
        <f>$G120*0</f>
        <v/>
      </c>
      <c r="M120">
        <f>$G120*0</f>
        <v/>
      </c>
      <c r="N120">
        <f>Cfg_n12*H120+Cfg_n18*I120+Cfg_n20*J120+Cfg_n22*K120+Cfg_n36*L120+Cfg_n40*M120</f>
        <v/>
      </c>
      <c r="O120" s="16">
        <f>IFERROR(VLOOKUP($E120,LISTINO!$B:$G,6,FALSE),0)</f>
        <v/>
      </c>
      <c r="P120" s="16">
        <f>$N120*$O120</f>
        <v/>
      </c>
      <c r="Q120">
        <f>IF($N120&gt;0,"SI","")</f>
        <v/>
      </c>
    </row>
    <row r="121">
      <c r="A121">
        <f>'DISTINTA COMPLETA'!A121</f>
        <v/>
      </c>
      <c r="B121">
        <f>'DISTINTA COMPLETA'!B121</f>
        <v/>
      </c>
      <c r="C121">
        <f>'DISTINTA COMPLETA'!D121</f>
        <v/>
      </c>
      <c r="D121">
        <f>'DISTINTA COMPLETA'!E121</f>
        <v/>
      </c>
      <c r="E121">
        <f>'DISTINTA COMPLETA'!D121</f>
        <v/>
      </c>
      <c r="F121" t="inlineStr">
        <is>
          <t>SKIP</t>
        </is>
      </c>
      <c r="G121">
        <f>0</f>
        <v/>
      </c>
      <c r="H121">
        <f>$G121*0</f>
        <v/>
      </c>
      <c r="I121">
        <f>$G121*0</f>
        <v/>
      </c>
      <c r="J121">
        <f>$G121*0</f>
        <v/>
      </c>
      <c r="K121">
        <f>$G121*0</f>
        <v/>
      </c>
      <c r="L121">
        <f>$G121*0</f>
        <v/>
      </c>
      <c r="M121">
        <f>$G121*0</f>
        <v/>
      </c>
      <c r="N121">
        <f>Cfg_n12*H121+Cfg_n18*I121+Cfg_n20*J121+Cfg_n22*K121+Cfg_n36*L121+Cfg_n40*M121</f>
        <v/>
      </c>
      <c r="O121" s="16">
        <f>IFERROR(VLOOKUP($E121,LISTINO!$B:$G,6,FALSE),0)</f>
        <v/>
      </c>
      <c r="P121" s="16">
        <f>$N121*$O121</f>
        <v/>
      </c>
      <c r="Q121">
        <f>IF($N121&gt;0,"SI","")</f>
        <v/>
      </c>
    </row>
    <row r="122">
      <c r="A122">
        <f>'DISTINTA COMPLETA'!A122</f>
        <v/>
      </c>
      <c r="B122">
        <f>'DISTINTA COMPLETA'!B122</f>
        <v/>
      </c>
      <c r="C122">
        <f>'DISTINTA COMPLETA'!D122</f>
        <v/>
      </c>
      <c r="D122">
        <f>'DISTINTA COMPLETA'!E122</f>
        <v/>
      </c>
      <c r="E122">
        <f>'DISTINTA COMPLETA'!D122</f>
        <v/>
      </c>
      <c r="F122" t="inlineStr">
        <is>
          <t>GIUNZ</t>
        </is>
      </c>
      <c r="G122">
        <f>IF(Cfg_Struttura="Agrivoltaico",1,0)</f>
        <v/>
      </c>
      <c r="H122">
        <f>$G122*4</f>
        <v/>
      </c>
      <c r="I122">
        <f>$G122*8</f>
        <v/>
      </c>
      <c r="J122">
        <f>$G122*8</f>
        <v/>
      </c>
      <c r="K122">
        <f>$G122*8</f>
        <v/>
      </c>
      <c r="L122">
        <f>$G122*16</f>
        <v/>
      </c>
      <c r="M122">
        <f>$G122*20</f>
        <v/>
      </c>
      <c r="N122">
        <f>Cfg_n12*H122+Cfg_n18*I122+Cfg_n20*J122+Cfg_n22*K122+Cfg_n36*L122+Cfg_n40*M122</f>
        <v/>
      </c>
      <c r="O122" s="16">
        <f>IFERROR(VLOOKUP($E122,LISTINO!$B:$G,6,FALSE),0)</f>
        <v/>
      </c>
      <c r="P122" s="16">
        <f>$N122*$O122</f>
        <v/>
      </c>
      <c r="Q122">
        <f>IF($N122&gt;0,"SI","")</f>
        <v/>
      </c>
    </row>
    <row r="123">
      <c r="A123">
        <f>'DISTINTA COMPLETA'!A123</f>
        <v/>
      </c>
      <c r="B123">
        <f>'DISTINTA COMPLETA'!B123</f>
        <v/>
      </c>
      <c r="C123">
        <f>'DISTINTA COMPLETA'!D123</f>
        <v/>
      </c>
      <c r="D123">
        <f>'DISTINTA COMPLETA'!E123</f>
        <v/>
      </c>
      <c r="E123">
        <f>'DISTINTA COMPLETA'!D123</f>
        <v/>
      </c>
      <c r="F123" t="inlineStr">
        <is>
          <t>GIUNZ</t>
        </is>
      </c>
      <c r="G123">
        <f>IF(Cfg_Struttura="Agrivoltaico",1,0)</f>
        <v/>
      </c>
      <c r="H123">
        <f>$G123*16</f>
        <v/>
      </c>
      <c r="I123">
        <f>$G123*32</f>
        <v/>
      </c>
      <c r="J123">
        <f>$G123*32</f>
        <v/>
      </c>
      <c r="K123">
        <f>$G123*32</f>
        <v/>
      </c>
      <c r="L123">
        <f>$G123*64</f>
        <v/>
      </c>
      <c r="M123">
        <f>$G123*80</f>
        <v/>
      </c>
      <c r="N123">
        <f>Cfg_n12*H123+Cfg_n18*I123+Cfg_n20*J123+Cfg_n22*K123+Cfg_n36*L123+Cfg_n40*M123</f>
        <v/>
      </c>
      <c r="O123" s="16">
        <f>IFERROR(VLOOKUP($E123,LISTINO!$B:$G,6,FALSE),0)</f>
        <v/>
      </c>
      <c r="P123" s="16">
        <f>$N123*$O123</f>
        <v/>
      </c>
      <c r="Q123">
        <f>IF($N123&gt;0,"SI","")</f>
        <v/>
      </c>
    </row>
    <row r="124">
      <c r="A124">
        <f>'DISTINTA COMPLETA'!A124</f>
        <v/>
      </c>
      <c r="B124">
        <f>'DISTINTA COMPLETA'!B124</f>
        <v/>
      </c>
      <c r="C124">
        <f>'DISTINTA COMPLETA'!D124</f>
        <v/>
      </c>
      <c r="D124">
        <f>'DISTINTA COMPLETA'!E124</f>
        <v/>
      </c>
      <c r="E124">
        <f>'DISTINTA COMPLETA'!D124</f>
        <v/>
      </c>
      <c r="F124" t="inlineStr">
        <is>
          <t>GIUNZ</t>
        </is>
      </c>
      <c r="G124">
        <f>IF(Cfg_Struttura="Agrivoltaico",1,0)</f>
        <v/>
      </c>
      <c r="H124">
        <f>$G124*16</f>
        <v/>
      </c>
      <c r="I124">
        <f>$G124*32</f>
        <v/>
      </c>
      <c r="J124">
        <f>$G124*32</f>
        <v/>
      </c>
      <c r="K124">
        <f>$G124*32</f>
        <v/>
      </c>
      <c r="L124">
        <f>$G124*64</f>
        <v/>
      </c>
      <c r="M124">
        <f>$G124*80</f>
        <v/>
      </c>
      <c r="N124">
        <f>Cfg_n12*H124+Cfg_n18*I124+Cfg_n20*J124+Cfg_n22*K124+Cfg_n36*L124+Cfg_n40*M124</f>
        <v/>
      </c>
      <c r="O124" s="16">
        <f>IFERROR(VLOOKUP($E124,LISTINO!$B:$G,6,FALSE),0)</f>
        <v/>
      </c>
      <c r="P124" s="16">
        <f>$N124*$O124</f>
        <v/>
      </c>
      <c r="Q124">
        <f>IF($N124&gt;0,"SI","")</f>
        <v/>
      </c>
    </row>
    <row r="125">
      <c r="A125">
        <f>'DISTINTA COMPLETA'!A125</f>
        <v/>
      </c>
      <c r="B125">
        <f>'DISTINTA COMPLETA'!B125</f>
        <v/>
      </c>
      <c r="C125">
        <f>'DISTINTA COMPLETA'!D125</f>
        <v/>
      </c>
      <c r="D125">
        <f>'DISTINTA COMPLETA'!E125</f>
        <v/>
      </c>
      <c r="E125">
        <f>'DISTINTA COMPLETA'!D125</f>
        <v/>
      </c>
      <c r="F125" t="inlineStr">
        <is>
          <t>GIUNZ</t>
        </is>
      </c>
      <c r="G125">
        <f>IF(Cfg_Struttura="Agrivoltaico",1,0)</f>
        <v/>
      </c>
      <c r="H125">
        <f>$G125*16</f>
        <v/>
      </c>
      <c r="I125">
        <f>$G125*32</f>
        <v/>
      </c>
      <c r="J125">
        <f>$G125*32</f>
        <v/>
      </c>
      <c r="K125">
        <f>$G125*32</f>
        <v/>
      </c>
      <c r="L125">
        <f>$G125*64</f>
        <v/>
      </c>
      <c r="M125">
        <f>$G125*80</f>
        <v/>
      </c>
      <c r="N125">
        <f>Cfg_n12*H125+Cfg_n18*I125+Cfg_n20*J125+Cfg_n22*K125+Cfg_n36*L125+Cfg_n40*M125</f>
        <v/>
      </c>
      <c r="O125" s="16">
        <f>IFERROR(VLOOKUP($E125,LISTINO!$B:$G,6,FALSE),0)</f>
        <v/>
      </c>
      <c r="P125" s="16">
        <f>$N125*$O125</f>
        <v/>
      </c>
      <c r="Q125">
        <f>IF($N125&gt;0,"SI","")</f>
        <v/>
      </c>
    </row>
    <row r="126">
      <c r="A126">
        <f>'DISTINTA COMPLETA'!A126</f>
        <v/>
      </c>
      <c r="B126">
        <f>'DISTINTA COMPLETA'!B126</f>
        <v/>
      </c>
      <c r="C126">
        <f>'DISTINTA COMPLETA'!D126</f>
        <v/>
      </c>
      <c r="D126">
        <f>'DISTINTA COMPLETA'!E126</f>
        <v/>
      </c>
      <c r="E126">
        <f>'DISTINTA COMPLETA'!D126</f>
        <v/>
      </c>
      <c r="F126" t="inlineStr">
        <is>
          <t>GIUNZ</t>
        </is>
      </c>
      <c r="G126">
        <f>IF(Cfg_Struttura="Agrivoltaico",1,0)</f>
        <v/>
      </c>
      <c r="H126">
        <f>$G126*16</f>
        <v/>
      </c>
      <c r="I126">
        <f>$G126*32</f>
        <v/>
      </c>
      <c r="J126">
        <f>$G126*32</f>
        <v/>
      </c>
      <c r="K126">
        <f>$G126*32</f>
        <v/>
      </c>
      <c r="L126">
        <f>$G126*64</f>
        <v/>
      </c>
      <c r="M126">
        <f>$G126*80</f>
        <v/>
      </c>
      <c r="N126">
        <f>Cfg_n12*H126+Cfg_n18*I126+Cfg_n20*J126+Cfg_n22*K126+Cfg_n36*L126+Cfg_n40*M126</f>
        <v/>
      </c>
      <c r="O126" s="16">
        <f>IFERROR(VLOOKUP($E126,LISTINO!$B:$G,6,FALSE),0)</f>
        <v/>
      </c>
      <c r="P126" s="16">
        <f>$N126*$O126</f>
        <v/>
      </c>
      <c r="Q126">
        <f>IF($N126&gt;0,"SI","")</f>
        <v/>
      </c>
    </row>
    <row r="127">
      <c r="A127">
        <f>'DISTINTA COMPLETA'!A127</f>
        <v/>
      </c>
      <c r="B127">
        <f>'DISTINTA COMPLETA'!B127</f>
        <v/>
      </c>
      <c r="C127">
        <f>'DISTINTA COMPLETA'!D127</f>
        <v/>
      </c>
      <c r="D127">
        <f>'DISTINTA COMPLETA'!E127</f>
        <v/>
      </c>
      <c r="E127">
        <f>'DISTINTA COMPLETA'!D127</f>
        <v/>
      </c>
      <c r="F127" t="inlineStr">
        <is>
          <t>GIUNZ</t>
        </is>
      </c>
      <c r="G127">
        <f>IF(Cfg_Struttura="Agrivoltaico",1,0)</f>
        <v/>
      </c>
      <c r="H127">
        <f>$G127*4</f>
        <v/>
      </c>
      <c r="I127">
        <f>$G127*8</f>
        <v/>
      </c>
      <c r="J127">
        <f>$G127*8</f>
        <v/>
      </c>
      <c r="K127">
        <f>$G127*8</f>
        <v/>
      </c>
      <c r="L127">
        <f>$G127*16</f>
        <v/>
      </c>
      <c r="M127">
        <f>$G127*20</f>
        <v/>
      </c>
      <c r="N127">
        <f>Cfg_n12*H127+Cfg_n18*I127+Cfg_n20*J127+Cfg_n22*K127+Cfg_n36*L127+Cfg_n40*M127</f>
        <v/>
      </c>
      <c r="O127" s="16">
        <f>IFERROR(VLOOKUP($E127,LISTINO!$B:$G,6,FALSE),0)</f>
        <v/>
      </c>
      <c r="P127" s="16">
        <f>$N127*$O127</f>
        <v/>
      </c>
      <c r="Q127">
        <f>IF($N127&gt;0,"SI","")</f>
        <v/>
      </c>
    </row>
    <row r="128">
      <c r="A128">
        <f>'DISTINTA COMPLETA'!A128</f>
        <v/>
      </c>
      <c r="B128">
        <f>'DISTINTA COMPLETA'!B128</f>
        <v/>
      </c>
      <c r="C128">
        <f>'DISTINTA COMPLETA'!D128</f>
        <v/>
      </c>
      <c r="D128">
        <f>'DISTINTA COMPLETA'!E128</f>
        <v/>
      </c>
      <c r="E128">
        <f>'DISTINTA COMPLETA'!D128</f>
        <v/>
      </c>
      <c r="F128" t="inlineStr">
        <is>
          <t>GIUNZ</t>
        </is>
      </c>
      <c r="G128">
        <f>IF(Cfg_Struttura="Agrivoltaico",1,0)</f>
        <v/>
      </c>
      <c r="H128">
        <f>$G128*8</f>
        <v/>
      </c>
      <c r="I128">
        <f>$G128*16</f>
        <v/>
      </c>
      <c r="J128">
        <f>$G128*16</f>
        <v/>
      </c>
      <c r="K128">
        <f>$G128*16</f>
        <v/>
      </c>
      <c r="L128">
        <f>$G128*32</f>
        <v/>
      </c>
      <c r="M128">
        <f>$G128*40</f>
        <v/>
      </c>
      <c r="N128">
        <f>Cfg_n12*H128+Cfg_n18*I128+Cfg_n20*J128+Cfg_n22*K128+Cfg_n36*L128+Cfg_n40*M128</f>
        <v/>
      </c>
      <c r="O128" s="16">
        <f>IFERROR(VLOOKUP($E128,LISTINO!$B:$G,6,FALSE),0)</f>
        <v/>
      </c>
      <c r="P128" s="16">
        <f>$N128*$O128</f>
        <v/>
      </c>
      <c r="Q128">
        <f>IF($N128&gt;0,"SI","")</f>
        <v/>
      </c>
    </row>
    <row r="129">
      <c r="A129">
        <f>'DISTINTA COMPLETA'!A129</f>
        <v/>
      </c>
      <c r="B129">
        <f>'DISTINTA COMPLETA'!B129</f>
        <v/>
      </c>
      <c r="C129">
        <f>'DISTINTA COMPLETA'!D129</f>
        <v/>
      </c>
      <c r="D129">
        <f>'DISTINTA COMPLETA'!E129</f>
        <v/>
      </c>
      <c r="E129">
        <f>'DISTINTA COMPLETA'!D129</f>
        <v/>
      </c>
      <c r="F129" t="inlineStr">
        <is>
          <t>GIUNZ</t>
        </is>
      </c>
      <c r="G129">
        <f>IF(Cfg_Struttura="Agrivoltaico",1,0)</f>
        <v/>
      </c>
      <c r="H129">
        <f>$G129*48</f>
        <v/>
      </c>
      <c r="I129">
        <f>$G129*96</f>
        <v/>
      </c>
      <c r="J129">
        <f>$G129*96</f>
        <v/>
      </c>
      <c r="K129">
        <f>$G129*96</f>
        <v/>
      </c>
      <c r="L129">
        <f>$G129*192</f>
        <v/>
      </c>
      <c r="M129">
        <f>$G129*240</f>
        <v/>
      </c>
      <c r="N129">
        <f>Cfg_n12*H129+Cfg_n18*I129+Cfg_n20*J129+Cfg_n22*K129+Cfg_n36*L129+Cfg_n40*M129</f>
        <v/>
      </c>
      <c r="O129" s="16">
        <f>IFERROR(VLOOKUP($E129,LISTINO!$B:$G,6,FALSE),0)</f>
        <v/>
      </c>
      <c r="P129" s="16">
        <f>$N129*$O129</f>
        <v/>
      </c>
      <c r="Q129">
        <f>IF($N129&gt;0,"SI","")</f>
        <v/>
      </c>
    </row>
    <row r="130">
      <c r="A130">
        <f>'DISTINTA COMPLETA'!A130</f>
        <v/>
      </c>
      <c r="B130">
        <f>'DISTINTA COMPLETA'!B130</f>
        <v/>
      </c>
      <c r="C130">
        <f>'DISTINTA COMPLETA'!D130</f>
        <v/>
      </c>
      <c r="D130">
        <f>'DISTINTA COMPLETA'!E130</f>
        <v/>
      </c>
      <c r="E130">
        <f>'DISTINTA COMPLETA'!D130</f>
        <v/>
      </c>
      <c r="F130" t="inlineStr">
        <is>
          <t>GIUNZ</t>
        </is>
      </c>
      <c r="G130">
        <f>IF(Cfg_Struttura="Agrivoltaico",1,0)</f>
        <v/>
      </c>
      <c r="H130">
        <f>$G130*48</f>
        <v/>
      </c>
      <c r="I130">
        <f>$G130*96</f>
        <v/>
      </c>
      <c r="J130">
        <f>$G130*96</f>
        <v/>
      </c>
      <c r="K130">
        <f>$G130*96</f>
        <v/>
      </c>
      <c r="L130">
        <f>$G130*192</f>
        <v/>
      </c>
      <c r="M130">
        <f>$G130*240</f>
        <v/>
      </c>
      <c r="N130">
        <f>Cfg_n12*H130+Cfg_n18*I130+Cfg_n20*J130+Cfg_n22*K130+Cfg_n36*L130+Cfg_n40*M130</f>
        <v/>
      </c>
      <c r="O130" s="16">
        <f>IFERROR(VLOOKUP($E130,LISTINO!$B:$G,6,FALSE),0)</f>
        <v/>
      </c>
      <c r="P130" s="16">
        <f>$N130*$O130</f>
        <v/>
      </c>
      <c r="Q130">
        <f>IF($N130&gt;0,"SI","")</f>
        <v/>
      </c>
    </row>
    <row r="131">
      <c r="A131">
        <f>'DISTINTA COMPLETA'!A131</f>
        <v/>
      </c>
      <c r="B131">
        <f>'DISTINTA COMPLETA'!B131</f>
        <v/>
      </c>
      <c r="C131">
        <f>'DISTINTA COMPLETA'!D131</f>
        <v/>
      </c>
      <c r="D131">
        <f>'DISTINTA COMPLETA'!E131</f>
        <v/>
      </c>
      <c r="E131">
        <f>'DISTINTA COMPLETA'!D131</f>
        <v/>
      </c>
      <c r="F131" t="inlineStr">
        <is>
          <t>GIUNZ</t>
        </is>
      </c>
      <c r="G131">
        <f>IF(Cfg_Struttura="Agrivoltaico",1,0)</f>
        <v/>
      </c>
      <c r="H131">
        <f>$G131*48</f>
        <v/>
      </c>
      <c r="I131">
        <f>$G131*96</f>
        <v/>
      </c>
      <c r="J131">
        <f>$G131*96</f>
        <v/>
      </c>
      <c r="K131">
        <f>$G131*96</f>
        <v/>
      </c>
      <c r="L131">
        <f>$G131*192</f>
        <v/>
      </c>
      <c r="M131">
        <f>$G131*240</f>
        <v/>
      </c>
      <c r="N131">
        <f>Cfg_n12*H131+Cfg_n18*I131+Cfg_n20*J131+Cfg_n22*K131+Cfg_n36*L131+Cfg_n40*M131</f>
        <v/>
      </c>
      <c r="O131" s="16">
        <f>IFERROR(VLOOKUP($E131,LISTINO!$B:$G,6,FALSE),0)</f>
        <v/>
      </c>
      <c r="P131" s="16">
        <f>$N131*$O131</f>
        <v/>
      </c>
      <c r="Q131">
        <f>IF($N131&gt;0,"SI","")</f>
        <v/>
      </c>
    </row>
    <row r="132">
      <c r="A132">
        <f>'DISTINTA COMPLETA'!A132</f>
        <v/>
      </c>
      <c r="B132">
        <f>'DISTINTA COMPLETA'!B132</f>
        <v/>
      </c>
      <c r="C132">
        <f>'DISTINTA COMPLETA'!D132</f>
        <v/>
      </c>
      <c r="D132">
        <f>'DISTINTA COMPLETA'!E132</f>
        <v/>
      </c>
      <c r="E132">
        <f>'DISTINTA COMPLETA'!D132</f>
        <v/>
      </c>
      <c r="F132" t="inlineStr">
        <is>
          <t>GIUNZ</t>
        </is>
      </c>
      <c r="G132">
        <f>IF(Cfg_Struttura="Agrivoltaico",1,0)</f>
        <v/>
      </c>
      <c r="H132">
        <f>$G132*48</f>
        <v/>
      </c>
      <c r="I132">
        <f>$G132*96</f>
        <v/>
      </c>
      <c r="J132">
        <f>$G132*96</f>
        <v/>
      </c>
      <c r="K132">
        <f>$G132*96</f>
        <v/>
      </c>
      <c r="L132">
        <f>$G132*192</f>
        <v/>
      </c>
      <c r="M132">
        <f>$G132*240</f>
        <v/>
      </c>
      <c r="N132">
        <f>Cfg_n12*H132+Cfg_n18*I132+Cfg_n20*J132+Cfg_n22*K132+Cfg_n36*L132+Cfg_n40*M132</f>
        <v/>
      </c>
      <c r="O132" s="16">
        <f>IFERROR(VLOOKUP($E132,LISTINO!$B:$G,6,FALSE),0)</f>
        <v/>
      </c>
      <c r="P132" s="16">
        <f>$N132*$O132</f>
        <v/>
      </c>
      <c r="Q132">
        <f>IF($N132&gt;0,"SI","")</f>
        <v/>
      </c>
    </row>
    <row r="133">
      <c r="A133">
        <f>'DISTINTA COMPLETA'!A133</f>
        <v/>
      </c>
      <c r="B133">
        <f>'DISTINTA COMPLETA'!B133</f>
        <v/>
      </c>
      <c r="C133">
        <f>'DISTINTA COMPLETA'!D133</f>
        <v/>
      </c>
      <c r="D133">
        <f>'DISTINTA COMPLETA'!E133</f>
        <v/>
      </c>
      <c r="E133">
        <f>'DISTINTA COMPLETA'!D133</f>
        <v/>
      </c>
      <c r="F133" t="inlineStr">
        <is>
          <t>-</t>
        </is>
      </c>
      <c r="G133">
        <f>1</f>
        <v/>
      </c>
      <c r="H133">
        <f>$G133*4</f>
        <v/>
      </c>
      <c r="I133">
        <f>$G133*8</f>
        <v/>
      </c>
      <c r="J133">
        <f>$G133*8</f>
        <v/>
      </c>
      <c r="K133">
        <f>$G133*8</f>
        <v/>
      </c>
      <c r="L133">
        <f>$G133*16</f>
        <v/>
      </c>
      <c r="M133">
        <f>$G133*20</f>
        <v/>
      </c>
      <c r="N133">
        <f>Cfg_n12*H133+Cfg_n18*I133+Cfg_n20*J133+Cfg_n22*K133+Cfg_n36*L133+Cfg_n40*M133</f>
        <v/>
      </c>
      <c r="O133" s="16">
        <f>IFERROR(VLOOKUP($E133,LISTINO!$B:$G,6,FALSE),0)</f>
        <v/>
      </c>
      <c r="P133" s="16">
        <f>$N133*$O133</f>
        <v/>
      </c>
      <c r="Q133">
        <f>IF($N133&gt;0,"SI","")</f>
        <v/>
      </c>
    </row>
    <row r="134">
      <c r="A134">
        <f>'DISTINTA COMPLETA'!A134</f>
        <v/>
      </c>
      <c r="B134">
        <f>'DISTINTA COMPLETA'!B134</f>
        <v/>
      </c>
      <c r="C134">
        <f>'DISTINTA COMPLETA'!D134</f>
        <v/>
      </c>
      <c r="D134">
        <f>'DISTINTA COMPLETA'!E134</f>
        <v/>
      </c>
      <c r="E134">
        <f>'DISTINTA COMPLETA'!D134</f>
        <v/>
      </c>
      <c r="F134" t="inlineStr">
        <is>
          <t>-</t>
        </is>
      </c>
      <c r="G134">
        <f>1</f>
        <v/>
      </c>
      <c r="H134">
        <f>$G134*2</f>
        <v/>
      </c>
      <c r="I134">
        <f>$G134*4</f>
        <v/>
      </c>
      <c r="J134">
        <f>$G134*4</f>
        <v/>
      </c>
      <c r="K134">
        <f>$G134*4</f>
        <v/>
      </c>
      <c r="L134">
        <f>$G134*8</f>
        <v/>
      </c>
      <c r="M134">
        <f>$G134*10</f>
        <v/>
      </c>
      <c r="N134">
        <f>Cfg_n12*H134+Cfg_n18*I134+Cfg_n20*J134+Cfg_n22*K134+Cfg_n36*L134+Cfg_n40*M134</f>
        <v/>
      </c>
      <c r="O134" s="16">
        <f>IFERROR(VLOOKUP($E134,LISTINO!$B:$G,6,FALSE),0)</f>
        <v/>
      </c>
      <c r="P134" s="16">
        <f>$N134*$O134</f>
        <v/>
      </c>
      <c r="Q134">
        <f>IF($N134&gt;0,"SI","")</f>
        <v/>
      </c>
    </row>
    <row r="135">
      <c r="A135">
        <f>'DISTINTA COMPLETA'!A135</f>
        <v/>
      </c>
      <c r="B135">
        <f>'DISTINTA COMPLETA'!B135</f>
        <v/>
      </c>
      <c r="C135">
        <f>'DISTINTA COMPLETA'!D135</f>
        <v/>
      </c>
      <c r="D135">
        <f>'DISTINTA COMPLETA'!E135</f>
        <v/>
      </c>
      <c r="E135">
        <f>'DISTINTA COMPLETA'!D135</f>
        <v/>
      </c>
      <c r="F135" t="inlineStr">
        <is>
          <t>-</t>
        </is>
      </c>
      <c r="G135">
        <f>1</f>
        <v/>
      </c>
      <c r="H135">
        <f>$G135*8</f>
        <v/>
      </c>
      <c r="I135">
        <f>$G135*16</f>
        <v/>
      </c>
      <c r="J135">
        <f>$G135*16</f>
        <v/>
      </c>
      <c r="K135">
        <f>$G135*16</f>
        <v/>
      </c>
      <c r="L135">
        <f>$G135*32</f>
        <v/>
      </c>
      <c r="M135">
        <f>$G135*40</f>
        <v/>
      </c>
      <c r="N135">
        <f>Cfg_n12*H135+Cfg_n18*I135+Cfg_n20*J135+Cfg_n22*K135+Cfg_n36*L135+Cfg_n40*M135</f>
        <v/>
      </c>
      <c r="O135" s="16">
        <f>IFERROR(VLOOKUP($E135,LISTINO!$B:$G,6,FALSE),0)</f>
        <v/>
      </c>
      <c r="P135" s="16">
        <f>$N135*$O135</f>
        <v/>
      </c>
      <c r="Q135">
        <f>IF($N135&gt;0,"SI","")</f>
        <v/>
      </c>
    </row>
    <row r="136">
      <c r="A136">
        <f>'DISTINTA COMPLETA'!A136</f>
        <v/>
      </c>
      <c r="B136">
        <f>'DISTINTA COMPLETA'!B136</f>
        <v/>
      </c>
      <c r="C136">
        <f>'DISTINTA COMPLETA'!D136</f>
        <v/>
      </c>
      <c r="D136">
        <f>'DISTINTA COMPLETA'!E136</f>
        <v/>
      </c>
      <c r="E136">
        <f>'DISTINTA COMPLETA'!D136</f>
        <v/>
      </c>
      <c r="F136" t="inlineStr">
        <is>
          <t>-</t>
        </is>
      </c>
      <c r="G136">
        <f>1</f>
        <v/>
      </c>
      <c r="H136">
        <f>$G136*8</f>
        <v/>
      </c>
      <c r="I136">
        <f>$G136*16</f>
        <v/>
      </c>
      <c r="J136">
        <f>$G136*16</f>
        <v/>
      </c>
      <c r="K136">
        <f>$G136*16</f>
        <v/>
      </c>
      <c r="L136">
        <f>$G136*32</f>
        <v/>
      </c>
      <c r="M136">
        <f>$G136*40</f>
        <v/>
      </c>
      <c r="N136">
        <f>Cfg_n12*H136+Cfg_n18*I136+Cfg_n20*J136+Cfg_n22*K136+Cfg_n36*L136+Cfg_n40*M136</f>
        <v/>
      </c>
      <c r="O136" s="16">
        <f>IFERROR(VLOOKUP($E136,LISTINO!$B:$G,6,FALSE),0)</f>
        <v/>
      </c>
      <c r="P136" s="16">
        <f>$N136*$O136</f>
        <v/>
      </c>
      <c r="Q136">
        <f>IF($N136&gt;0,"SI","")</f>
        <v/>
      </c>
    </row>
    <row r="137">
      <c r="A137">
        <f>'DISTINTA COMPLETA'!A137</f>
        <v/>
      </c>
      <c r="B137">
        <f>'DISTINTA COMPLETA'!B137</f>
        <v/>
      </c>
      <c r="C137">
        <f>'DISTINTA COMPLETA'!D137</f>
        <v/>
      </c>
      <c r="D137">
        <f>'DISTINTA COMPLETA'!E137</f>
        <v/>
      </c>
      <c r="E137">
        <f>'DISTINTA COMPLETA'!D137</f>
        <v/>
      </c>
      <c r="F137" t="inlineStr">
        <is>
          <t>-</t>
        </is>
      </c>
      <c r="G137">
        <f>1</f>
        <v/>
      </c>
      <c r="H137">
        <f>$G137*8</f>
        <v/>
      </c>
      <c r="I137">
        <f>$G137*16</f>
        <v/>
      </c>
      <c r="J137">
        <f>$G137*16</f>
        <v/>
      </c>
      <c r="K137">
        <f>$G137*16</f>
        <v/>
      </c>
      <c r="L137">
        <f>$G137*32</f>
        <v/>
      </c>
      <c r="M137">
        <f>$G137*40</f>
        <v/>
      </c>
      <c r="N137">
        <f>Cfg_n12*H137+Cfg_n18*I137+Cfg_n20*J137+Cfg_n22*K137+Cfg_n36*L137+Cfg_n40*M137</f>
        <v/>
      </c>
      <c r="O137" s="16">
        <f>IFERROR(VLOOKUP($E137,LISTINO!$B:$G,6,FALSE),0)</f>
        <v/>
      </c>
      <c r="P137" s="16">
        <f>$N137*$O137</f>
        <v/>
      </c>
      <c r="Q137">
        <f>IF($N137&gt;0,"SI","")</f>
        <v/>
      </c>
    </row>
    <row r="138">
      <c r="A138">
        <f>'DISTINTA COMPLETA'!A138</f>
        <v/>
      </c>
      <c r="B138">
        <f>'DISTINTA COMPLETA'!B138</f>
        <v/>
      </c>
      <c r="C138">
        <f>'DISTINTA COMPLETA'!D138</f>
        <v/>
      </c>
      <c r="D138">
        <f>'DISTINTA COMPLETA'!E138</f>
        <v/>
      </c>
      <c r="E138">
        <f>'DISTINTA COMPLETA'!D138</f>
        <v/>
      </c>
      <c r="F138" t="inlineStr">
        <is>
          <t>-</t>
        </is>
      </c>
      <c r="G138">
        <f>1</f>
        <v/>
      </c>
      <c r="H138">
        <f>$G138*8</f>
        <v/>
      </c>
      <c r="I138">
        <f>$G138*16</f>
        <v/>
      </c>
      <c r="J138">
        <f>$G138*16</f>
        <v/>
      </c>
      <c r="K138">
        <f>$G138*16</f>
        <v/>
      </c>
      <c r="L138">
        <f>$G138*32</f>
        <v/>
      </c>
      <c r="M138">
        <f>$G138*40</f>
        <v/>
      </c>
      <c r="N138">
        <f>Cfg_n12*H138+Cfg_n18*I138+Cfg_n20*J138+Cfg_n22*K138+Cfg_n36*L138+Cfg_n40*M138</f>
        <v/>
      </c>
      <c r="O138" s="16">
        <f>IFERROR(VLOOKUP($E138,LISTINO!$B:$G,6,FALSE),0)</f>
        <v/>
      </c>
      <c r="P138" s="16">
        <f>$N138*$O138</f>
        <v/>
      </c>
      <c r="Q138">
        <f>IF($N138&gt;0,"SI","")</f>
        <v/>
      </c>
    </row>
    <row r="139">
      <c r="A139">
        <f>'DISTINTA COMPLETA'!A139</f>
        <v/>
      </c>
      <c r="B139">
        <f>'DISTINTA COMPLETA'!B139</f>
        <v/>
      </c>
      <c r="C139">
        <f>'DISTINTA COMPLETA'!D139</f>
        <v/>
      </c>
      <c r="D139">
        <f>'DISTINTA COMPLETA'!E139</f>
        <v/>
      </c>
      <c r="E139">
        <f>'DISTINTA COMPLETA'!D139</f>
        <v/>
      </c>
      <c r="F139" t="inlineStr">
        <is>
          <t>-</t>
        </is>
      </c>
      <c r="G139">
        <f>1</f>
        <v/>
      </c>
      <c r="H139">
        <f>$G139*2</f>
        <v/>
      </c>
      <c r="I139">
        <f>$G139*4</f>
        <v/>
      </c>
      <c r="J139">
        <f>$G139*4</f>
        <v/>
      </c>
      <c r="K139">
        <f>$G139*4</f>
        <v/>
      </c>
      <c r="L139">
        <f>$G139*8</f>
        <v/>
      </c>
      <c r="M139">
        <f>$G139*10</f>
        <v/>
      </c>
      <c r="N139">
        <f>Cfg_n12*H139+Cfg_n18*I139+Cfg_n20*J139+Cfg_n22*K139+Cfg_n36*L139+Cfg_n40*M139</f>
        <v/>
      </c>
      <c r="O139" s="16">
        <f>IFERROR(VLOOKUP($E139,LISTINO!$B:$G,6,FALSE),0)</f>
        <v/>
      </c>
      <c r="P139" s="16">
        <f>$N139*$O139</f>
        <v/>
      </c>
      <c r="Q139">
        <f>IF($N139&gt;0,"SI","")</f>
        <v/>
      </c>
    </row>
    <row r="140">
      <c r="A140">
        <f>'DISTINTA COMPLETA'!A140</f>
        <v/>
      </c>
      <c r="B140">
        <f>'DISTINTA COMPLETA'!B140</f>
        <v/>
      </c>
      <c r="C140">
        <f>'DISTINTA COMPLETA'!D140</f>
        <v/>
      </c>
      <c r="D140">
        <f>'DISTINTA COMPLETA'!E140</f>
        <v/>
      </c>
      <c r="E140">
        <f>'DISTINTA COMPLETA'!D140</f>
        <v/>
      </c>
      <c r="F140" t="inlineStr">
        <is>
          <t>-</t>
        </is>
      </c>
      <c r="G140">
        <f>1</f>
        <v/>
      </c>
      <c r="H140">
        <f>$G140*4</f>
        <v/>
      </c>
      <c r="I140">
        <f>$G140*8</f>
        <v/>
      </c>
      <c r="J140">
        <f>$G140*8</f>
        <v/>
      </c>
      <c r="K140">
        <f>$G140*8</f>
        <v/>
      </c>
      <c r="L140">
        <f>$G140*16</f>
        <v/>
      </c>
      <c r="M140">
        <f>$G140*20</f>
        <v/>
      </c>
      <c r="N140">
        <f>Cfg_n12*H140+Cfg_n18*I140+Cfg_n20*J140+Cfg_n22*K140+Cfg_n36*L140+Cfg_n40*M140</f>
        <v/>
      </c>
      <c r="O140" s="16">
        <f>IFERROR(VLOOKUP($E140,LISTINO!$B:$G,6,FALSE),0)</f>
        <v/>
      </c>
      <c r="P140" s="16">
        <f>$N140*$O140</f>
        <v/>
      </c>
      <c r="Q140">
        <f>IF($N140&gt;0,"SI","")</f>
        <v/>
      </c>
    </row>
    <row r="141">
      <c r="A141">
        <f>'DISTINTA COMPLETA'!A141</f>
        <v/>
      </c>
      <c r="B141">
        <f>'DISTINTA COMPLETA'!B141</f>
        <v/>
      </c>
      <c r="C141">
        <f>'DISTINTA COMPLETA'!D141</f>
        <v/>
      </c>
      <c r="D141">
        <f>'DISTINTA COMPLETA'!E141</f>
        <v/>
      </c>
      <c r="E141">
        <f>'DISTINTA COMPLETA'!D141</f>
        <v/>
      </c>
      <c r="F141" t="inlineStr">
        <is>
          <t>-</t>
        </is>
      </c>
      <c r="G141">
        <f>1</f>
        <v/>
      </c>
      <c r="H141">
        <f>$G141*4</f>
        <v/>
      </c>
      <c r="I141">
        <f>$G141*8</f>
        <v/>
      </c>
      <c r="J141">
        <f>$G141*8</f>
        <v/>
      </c>
      <c r="K141">
        <f>$G141*8</f>
        <v/>
      </c>
      <c r="L141">
        <f>$G141*16</f>
        <v/>
      </c>
      <c r="M141">
        <f>$G141*20</f>
        <v/>
      </c>
      <c r="N141">
        <f>Cfg_n12*H141+Cfg_n18*I141+Cfg_n20*J141+Cfg_n22*K141+Cfg_n36*L141+Cfg_n40*M141</f>
        <v/>
      </c>
      <c r="O141" s="16">
        <f>IFERROR(VLOOKUP($E141,LISTINO!$B:$G,6,FALSE),0)</f>
        <v/>
      </c>
      <c r="P141" s="16">
        <f>$N141*$O141</f>
        <v/>
      </c>
      <c r="Q141">
        <f>IF($N141&gt;0,"SI","")</f>
        <v/>
      </c>
    </row>
    <row r="142">
      <c r="A142">
        <f>'DISTINTA COMPLETA'!A142</f>
        <v/>
      </c>
      <c r="B142">
        <f>'DISTINTA COMPLETA'!B142</f>
        <v/>
      </c>
      <c r="C142">
        <f>'DISTINTA COMPLETA'!D142</f>
        <v/>
      </c>
      <c r="D142">
        <f>'DISTINTA COMPLETA'!E142</f>
        <v/>
      </c>
      <c r="E142">
        <f>'DISTINTA COMPLETA'!D142</f>
        <v/>
      </c>
      <c r="F142" t="inlineStr">
        <is>
          <t>-</t>
        </is>
      </c>
      <c r="G142">
        <f>1</f>
        <v/>
      </c>
      <c r="H142">
        <f>$G142*4</f>
        <v/>
      </c>
      <c r="I142">
        <f>$G142*8</f>
        <v/>
      </c>
      <c r="J142">
        <f>$G142*8</f>
        <v/>
      </c>
      <c r="K142">
        <f>$G142*8</f>
        <v/>
      </c>
      <c r="L142">
        <f>$G142*16</f>
        <v/>
      </c>
      <c r="M142">
        <f>$G142*20</f>
        <v/>
      </c>
      <c r="N142">
        <f>Cfg_n12*H142+Cfg_n18*I142+Cfg_n20*J142+Cfg_n22*K142+Cfg_n36*L142+Cfg_n40*M142</f>
        <v/>
      </c>
      <c r="O142" s="16">
        <f>IFERROR(VLOOKUP($E142,LISTINO!$B:$G,6,FALSE),0)</f>
        <v/>
      </c>
      <c r="P142" s="16">
        <f>$N142*$O142</f>
        <v/>
      </c>
      <c r="Q142">
        <f>IF($N142&gt;0,"SI","")</f>
        <v/>
      </c>
    </row>
    <row r="143">
      <c r="A143">
        <f>'DISTINTA COMPLETA'!A143</f>
        <v/>
      </c>
      <c r="B143">
        <f>'DISTINTA COMPLETA'!B143</f>
        <v/>
      </c>
      <c r="C143">
        <f>'DISTINTA COMPLETA'!D143</f>
        <v/>
      </c>
      <c r="D143">
        <f>'DISTINTA COMPLETA'!E143</f>
        <v/>
      </c>
      <c r="E143">
        <f>'DISTINTA COMPLETA'!D143</f>
        <v/>
      </c>
      <c r="F143" t="inlineStr">
        <is>
          <t>-</t>
        </is>
      </c>
      <c r="G143">
        <f>1</f>
        <v/>
      </c>
      <c r="H143">
        <f>$G143*4</f>
        <v/>
      </c>
      <c r="I143">
        <f>$G143*8</f>
        <v/>
      </c>
      <c r="J143">
        <f>$G143*8</f>
        <v/>
      </c>
      <c r="K143">
        <f>$G143*8</f>
        <v/>
      </c>
      <c r="L143">
        <f>$G143*16</f>
        <v/>
      </c>
      <c r="M143">
        <f>$G143*20</f>
        <v/>
      </c>
      <c r="N143">
        <f>Cfg_n12*H143+Cfg_n18*I143+Cfg_n20*J143+Cfg_n22*K143+Cfg_n36*L143+Cfg_n40*M143</f>
        <v/>
      </c>
      <c r="O143" s="16">
        <f>IFERROR(VLOOKUP($E143,LISTINO!$B:$G,6,FALSE),0)</f>
        <v/>
      </c>
      <c r="P143" s="16">
        <f>$N143*$O143</f>
        <v/>
      </c>
      <c r="Q143">
        <f>IF($N143&gt;0,"SI","")</f>
        <v/>
      </c>
    </row>
    <row r="144">
      <c r="A144">
        <f>'DISTINTA COMPLETA'!A144</f>
        <v/>
      </c>
      <c r="B144">
        <f>'DISTINTA COMPLETA'!B144</f>
        <v/>
      </c>
      <c r="C144">
        <f>'DISTINTA COMPLETA'!D144</f>
        <v/>
      </c>
      <c r="D144">
        <f>'DISTINTA COMPLETA'!E144</f>
        <v/>
      </c>
      <c r="E144">
        <f>IF(Cfg_SpAsse="2,5 mm","TTS.AR.001.8250.25","TTS.AR.001.8250")</f>
        <v/>
      </c>
      <c r="F144" t="inlineStr">
        <is>
          <t>ASSE_PROF</t>
        </is>
      </c>
      <c r="G144">
        <f>1</f>
        <v/>
      </c>
      <c r="H144">
        <f>$G144*2</f>
        <v/>
      </c>
      <c r="I144">
        <f>$G144*0</f>
        <v/>
      </c>
      <c r="J144">
        <f>$G144*0</f>
        <v/>
      </c>
      <c r="K144">
        <f>$G144*0</f>
        <v/>
      </c>
      <c r="L144">
        <f>$G144*0</f>
        <v/>
      </c>
      <c r="M144">
        <f>$G144*0</f>
        <v/>
      </c>
      <c r="N144">
        <f>Cfg_n12*H144+Cfg_n18*I144+Cfg_n20*J144+Cfg_n22*K144+Cfg_n36*L144+Cfg_n40*M144</f>
        <v/>
      </c>
      <c r="O144" s="16">
        <f>IFERROR(VLOOKUP($E144,LISTINO!$B:$G,6,FALSE),0)</f>
        <v/>
      </c>
      <c r="P144" s="16">
        <f>$N144*$O144</f>
        <v/>
      </c>
      <c r="Q144">
        <f>IF($N144&gt;0,"SI","")</f>
        <v/>
      </c>
    </row>
    <row r="145">
      <c r="A145">
        <f>'DISTINTA COMPLETA'!A145</f>
        <v/>
      </c>
      <c r="B145">
        <f>'DISTINTA COMPLETA'!B145</f>
        <v/>
      </c>
      <c r="C145">
        <f>'DISTINTA COMPLETA'!D145</f>
        <v/>
      </c>
      <c r="D145">
        <f>'DISTINTA COMPLETA'!E145</f>
        <v/>
      </c>
      <c r="E145">
        <f>'DISTINTA COMPLETA'!D145</f>
        <v/>
      </c>
      <c r="F145" t="inlineStr">
        <is>
          <t>SKIP</t>
        </is>
      </c>
      <c r="G145">
        <f>0</f>
        <v/>
      </c>
      <c r="H145">
        <f>$G145*0</f>
        <v/>
      </c>
      <c r="I145">
        <f>$G145*0</f>
        <v/>
      </c>
      <c r="J145">
        <f>$G145*0</f>
        <v/>
      </c>
      <c r="K145">
        <f>$G145*0</f>
        <v/>
      </c>
      <c r="L145">
        <f>$G145*0</f>
        <v/>
      </c>
      <c r="M145">
        <f>$G145*0</f>
        <v/>
      </c>
      <c r="N145">
        <f>Cfg_n12*H145+Cfg_n18*I145+Cfg_n20*J145+Cfg_n22*K145+Cfg_n36*L145+Cfg_n40*M145</f>
        <v/>
      </c>
      <c r="O145" s="16">
        <f>IFERROR(VLOOKUP($E145,LISTINO!$B:$G,6,FALSE),0)</f>
        <v/>
      </c>
      <c r="P145" s="16">
        <f>$N145*$O145</f>
        <v/>
      </c>
      <c r="Q145">
        <f>IF($N145&gt;0,"SI","")</f>
        <v/>
      </c>
    </row>
    <row r="146">
      <c r="A146">
        <f>'DISTINTA COMPLETA'!A146</f>
        <v/>
      </c>
      <c r="B146">
        <f>'DISTINTA COMPLETA'!B146</f>
        <v/>
      </c>
      <c r="C146">
        <f>'DISTINTA COMPLETA'!D146</f>
        <v/>
      </c>
      <c r="D146">
        <f>'DISTINTA COMPLETA'!E146</f>
        <v/>
      </c>
      <c r="E146">
        <f>IF(Cfg_SpAsse="2,5 mm","TTS.AR.001.7200.25","TTS.AR.001.7200")</f>
        <v/>
      </c>
      <c r="F146" t="inlineStr">
        <is>
          <t>ASSE_PROF</t>
        </is>
      </c>
      <c r="G146">
        <f>1</f>
        <v/>
      </c>
      <c r="H146">
        <f>$G146*0</f>
        <v/>
      </c>
      <c r="I146">
        <f>$G146*2</f>
        <v/>
      </c>
      <c r="J146">
        <f>$G146*0</f>
        <v/>
      </c>
      <c r="K146">
        <f>$G146*0</f>
        <v/>
      </c>
      <c r="L146">
        <f>$G146*0</f>
        <v/>
      </c>
      <c r="M146">
        <f>$G146*0</f>
        <v/>
      </c>
      <c r="N146">
        <f>Cfg_n12*H146+Cfg_n18*I146+Cfg_n20*J146+Cfg_n22*K146+Cfg_n36*L146+Cfg_n40*M146</f>
        <v/>
      </c>
      <c r="O146" s="16">
        <f>IFERROR(VLOOKUP($E146,LISTINO!$B:$G,6,FALSE),0)</f>
        <v/>
      </c>
      <c r="P146" s="16">
        <f>$N146*$O146</f>
        <v/>
      </c>
      <c r="Q146">
        <f>IF($N146&gt;0,"SI","")</f>
        <v/>
      </c>
    </row>
    <row r="147">
      <c r="A147">
        <f>'DISTINTA COMPLETA'!A147</f>
        <v/>
      </c>
      <c r="B147">
        <f>'DISTINTA COMPLETA'!B147</f>
        <v/>
      </c>
      <c r="C147">
        <f>'DISTINTA COMPLETA'!D147</f>
        <v/>
      </c>
      <c r="D147">
        <f>'DISTINTA COMPLETA'!E147</f>
        <v/>
      </c>
      <c r="E147">
        <f>'DISTINTA COMPLETA'!D147</f>
        <v/>
      </c>
      <c r="F147" t="inlineStr">
        <is>
          <t>SKIP</t>
        </is>
      </c>
      <c r="G147">
        <f>0</f>
        <v/>
      </c>
      <c r="H147">
        <f>$G147*0</f>
        <v/>
      </c>
      <c r="I147">
        <f>$G147*0</f>
        <v/>
      </c>
      <c r="J147">
        <f>$G147*0</f>
        <v/>
      </c>
      <c r="K147">
        <f>$G147*0</f>
        <v/>
      </c>
      <c r="L147">
        <f>$G147*0</f>
        <v/>
      </c>
      <c r="M147">
        <f>$G147*0</f>
        <v/>
      </c>
      <c r="N147">
        <f>Cfg_n12*H147+Cfg_n18*I147+Cfg_n20*J147+Cfg_n22*K147+Cfg_n36*L147+Cfg_n40*M147</f>
        <v/>
      </c>
      <c r="O147" s="16">
        <f>IFERROR(VLOOKUP($E147,LISTINO!$B:$G,6,FALSE),0)</f>
        <v/>
      </c>
      <c r="P147" s="16">
        <f>$N147*$O147</f>
        <v/>
      </c>
      <c r="Q147">
        <f>IF($N147&gt;0,"SI","")</f>
        <v/>
      </c>
    </row>
    <row r="148">
      <c r="A148">
        <f>'DISTINTA COMPLETA'!A148</f>
        <v/>
      </c>
      <c r="B148">
        <f>'DISTINTA COMPLETA'!B148</f>
        <v/>
      </c>
      <c r="C148">
        <f>'DISTINTA COMPLETA'!D148</f>
        <v/>
      </c>
      <c r="D148">
        <f>'DISTINTA COMPLETA'!E148</f>
        <v/>
      </c>
      <c r="E148">
        <f>IF(Cfg_SpAsse="2,5 mm","TTS.AR.002.5000.25","TTS.AR.002.5000")</f>
        <v/>
      </c>
      <c r="F148" t="inlineStr">
        <is>
          <t>ASSE_PROF</t>
        </is>
      </c>
      <c r="G148">
        <f>1</f>
        <v/>
      </c>
      <c r="H148">
        <f>$G148*0</f>
        <v/>
      </c>
      <c r="I148">
        <f>$G148*2</f>
        <v/>
      </c>
      <c r="J148">
        <f>$G148*0</f>
        <v/>
      </c>
      <c r="K148">
        <f>$G148*0</f>
        <v/>
      </c>
      <c r="L148">
        <f>$G148*0</f>
        <v/>
      </c>
      <c r="M148">
        <f>$G148*0</f>
        <v/>
      </c>
      <c r="N148">
        <f>Cfg_n12*H148+Cfg_n18*I148+Cfg_n20*J148+Cfg_n22*K148+Cfg_n36*L148+Cfg_n40*M148</f>
        <v/>
      </c>
      <c r="O148" s="16">
        <f>IFERROR(VLOOKUP($E148,LISTINO!$B:$G,6,FALSE),0)</f>
        <v/>
      </c>
      <c r="P148" s="16">
        <f>$N148*$O148</f>
        <v/>
      </c>
      <c r="Q148">
        <f>IF($N148&gt;0,"SI","")</f>
        <v/>
      </c>
    </row>
    <row r="149">
      <c r="A149">
        <f>'DISTINTA COMPLETA'!A149</f>
        <v/>
      </c>
      <c r="B149">
        <f>'DISTINTA COMPLETA'!B149</f>
        <v/>
      </c>
      <c r="C149">
        <f>'DISTINTA COMPLETA'!D149</f>
        <v/>
      </c>
      <c r="D149">
        <f>'DISTINTA COMPLETA'!E149</f>
        <v/>
      </c>
      <c r="E149">
        <f>'DISTINTA COMPLETA'!D149</f>
        <v/>
      </c>
      <c r="F149" t="inlineStr">
        <is>
          <t>SKIP</t>
        </is>
      </c>
      <c r="G149">
        <f>0</f>
        <v/>
      </c>
      <c r="H149">
        <f>$G149*0</f>
        <v/>
      </c>
      <c r="I149">
        <f>$G149*0</f>
        <v/>
      </c>
      <c r="J149">
        <f>$G149*0</f>
        <v/>
      </c>
      <c r="K149">
        <f>$G149*0</f>
        <v/>
      </c>
      <c r="L149">
        <f>$G149*0</f>
        <v/>
      </c>
      <c r="M149">
        <f>$G149*0</f>
        <v/>
      </c>
      <c r="N149">
        <f>Cfg_n12*H149+Cfg_n18*I149+Cfg_n20*J149+Cfg_n22*K149+Cfg_n36*L149+Cfg_n40*M149</f>
        <v/>
      </c>
      <c r="O149" s="16">
        <f>IFERROR(VLOOKUP($E149,LISTINO!$B:$G,6,FALSE),0)</f>
        <v/>
      </c>
      <c r="P149" s="16">
        <f>$N149*$O149</f>
        <v/>
      </c>
      <c r="Q149">
        <f>IF($N149&gt;0,"SI","")</f>
        <v/>
      </c>
    </row>
    <row r="150">
      <c r="A150">
        <f>'DISTINTA COMPLETA'!A150</f>
        <v/>
      </c>
      <c r="B150">
        <f>'DISTINTA COMPLETA'!B150</f>
        <v/>
      </c>
      <c r="C150">
        <f>'DISTINTA COMPLETA'!D150</f>
        <v/>
      </c>
      <c r="D150">
        <f>'DISTINTA COMPLETA'!E150</f>
        <v/>
      </c>
      <c r="E150">
        <f>'DISTINTA COMPLETA'!D150</f>
        <v/>
      </c>
      <c r="F150" t="inlineStr">
        <is>
          <t>-</t>
        </is>
      </c>
      <c r="G150">
        <f>1</f>
        <v/>
      </c>
      <c r="H150">
        <f>$G150*0</f>
        <v/>
      </c>
      <c r="I150">
        <f>$G150*4</f>
        <v/>
      </c>
      <c r="J150">
        <f>$G150*0</f>
        <v/>
      </c>
      <c r="K150">
        <f>$G150*0</f>
        <v/>
      </c>
      <c r="L150">
        <f>$G150*0</f>
        <v/>
      </c>
      <c r="M150">
        <f>$G150*0</f>
        <v/>
      </c>
      <c r="N150">
        <f>Cfg_n12*H150+Cfg_n18*I150+Cfg_n20*J150+Cfg_n22*K150+Cfg_n36*L150+Cfg_n40*M150</f>
        <v/>
      </c>
      <c r="O150" s="16">
        <f>IFERROR(VLOOKUP($E150,LISTINO!$B:$G,6,FALSE),0)</f>
        <v/>
      </c>
      <c r="P150" s="16">
        <f>$N150*$O150</f>
        <v/>
      </c>
      <c r="Q150">
        <f>IF($N150&gt;0,"SI","")</f>
        <v/>
      </c>
    </row>
    <row r="151">
      <c r="A151">
        <f>'DISTINTA COMPLETA'!A151</f>
        <v/>
      </c>
      <c r="B151">
        <f>'DISTINTA COMPLETA'!B151</f>
        <v/>
      </c>
      <c r="C151">
        <f>'DISTINTA COMPLETA'!D151</f>
        <v/>
      </c>
      <c r="D151">
        <f>'DISTINTA COMPLETA'!E151</f>
        <v/>
      </c>
      <c r="E151">
        <f>'DISTINTA COMPLETA'!D151</f>
        <v/>
      </c>
      <c r="F151" t="inlineStr">
        <is>
          <t>-</t>
        </is>
      </c>
      <c r="G151">
        <f>1</f>
        <v/>
      </c>
      <c r="H151">
        <f>$G151*0</f>
        <v/>
      </c>
      <c r="I151">
        <f>$G151*4</f>
        <v/>
      </c>
      <c r="J151">
        <f>$G151*0</f>
        <v/>
      </c>
      <c r="K151">
        <f>$G151*0</f>
        <v/>
      </c>
      <c r="L151">
        <f>$G151*0</f>
        <v/>
      </c>
      <c r="M151">
        <f>$G151*0</f>
        <v/>
      </c>
      <c r="N151">
        <f>Cfg_n12*H151+Cfg_n18*I151+Cfg_n20*J151+Cfg_n22*K151+Cfg_n36*L151+Cfg_n40*M151</f>
        <v/>
      </c>
      <c r="O151" s="16">
        <f>IFERROR(VLOOKUP($E151,LISTINO!$B:$G,6,FALSE),0)</f>
        <v/>
      </c>
      <c r="P151" s="16">
        <f>$N151*$O151</f>
        <v/>
      </c>
      <c r="Q151">
        <f>IF($N151&gt;0,"SI","")</f>
        <v/>
      </c>
    </row>
    <row r="152">
      <c r="A152">
        <f>'DISTINTA COMPLETA'!A152</f>
        <v/>
      </c>
      <c r="B152">
        <f>'DISTINTA COMPLETA'!B152</f>
        <v/>
      </c>
      <c r="C152">
        <f>'DISTINTA COMPLETA'!D152</f>
        <v/>
      </c>
      <c r="D152">
        <f>'DISTINTA COMPLETA'!E152</f>
        <v/>
      </c>
      <c r="E152">
        <f>'DISTINTA COMPLETA'!D152</f>
        <v/>
      </c>
      <c r="F152" t="inlineStr">
        <is>
          <t>-</t>
        </is>
      </c>
      <c r="G152">
        <f>1</f>
        <v/>
      </c>
      <c r="H152">
        <f>$G152*0</f>
        <v/>
      </c>
      <c r="I152">
        <f>$G152*4</f>
        <v/>
      </c>
      <c r="J152">
        <f>$G152*0</f>
        <v/>
      </c>
      <c r="K152">
        <f>$G152*0</f>
        <v/>
      </c>
      <c r="L152">
        <f>$G152*0</f>
        <v/>
      </c>
      <c r="M152">
        <f>$G152*0</f>
        <v/>
      </c>
      <c r="N152">
        <f>Cfg_n12*H152+Cfg_n18*I152+Cfg_n20*J152+Cfg_n22*K152+Cfg_n36*L152+Cfg_n40*M152</f>
        <v/>
      </c>
      <c r="O152" s="16">
        <f>IFERROR(VLOOKUP($E152,LISTINO!$B:$G,6,FALSE),0)</f>
        <v/>
      </c>
      <c r="P152" s="16">
        <f>$N152*$O152</f>
        <v/>
      </c>
      <c r="Q152">
        <f>IF($N152&gt;0,"SI","")</f>
        <v/>
      </c>
    </row>
    <row r="153">
      <c r="A153">
        <f>'DISTINTA COMPLETA'!A153</f>
        <v/>
      </c>
      <c r="B153">
        <f>'DISTINTA COMPLETA'!B153</f>
        <v/>
      </c>
      <c r="C153">
        <f>'DISTINTA COMPLETA'!D153</f>
        <v/>
      </c>
      <c r="D153">
        <f>'DISTINTA COMPLETA'!E153</f>
        <v/>
      </c>
      <c r="E153">
        <f>'DISTINTA COMPLETA'!D153</f>
        <v/>
      </c>
      <c r="F153" t="inlineStr">
        <is>
          <t>-</t>
        </is>
      </c>
      <c r="G153">
        <f>1</f>
        <v/>
      </c>
      <c r="H153">
        <f>$G153*0</f>
        <v/>
      </c>
      <c r="I153">
        <f>$G153*4</f>
        <v/>
      </c>
      <c r="J153">
        <f>$G153*0</f>
        <v/>
      </c>
      <c r="K153">
        <f>$G153*0</f>
        <v/>
      </c>
      <c r="L153">
        <f>$G153*0</f>
        <v/>
      </c>
      <c r="M153">
        <f>$G153*0</f>
        <v/>
      </c>
      <c r="N153">
        <f>Cfg_n12*H153+Cfg_n18*I153+Cfg_n20*J153+Cfg_n22*K153+Cfg_n36*L153+Cfg_n40*M153</f>
        <v/>
      </c>
      <c r="O153" s="16">
        <f>IFERROR(VLOOKUP($E153,LISTINO!$B:$G,6,FALSE),0)</f>
        <v/>
      </c>
      <c r="P153" s="16">
        <f>$N153*$O153</f>
        <v/>
      </c>
      <c r="Q153">
        <f>IF($N153&gt;0,"SI","")</f>
        <v/>
      </c>
    </row>
    <row r="154">
      <c r="A154">
        <f>'DISTINTA COMPLETA'!A154</f>
        <v/>
      </c>
      <c r="B154">
        <f>'DISTINTA COMPLETA'!B154</f>
        <v/>
      </c>
      <c r="C154">
        <f>'DISTINTA COMPLETA'!D154</f>
        <v/>
      </c>
      <c r="D154">
        <f>'DISTINTA COMPLETA'!E154</f>
        <v/>
      </c>
      <c r="E154">
        <f>'DISTINTA COMPLETA'!D154</f>
        <v/>
      </c>
      <c r="F154" t="inlineStr">
        <is>
          <t>-</t>
        </is>
      </c>
      <c r="G154">
        <f>1</f>
        <v/>
      </c>
      <c r="H154">
        <f>$G154*0</f>
        <v/>
      </c>
      <c r="I154">
        <f>$G154*4</f>
        <v/>
      </c>
      <c r="J154">
        <f>$G154*0</f>
        <v/>
      </c>
      <c r="K154">
        <f>$G154*0</f>
        <v/>
      </c>
      <c r="L154">
        <f>$G154*0</f>
        <v/>
      </c>
      <c r="M154">
        <f>$G154*0</f>
        <v/>
      </c>
      <c r="N154">
        <f>Cfg_n12*H154+Cfg_n18*I154+Cfg_n20*J154+Cfg_n22*K154+Cfg_n36*L154+Cfg_n40*M154</f>
        <v/>
      </c>
      <c r="O154" s="16">
        <f>IFERROR(VLOOKUP($E154,LISTINO!$B:$G,6,FALSE),0)</f>
        <v/>
      </c>
      <c r="P154" s="16">
        <f>$N154*$O154</f>
        <v/>
      </c>
      <c r="Q154">
        <f>IF($N154&gt;0,"SI","")</f>
        <v/>
      </c>
    </row>
    <row r="155">
      <c r="A155">
        <f>'DISTINTA COMPLETA'!A155</f>
        <v/>
      </c>
      <c r="B155">
        <f>'DISTINTA COMPLETA'!B155</f>
        <v/>
      </c>
      <c r="C155">
        <f>'DISTINTA COMPLETA'!D155</f>
        <v/>
      </c>
      <c r="D155">
        <f>'DISTINTA COMPLETA'!E155</f>
        <v/>
      </c>
      <c r="E155">
        <f>'DISTINTA COMPLETA'!D155</f>
        <v/>
      </c>
      <c r="F155" t="inlineStr">
        <is>
          <t>-</t>
        </is>
      </c>
      <c r="G155">
        <f>1</f>
        <v/>
      </c>
      <c r="H155">
        <f>$G155*0</f>
        <v/>
      </c>
      <c r="I155">
        <f>$G155*16</f>
        <v/>
      </c>
      <c r="J155">
        <f>$G155*0</f>
        <v/>
      </c>
      <c r="K155">
        <f>$G155*0</f>
        <v/>
      </c>
      <c r="L155">
        <f>$G155*0</f>
        <v/>
      </c>
      <c r="M155">
        <f>$G155*0</f>
        <v/>
      </c>
      <c r="N155">
        <f>Cfg_n12*H155+Cfg_n18*I155+Cfg_n20*J155+Cfg_n22*K155+Cfg_n36*L155+Cfg_n40*M155</f>
        <v/>
      </c>
      <c r="O155" s="16">
        <f>IFERROR(VLOOKUP($E155,LISTINO!$B:$G,6,FALSE),0)</f>
        <v/>
      </c>
      <c r="P155" s="16">
        <f>$N155*$O155</f>
        <v/>
      </c>
      <c r="Q155">
        <f>IF($N155&gt;0,"SI","")</f>
        <v/>
      </c>
    </row>
    <row r="156">
      <c r="A156">
        <f>'DISTINTA COMPLETA'!A156</f>
        <v/>
      </c>
      <c r="B156">
        <f>'DISTINTA COMPLETA'!B156</f>
        <v/>
      </c>
      <c r="C156">
        <f>'DISTINTA COMPLETA'!D156</f>
        <v/>
      </c>
      <c r="D156">
        <f>'DISTINTA COMPLETA'!E156</f>
        <v/>
      </c>
      <c r="E156">
        <f>'DISTINTA COMPLETA'!D156</f>
        <v/>
      </c>
      <c r="F156" t="inlineStr">
        <is>
          <t>-</t>
        </is>
      </c>
      <c r="G156">
        <f>1</f>
        <v/>
      </c>
      <c r="H156">
        <f>$G156*0</f>
        <v/>
      </c>
      <c r="I156">
        <f>$G156*16</f>
        <v/>
      </c>
      <c r="J156">
        <f>$G156*0</f>
        <v/>
      </c>
      <c r="K156">
        <f>$G156*0</f>
        <v/>
      </c>
      <c r="L156">
        <f>$G156*0</f>
        <v/>
      </c>
      <c r="M156">
        <f>$G156*0</f>
        <v/>
      </c>
      <c r="N156">
        <f>Cfg_n12*H156+Cfg_n18*I156+Cfg_n20*J156+Cfg_n22*K156+Cfg_n36*L156+Cfg_n40*M156</f>
        <v/>
      </c>
      <c r="O156" s="16">
        <f>IFERROR(VLOOKUP($E156,LISTINO!$B:$G,6,FALSE),0)</f>
        <v/>
      </c>
      <c r="P156" s="16">
        <f>$N156*$O156</f>
        <v/>
      </c>
      <c r="Q156">
        <f>IF($N156&gt;0,"SI","")</f>
        <v/>
      </c>
    </row>
    <row r="157">
      <c r="A157">
        <f>'DISTINTA COMPLETA'!A157</f>
        <v/>
      </c>
      <c r="B157">
        <f>'DISTINTA COMPLETA'!B157</f>
        <v/>
      </c>
      <c r="C157">
        <f>'DISTINTA COMPLETA'!D157</f>
        <v/>
      </c>
      <c r="D157">
        <f>'DISTINTA COMPLETA'!E157</f>
        <v/>
      </c>
      <c r="E157">
        <f>'DISTINTA COMPLETA'!D157</f>
        <v/>
      </c>
      <c r="F157" t="inlineStr">
        <is>
          <t>-</t>
        </is>
      </c>
      <c r="G157">
        <f>1</f>
        <v/>
      </c>
      <c r="H157">
        <f>$G157*0</f>
        <v/>
      </c>
      <c r="I157">
        <f>$G157*16</f>
        <v/>
      </c>
      <c r="J157">
        <f>$G157*0</f>
        <v/>
      </c>
      <c r="K157">
        <f>$G157*0</f>
        <v/>
      </c>
      <c r="L157">
        <f>$G157*0</f>
        <v/>
      </c>
      <c r="M157">
        <f>$G157*0</f>
        <v/>
      </c>
      <c r="N157">
        <f>Cfg_n12*H157+Cfg_n18*I157+Cfg_n20*J157+Cfg_n22*K157+Cfg_n36*L157+Cfg_n40*M157</f>
        <v/>
      </c>
      <c r="O157" s="16">
        <f>IFERROR(VLOOKUP($E157,LISTINO!$B:$G,6,FALSE),0)</f>
        <v/>
      </c>
      <c r="P157" s="16">
        <f>$N157*$O157</f>
        <v/>
      </c>
      <c r="Q157">
        <f>IF($N157&gt;0,"SI","")</f>
        <v/>
      </c>
    </row>
    <row r="158">
      <c r="A158">
        <f>'DISTINTA COMPLETA'!A158</f>
        <v/>
      </c>
      <c r="B158">
        <f>'DISTINTA COMPLETA'!B158</f>
        <v/>
      </c>
      <c r="C158">
        <f>'DISTINTA COMPLETA'!D158</f>
        <v/>
      </c>
      <c r="D158">
        <f>'DISTINTA COMPLETA'!E158</f>
        <v/>
      </c>
      <c r="E158">
        <f>'DISTINTA COMPLETA'!D158</f>
        <v/>
      </c>
      <c r="F158" t="inlineStr">
        <is>
          <t>-</t>
        </is>
      </c>
      <c r="G158">
        <f>1</f>
        <v/>
      </c>
      <c r="H158">
        <f>$G158*0</f>
        <v/>
      </c>
      <c r="I158">
        <f>$G158*16</f>
        <v/>
      </c>
      <c r="J158">
        <f>$G158*0</f>
        <v/>
      </c>
      <c r="K158">
        <f>$G158*0</f>
        <v/>
      </c>
      <c r="L158">
        <f>$G158*0</f>
        <v/>
      </c>
      <c r="M158">
        <f>$G158*0</f>
        <v/>
      </c>
      <c r="N158">
        <f>Cfg_n12*H158+Cfg_n18*I158+Cfg_n20*J158+Cfg_n22*K158+Cfg_n36*L158+Cfg_n40*M158</f>
        <v/>
      </c>
      <c r="O158" s="16">
        <f>IFERROR(VLOOKUP($E158,LISTINO!$B:$G,6,FALSE),0)</f>
        <v/>
      </c>
      <c r="P158" s="16">
        <f>$N158*$O158</f>
        <v/>
      </c>
      <c r="Q158">
        <f>IF($N158&gt;0,"SI","")</f>
        <v/>
      </c>
    </row>
    <row r="159">
      <c r="A159">
        <f>'DISTINTA COMPLETA'!A159</f>
        <v/>
      </c>
      <c r="B159">
        <f>'DISTINTA COMPLETA'!B159</f>
        <v/>
      </c>
      <c r="C159">
        <f>'DISTINTA COMPLETA'!D159</f>
        <v/>
      </c>
      <c r="D159">
        <f>'DISTINTA COMPLETA'!E159</f>
        <v/>
      </c>
      <c r="E159">
        <f>IF(Cfg_SpAsse="2,5 mm","TTS.AR.001.7200.25","TTS.AR.001.7200")</f>
        <v/>
      </c>
      <c r="F159" t="inlineStr">
        <is>
          <t>ASSE_PROF</t>
        </is>
      </c>
      <c r="G159">
        <f>1</f>
        <v/>
      </c>
      <c r="H159">
        <f>$G159*0</f>
        <v/>
      </c>
      <c r="I159">
        <f>$G159*0</f>
        <v/>
      </c>
      <c r="J159">
        <f>$G159*2</f>
        <v/>
      </c>
      <c r="K159">
        <f>$G159*0</f>
        <v/>
      </c>
      <c r="L159">
        <f>$G159*0</f>
        <v/>
      </c>
      <c r="M159">
        <f>$G159*0</f>
        <v/>
      </c>
      <c r="N159">
        <f>Cfg_n12*H159+Cfg_n18*I159+Cfg_n20*J159+Cfg_n22*K159+Cfg_n36*L159+Cfg_n40*M159</f>
        <v/>
      </c>
      <c r="O159" s="16">
        <f>IFERROR(VLOOKUP($E159,LISTINO!$B:$G,6,FALSE),0)</f>
        <v/>
      </c>
      <c r="P159" s="16">
        <f>$N159*$O159</f>
        <v/>
      </c>
      <c r="Q159">
        <f>IF($N159&gt;0,"SI","")</f>
        <v/>
      </c>
    </row>
    <row r="160">
      <c r="A160">
        <f>'DISTINTA COMPLETA'!A160</f>
        <v/>
      </c>
      <c r="B160">
        <f>'DISTINTA COMPLETA'!B160</f>
        <v/>
      </c>
      <c r="C160">
        <f>'DISTINTA COMPLETA'!D160</f>
        <v/>
      </c>
      <c r="D160">
        <f>'DISTINTA COMPLETA'!E160</f>
        <v/>
      </c>
      <c r="E160">
        <f>IF(Cfg_SpAsse="2,5 mm","TTS.AR.002.6300.25","TTS.AR.002.6300")</f>
        <v/>
      </c>
      <c r="F160" t="inlineStr">
        <is>
          <t>ASSE_PROF</t>
        </is>
      </c>
      <c r="G160">
        <f>1</f>
        <v/>
      </c>
      <c r="H160">
        <f>$G160*0</f>
        <v/>
      </c>
      <c r="I160">
        <f>$G160*0</f>
        <v/>
      </c>
      <c r="J160">
        <f>$G160*2</f>
        <v/>
      </c>
      <c r="K160">
        <f>$G160*0</f>
        <v/>
      </c>
      <c r="L160">
        <f>$G160*0</f>
        <v/>
      </c>
      <c r="M160">
        <f>$G160*0</f>
        <v/>
      </c>
      <c r="N160">
        <f>Cfg_n12*H160+Cfg_n18*I160+Cfg_n20*J160+Cfg_n22*K160+Cfg_n36*L160+Cfg_n40*M160</f>
        <v/>
      </c>
      <c r="O160" s="16">
        <f>IFERROR(VLOOKUP($E160,LISTINO!$B:$G,6,FALSE),0)</f>
        <v/>
      </c>
      <c r="P160" s="16">
        <f>$N160*$O160</f>
        <v/>
      </c>
      <c r="Q160">
        <f>IF($N160&gt;0,"SI","")</f>
        <v/>
      </c>
    </row>
    <row r="161">
      <c r="A161">
        <f>'DISTINTA COMPLETA'!A161</f>
        <v/>
      </c>
      <c r="B161">
        <f>'DISTINTA COMPLETA'!B161</f>
        <v/>
      </c>
      <c r="C161">
        <f>'DISTINTA COMPLETA'!D161</f>
        <v/>
      </c>
      <c r="D161">
        <f>'DISTINTA COMPLETA'!E161</f>
        <v/>
      </c>
      <c r="E161">
        <f>'DISTINTA COMPLETA'!D161</f>
        <v/>
      </c>
      <c r="F161" t="inlineStr">
        <is>
          <t>SKIP</t>
        </is>
      </c>
      <c r="G161">
        <f>0</f>
        <v/>
      </c>
      <c r="H161">
        <f>$G161*0</f>
        <v/>
      </c>
      <c r="I161">
        <f>$G161*0</f>
        <v/>
      </c>
      <c r="J161">
        <f>$G161*0</f>
        <v/>
      </c>
      <c r="K161">
        <f>$G161*0</f>
        <v/>
      </c>
      <c r="L161">
        <f>$G161*0</f>
        <v/>
      </c>
      <c r="M161">
        <f>$G161*0</f>
        <v/>
      </c>
      <c r="N161">
        <f>Cfg_n12*H161+Cfg_n18*I161+Cfg_n20*J161+Cfg_n22*K161+Cfg_n36*L161+Cfg_n40*M161</f>
        <v/>
      </c>
      <c r="O161" s="16">
        <f>IFERROR(VLOOKUP($E161,LISTINO!$B:$G,6,FALSE),0)</f>
        <v/>
      </c>
      <c r="P161" s="16">
        <f>$N161*$O161</f>
        <v/>
      </c>
      <c r="Q161">
        <f>IF($N161&gt;0,"SI","")</f>
        <v/>
      </c>
    </row>
    <row r="162">
      <c r="A162">
        <f>'DISTINTA COMPLETA'!A162</f>
        <v/>
      </c>
      <c r="B162">
        <f>'DISTINTA COMPLETA'!B162</f>
        <v/>
      </c>
      <c r="C162">
        <f>'DISTINTA COMPLETA'!D162</f>
        <v/>
      </c>
      <c r="D162">
        <f>'DISTINTA COMPLETA'!E162</f>
        <v/>
      </c>
      <c r="E162">
        <f>'DISTINTA COMPLETA'!D162</f>
        <v/>
      </c>
      <c r="F162" t="inlineStr">
        <is>
          <t>-</t>
        </is>
      </c>
      <c r="G162">
        <f>1</f>
        <v/>
      </c>
      <c r="H162">
        <f>$G162*0</f>
        <v/>
      </c>
      <c r="I162">
        <f>$G162*0</f>
        <v/>
      </c>
      <c r="J162">
        <f>$G162*4</f>
        <v/>
      </c>
      <c r="K162">
        <f>$G162*0</f>
        <v/>
      </c>
      <c r="L162">
        <f>$G162*0</f>
        <v/>
      </c>
      <c r="M162">
        <f>$G162*0</f>
        <v/>
      </c>
      <c r="N162">
        <f>Cfg_n12*H162+Cfg_n18*I162+Cfg_n20*J162+Cfg_n22*K162+Cfg_n36*L162+Cfg_n40*M162</f>
        <v/>
      </c>
      <c r="O162" s="16">
        <f>IFERROR(VLOOKUP($E162,LISTINO!$B:$G,6,FALSE),0)</f>
        <v/>
      </c>
      <c r="P162" s="16">
        <f>$N162*$O162</f>
        <v/>
      </c>
      <c r="Q162">
        <f>IF($N162&gt;0,"SI","")</f>
        <v/>
      </c>
    </row>
    <row r="163">
      <c r="A163">
        <f>'DISTINTA COMPLETA'!A163</f>
        <v/>
      </c>
      <c r="B163">
        <f>'DISTINTA COMPLETA'!B163</f>
        <v/>
      </c>
      <c r="C163">
        <f>'DISTINTA COMPLETA'!D163</f>
        <v/>
      </c>
      <c r="D163">
        <f>'DISTINTA COMPLETA'!E163</f>
        <v/>
      </c>
      <c r="E163">
        <f>'DISTINTA COMPLETA'!D163</f>
        <v/>
      </c>
      <c r="F163" t="inlineStr">
        <is>
          <t>-</t>
        </is>
      </c>
      <c r="G163">
        <f>1</f>
        <v/>
      </c>
      <c r="H163">
        <f>$G163*0</f>
        <v/>
      </c>
      <c r="I163">
        <f>$G163*0</f>
        <v/>
      </c>
      <c r="J163">
        <f>$G163*4</f>
        <v/>
      </c>
      <c r="K163">
        <f>$G163*0</f>
        <v/>
      </c>
      <c r="L163">
        <f>$G163*0</f>
        <v/>
      </c>
      <c r="M163">
        <f>$G163*0</f>
        <v/>
      </c>
      <c r="N163">
        <f>Cfg_n12*H163+Cfg_n18*I163+Cfg_n20*J163+Cfg_n22*K163+Cfg_n36*L163+Cfg_n40*M163</f>
        <v/>
      </c>
      <c r="O163" s="16">
        <f>IFERROR(VLOOKUP($E163,LISTINO!$B:$G,6,FALSE),0)</f>
        <v/>
      </c>
      <c r="P163" s="16">
        <f>$N163*$O163</f>
        <v/>
      </c>
      <c r="Q163">
        <f>IF($N163&gt;0,"SI","")</f>
        <v/>
      </c>
    </row>
    <row r="164">
      <c r="A164">
        <f>'DISTINTA COMPLETA'!A164</f>
        <v/>
      </c>
      <c r="B164">
        <f>'DISTINTA COMPLETA'!B164</f>
        <v/>
      </c>
      <c r="C164">
        <f>'DISTINTA COMPLETA'!D164</f>
        <v/>
      </c>
      <c r="D164">
        <f>'DISTINTA COMPLETA'!E164</f>
        <v/>
      </c>
      <c r="E164">
        <f>'DISTINTA COMPLETA'!D164</f>
        <v/>
      </c>
      <c r="F164" t="inlineStr">
        <is>
          <t>-</t>
        </is>
      </c>
      <c r="G164">
        <f>1</f>
        <v/>
      </c>
      <c r="H164">
        <f>$G164*0</f>
        <v/>
      </c>
      <c r="I164">
        <f>$G164*0</f>
        <v/>
      </c>
      <c r="J164">
        <f>$G164*4</f>
        <v/>
      </c>
      <c r="K164">
        <f>$G164*0</f>
        <v/>
      </c>
      <c r="L164">
        <f>$G164*0</f>
        <v/>
      </c>
      <c r="M164">
        <f>$G164*0</f>
        <v/>
      </c>
      <c r="N164">
        <f>Cfg_n12*H164+Cfg_n18*I164+Cfg_n20*J164+Cfg_n22*K164+Cfg_n36*L164+Cfg_n40*M164</f>
        <v/>
      </c>
      <c r="O164" s="16">
        <f>IFERROR(VLOOKUP($E164,LISTINO!$B:$G,6,FALSE),0)</f>
        <v/>
      </c>
      <c r="P164" s="16">
        <f>$N164*$O164</f>
        <v/>
      </c>
      <c r="Q164">
        <f>IF($N164&gt;0,"SI","")</f>
        <v/>
      </c>
    </row>
    <row r="165">
      <c r="A165">
        <f>'DISTINTA COMPLETA'!A165</f>
        <v/>
      </c>
      <c r="B165">
        <f>'DISTINTA COMPLETA'!B165</f>
        <v/>
      </c>
      <c r="C165">
        <f>'DISTINTA COMPLETA'!D165</f>
        <v/>
      </c>
      <c r="D165">
        <f>'DISTINTA COMPLETA'!E165</f>
        <v/>
      </c>
      <c r="E165">
        <f>'DISTINTA COMPLETA'!D165</f>
        <v/>
      </c>
      <c r="F165" t="inlineStr">
        <is>
          <t>-</t>
        </is>
      </c>
      <c r="G165">
        <f>1</f>
        <v/>
      </c>
      <c r="H165">
        <f>$G165*0</f>
        <v/>
      </c>
      <c r="I165">
        <f>$G165*0</f>
        <v/>
      </c>
      <c r="J165">
        <f>$G165*4</f>
        <v/>
      </c>
      <c r="K165">
        <f>$G165*0</f>
        <v/>
      </c>
      <c r="L165">
        <f>$G165*0</f>
        <v/>
      </c>
      <c r="M165">
        <f>$G165*0</f>
        <v/>
      </c>
      <c r="N165">
        <f>Cfg_n12*H165+Cfg_n18*I165+Cfg_n20*J165+Cfg_n22*K165+Cfg_n36*L165+Cfg_n40*M165</f>
        <v/>
      </c>
      <c r="O165" s="16">
        <f>IFERROR(VLOOKUP($E165,LISTINO!$B:$G,6,FALSE),0)</f>
        <v/>
      </c>
      <c r="P165" s="16">
        <f>$N165*$O165</f>
        <v/>
      </c>
      <c r="Q165">
        <f>IF($N165&gt;0,"SI","")</f>
        <v/>
      </c>
    </row>
    <row r="166">
      <c r="A166">
        <f>'DISTINTA COMPLETA'!A166</f>
        <v/>
      </c>
      <c r="B166">
        <f>'DISTINTA COMPLETA'!B166</f>
        <v/>
      </c>
      <c r="C166">
        <f>'DISTINTA COMPLETA'!D166</f>
        <v/>
      </c>
      <c r="D166">
        <f>'DISTINTA COMPLETA'!E166</f>
        <v/>
      </c>
      <c r="E166">
        <f>'DISTINTA COMPLETA'!D166</f>
        <v/>
      </c>
      <c r="F166" t="inlineStr">
        <is>
          <t>-</t>
        </is>
      </c>
      <c r="G166">
        <f>1</f>
        <v/>
      </c>
      <c r="H166">
        <f>$G166*0</f>
        <v/>
      </c>
      <c r="I166">
        <f>$G166*0</f>
        <v/>
      </c>
      <c r="J166">
        <f>$G166*4</f>
        <v/>
      </c>
      <c r="K166">
        <f>$G166*0</f>
        <v/>
      </c>
      <c r="L166">
        <f>$G166*0</f>
        <v/>
      </c>
      <c r="M166">
        <f>$G166*0</f>
        <v/>
      </c>
      <c r="N166">
        <f>Cfg_n12*H166+Cfg_n18*I166+Cfg_n20*J166+Cfg_n22*K166+Cfg_n36*L166+Cfg_n40*M166</f>
        <v/>
      </c>
      <c r="O166" s="16">
        <f>IFERROR(VLOOKUP($E166,LISTINO!$B:$G,6,FALSE),0)</f>
        <v/>
      </c>
      <c r="P166" s="16">
        <f>$N166*$O166</f>
        <v/>
      </c>
      <c r="Q166">
        <f>IF($N166&gt;0,"SI","")</f>
        <v/>
      </c>
    </row>
    <row r="167">
      <c r="A167">
        <f>'DISTINTA COMPLETA'!A167</f>
        <v/>
      </c>
      <c r="B167">
        <f>'DISTINTA COMPLETA'!B167</f>
        <v/>
      </c>
      <c r="C167">
        <f>'DISTINTA COMPLETA'!D167</f>
        <v/>
      </c>
      <c r="D167">
        <f>'DISTINTA COMPLETA'!E167</f>
        <v/>
      </c>
      <c r="E167">
        <f>'DISTINTA COMPLETA'!D167</f>
        <v/>
      </c>
      <c r="F167" t="inlineStr">
        <is>
          <t>-</t>
        </is>
      </c>
      <c r="G167">
        <f>1</f>
        <v/>
      </c>
      <c r="H167">
        <f>$G167*0</f>
        <v/>
      </c>
      <c r="I167">
        <f>$G167*0</f>
        <v/>
      </c>
      <c r="J167">
        <f>$G167*16</f>
        <v/>
      </c>
      <c r="K167">
        <f>$G167*0</f>
        <v/>
      </c>
      <c r="L167">
        <f>$G167*0</f>
        <v/>
      </c>
      <c r="M167">
        <f>$G167*0</f>
        <v/>
      </c>
      <c r="N167">
        <f>Cfg_n12*H167+Cfg_n18*I167+Cfg_n20*J167+Cfg_n22*K167+Cfg_n36*L167+Cfg_n40*M167</f>
        <v/>
      </c>
      <c r="O167" s="16">
        <f>IFERROR(VLOOKUP($E167,LISTINO!$B:$G,6,FALSE),0)</f>
        <v/>
      </c>
      <c r="P167" s="16">
        <f>$N167*$O167</f>
        <v/>
      </c>
      <c r="Q167">
        <f>IF($N167&gt;0,"SI","")</f>
        <v/>
      </c>
    </row>
    <row r="168">
      <c r="A168">
        <f>'DISTINTA COMPLETA'!A168</f>
        <v/>
      </c>
      <c r="B168">
        <f>'DISTINTA COMPLETA'!B168</f>
        <v/>
      </c>
      <c r="C168">
        <f>'DISTINTA COMPLETA'!D168</f>
        <v/>
      </c>
      <c r="D168">
        <f>'DISTINTA COMPLETA'!E168</f>
        <v/>
      </c>
      <c r="E168">
        <f>'DISTINTA COMPLETA'!D168</f>
        <v/>
      </c>
      <c r="F168" t="inlineStr">
        <is>
          <t>-</t>
        </is>
      </c>
      <c r="G168">
        <f>1</f>
        <v/>
      </c>
      <c r="H168">
        <f>$G168*0</f>
        <v/>
      </c>
      <c r="I168">
        <f>$G168*0</f>
        <v/>
      </c>
      <c r="J168">
        <f>$G168*16</f>
        <v/>
      </c>
      <c r="K168">
        <f>$G168*0</f>
        <v/>
      </c>
      <c r="L168">
        <f>$G168*0</f>
        <v/>
      </c>
      <c r="M168">
        <f>$G168*0</f>
        <v/>
      </c>
      <c r="N168">
        <f>Cfg_n12*H168+Cfg_n18*I168+Cfg_n20*J168+Cfg_n22*K168+Cfg_n36*L168+Cfg_n40*M168</f>
        <v/>
      </c>
      <c r="O168" s="16">
        <f>IFERROR(VLOOKUP($E168,LISTINO!$B:$G,6,FALSE),0)</f>
        <v/>
      </c>
      <c r="P168" s="16">
        <f>$N168*$O168</f>
        <v/>
      </c>
      <c r="Q168">
        <f>IF($N168&gt;0,"SI","")</f>
        <v/>
      </c>
    </row>
    <row r="169">
      <c r="A169">
        <f>'DISTINTA COMPLETA'!A169</f>
        <v/>
      </c>
      <c r="B169">
        <f>'DISTINTA COMPLETA'!B169</f>
        <v/>
      </c>
      <c r="C169">
        <f>'DISTINTA COMPLETA'!D169</f>
        <v/>
      </c>
      <c r="D169">
        <f>'DISTINTA COMPLETA'!E169</f>
        <v/>
      </c>
      <c r="E169">
        <f>'DISTINTA COMPLETA'!D169</f>
        <v/>
      </c>
      <c r="F169" t="inlineStr">
        <is>
          <t>-</t>
        </is>
      </c>
      <c r="G169">
        <f>1</f>
        <v/>
      </c>
      <c r="H169">
        <f>$G169*0</f>
        <v/>
      </c>
      <c r="I169">
        <f>$G169*0</f>
        <v/>
      </c>
      <c r="J169">
        <f>$G169*16</f>
        <v/>
      </c>
      <c r="K169">
        <f>$G169*0</f>
        <v/>
      </c>
      <c r="L169">
        <f>$G169*0</f>
        <v/>
      </c>
      <c r="M169">
        <f>$G169*0</f>
        <v/>
      </c>
      <c r="N169">
        <f>Cfg_n12*H169+Cfg_n18*I169+Cfg_n20*J169+Cfg_n22*K169+Cfg_n36*L169+Cfg_n40*M169</f>
        <v/>
      </c>
      <c r="O169" s="16">
        <f>IFERROR(VLOOKUP($E169,LISTINO!$B:$G,6,FALSE),0)</f>
        <v/>
      </c>
      <c r="P169" s="16">
        <f>$N169*$O169</f>
        <v/>
      </c>
      <c r="Q169">
        <f>IF($N169&gt;0,"SI","")</f>
        <v/>
      </c>
    </row>
    <row r="170">
      <c r="A170">
        <f>'DISTINTA COMPLETA'!A170</f>
        <v/>
      </c>
      <c r="B170">
        <f>'DISTINTA COMPLETA'!B170</f>
        <v/>
      </c>
      <c r="C170">
        <f>'DISTINTA COMPLETA'!D170</f>
        <v/>
      </c>
      <c r="D170">
        <f>'DISTINTA COMPLETA'!E170</f>
        <v/>
      </c>
      <c r="E170">
        <f>'DISTINTA COMPLETA'!D170</f>
        <v/>
      </c>
      <c r="F170" t="inlineStr">
        <is>
          <t>-</t>
        </is>
      </c>
      <c r="G170">
        <f>1</f>
        <v/>
      </c>
      <c r="H170">
        <f>$G170*0</f>
        <v/>
      </c>
      <c r="I170">
        <f>$G170*0</f>
        <v/>
      </c>
      <c r="J170">
        <f>$G170*16</f>
        <v/>
      </c>
      <c r="K170">
        <f>$G170*0</f>
        <v/>
      </c>
      <c r="L170">
        <f>$G170*0</f>
        <v/>
      </c>
      <c r="M170">
        <f>$G170*0</f>
        <v/>
      </c>
      <c r="N170">
        <f>Cfg_n12*H170+Cfg_n18*I170+Cfg_n20*J170+Cfg_n22*K170+Cfg_n36*L170+Cfg_n40*M170</f>
        <v/>
      </c>
      <c r="O170" s="16">
        <f>IFERROR(VLOOKUP($E170,LISTINO!$B:$G,6,FALSE),0)</f>
        <v/>
      </c>
      <c r="P170" s="16">
        <f>$N170*$O170</f>
        <v/>
      </c>
      <c r="Q170">
        <f>IF($N170&gt;0,"SI","")</f>
        <v/>
      </c>
    </row>
    <row r="171">
      <c r="A171">
        <f>'DISTINTA COMPLETA'!A171</f>
        <v/>
      </c>
      <c r="B171">
        <f>'DISTINTA COMPLETA'!B171</f>
        <v/>
      </c>
      <c r="C171">
        <f>'DISTINTA COMPLETA'!D171</f>
        <v/>
      </c>
      <c r="D171">
        <f>'DISTINTA COMPLETA'!E171</f>
        <v/>
      </c>
      <c r="E171">
        <f>IF(Cfg_SpAsse="2,5 mm","TTS.AR.001.8700.25","TTS.AR.001.8700")</f>
        <v/>
      </c>
      <c r="F171" t="inlineStr">
        <is>
          <t>ASSE_PROF</t>
        </is>
      </c>
      <c r="G171">
        <f>1</f>
        <v/>
      </c>
      <c r="H171">
        <f>$G171*0</f>
        <v/>
      </c>
      <c r="I171">
        <f>$G171*0</f>
        <v/>
      </c>
      <c r="J171">
        <f>$G171*0</f>
        <v/>
      </c>
      <c r="K171">
        <f>$G171*2</f>
        <v/>
      </c>
      <c r="L171">
        <f>$G171*0</f>
        <v/>
      </c>
      <c r="M171">
        <f>$G171*0</f>
        <v/>
      </c>
      <c r="N171">
        <f>Cfg_n12*H171+Cfg_n18*I171+Cfg_n20*J171+Cfg_n22*K171+Cfg_n36*L171+Cfg_n40*M171</f>
        <v/>
      </c>
      <c r="O171" s="16">
        <f>IFERROR(VLOOKUP($E171,LISTINO!$B:$G,6,FALSE),0)</f>
        <v/>
      </c>
      <c r="P171" s="16">
        <f>$N171*$O171</f>
        <v/>
      </c>
      <c r="Q171">
        <f>IF($N171&gt;0,"SI","")</f>
        <v/>
      </c>
    </row>
    <row r="172">
      <c r="A172">
        <f>'DISTINTA COMPLETA'!A172</f>
        <v/>
      </c>
      <c r="B172">
        <f>'DISTINTA COMPLETA'!B172</f>
        <v/>
      </c>
      <c r="C172">
        <f>'DISTINTA COMPLETA'!D172</f>
        <v/>
      </c>
      <c r="D172">
        <f>'DISTINTA COMPLETA'!E172</f>
        <v/>
      </c>
      <c r="E172">
        <f>'DISTINTA COMPLETA'!D172</f>
        <v/>
      </c>
      <c r="F172" t="inlineStr">
        <is>
          <t>SKIP</t>
        </is>
      </c>
      <c r="G172">
        <f>0</f>
        <v/>
      </c>
      <c r="H172">
        <f>$G172*0</f>
        <v/>
      </c>
      <c r="I172">
        <f>$G172*0</f>
        <v/>
      </c>
      <c r="J172">
        <f>$G172*0</f>
        <v/>
      </c>
      <c r="K172">
        <f>$G172*0</f>
        <v/>
      </c>
      <c r="L172">
        <f>$G172*0</f>
        <v/>
      </c>
      <c r="M172">
        <f>$G172*0</f>
        <v/>
      </c>
      <c r="N172">
        <f>Cfg_n12*H172+Cfg_n18*I172+Cfg_n20*J172+Cfg_n22*K172+Cfg_n36*L172+Cfg_n40*M172</f>
        <v/>
      </c>
      <c r="O172" s="16">
        <f>IFERROR(VLOOKUP($E172,LISTINO!$B:$G,6,FALSE),0)</f>
        <v/>
      </c>
      <c r="P172" s="16">
        <f>$N172*$O172</f>
        <v/>
      </c>
      <c r="Q172">
        <f>IF($N172&gt;0,"SI","")</f>
        <v/>
      </c>
    </row>
    <row r="173">
      <c r="A173">
        <f>'DISTINTA COMPLETA'!A173</f>
        <v/>
      </c>
      <c r="B173">
        <f>'DISTINTA COMPLETA'!B173</f>
        <v/>
      </c>
      <c r="C173">
        <f>'DISTINTA COMPLETA'!D173</f>
        <v/>
      </c>
      <c r="D173">
        <f>'DISTINTA COMPLETA'!E173</f>
        <v/>
      </c>
      <c r="E173">
        <f>IF(Cfg_SpAsse="2,5 mm","TTS.AR.002.6150.25","TTS.AR.002.6150")</f>
        <v/>
      </c>
      <c r="F173" t="inlineStr">
        <is>
          <t>ASSE_PROF</t>
        </is>
      </c>
      <c r="G173">
        <f>1</f>
        <v/>
      </c>
      <c r="H173">
        <f>$G173*0</f>
        <v/>
      </c>
      <c r="I173">
        <f>$G173*0</f>
        <v/>
      </c>
      <c r="J173">
        <f>$G173*0</f>
        <v/>
      </c>
      <c r="K173">
        <f>$G173*2</f>
        <v/>
      </c>
      <c r="L173">
        <f>$G173*0</f>
        <v/>
      </c>
      <c r="M173">
        <f>$G173*0</f>
        <v/>
      </c>
      <c r="N173">
        <f>Cfg_n12*H173+Cfg_n18*I173+Cfg_n20*J173+Cfg_n22*K173+Cfg_n36*L173+Cfg_n40*M173</f>
        <v/>
      </c>
      <c r="O173" s="16">
        <f>IFERROR(VLOOKUP($E173,LISTINO!$B:$G,6,FALSE),0)</f>
        <v/>
      </c>
      <c r="P173" s="16">
        <f>$N173*$O173</f>
        <v/>
      </c>
      <c r="Q173">
        <f>IF($N173&gt;0,"SI","")</f>
        <v/>
      </c>
    </row>
    <row r="174">
      <c r="A174">
        <f>'DISTINTA COMPLETA'!A174</f>
        <v/>
      </c>
      <c r="B174">
        <f>'DISTINTA COMPLETA'!B174</f>
        <v/>
      </c>
      <c r="C174">
        <f>'DISTINTA COMPLETA'!D174</f>
        <v/>
      </c>
      <c r="D174">
        <f>'DISTINTA COMPLETA'!E174</f>
        <v/>
      </c>
      <c r="E174">
        <f>'DISTINTA COMPLETA'!D174</f>
        <v/>
      </c>
      <c r="F174" t="inlineStr">
        <is>
          <t>SKIP</t>
        </is>
      </c>
      <c r="G174">
        <f>0</f>
        <v/>
      </c>
      <c r="H174">
        <f>$G174*0</f>
        <v/>
      </c>
      <c r="I174">
        <f>$G174*0</f>
        <v/>
      </c>
      <c r="J174">
        <f>$G174*0</f>
        <v/>
      </c>
      <c r="K174">
        <f>$G174*0</f>
        <v/>
      </c>
      <c r="L174">
        <f>$G174*0</f>
        <v/>
      </c>
      <c r="M174">
        <f>$G174*0</f>
        <v/>
      </c>
      <c r="N174">
        <f>Cfg_n12*H174+Cfg_n18*I174+Cfg_n20*J174+Cfg_n22*K174+Cfg_n36*L174+Cfg_n40*M174</f>
        <v/>
      </c>
      <c r="O174" s="16">
        <f>IFERROR(VLOOKUP($E174,LISTINO!$B:$G,6,FALSE),0)</f>
        <v/>
      </c>
      <c r="P174" s="16">
        <f>$N174*$O174</f>
        <v/>
      </c>
      <c r="Q174">
        <f>IF($N174&gt;0,"SI","")</f>
        <v/>
      </c>
    </row>
    <row r="175">
      <c r="A175">
        <f>'DISTINTA COMPLETA'!A175</f>
        <v/>
      </c>
      <c r="B175">
        <f>'DISTINTA COMPLETA'!B175</f>
        <v/>
      </c>
      <c r="C175">
        <f>'DISTINTA COMPLETA'!D175</f>
        <v/>
      </c>
      <c r="D175">
        <f>'DISTINTA COMPLETA'!E175</f>
        <v/>
      </c>
      <c r="E175">
        <f>'DISTINTA COMPLETA'!D175</f>
        <v/>
      </c>
      <c r="F175" t="inlineStr">
        <is>
          <t>-</t>
        </is>
      </c>
      <c r="G175">
        <f>1</f>
        <v/>
      </c>
      <c r="H175">
        <f>$G175*0</f>
        <v/>
      </c>
      <c r="I175">
        <f>$G175*0</f>
        <v/>
      </c>
      <c r="J175">
        <f>$G175*0</f>
        <v/>
      </c>
      <c r="K175">
        <f>$G175*4</f>
        <v/>
      </c>
      <c r="L175">
        <f>$G175*0</f>
        <v/>
      </c>
      <c r="M175">
        <f>$G175*0</f>
        <v/>
      </c>
      <c r="N175">
        <f>Cfg_n12*H175+Cfg_n18*I175+Cfg_n20*J175+Cfg_n22*K175+Cfg_n36*L175+Cfg_n40*M175</f>
        <v/>
      </c>
      <c r="O175" s="16">
        <f>IFERROR(VLOOKUP($E175,LISTINO!$B:$G,6,FALSE),0)</f>
        <v/>
      </c>
      <c r="P175" s="16">
        <f>$N175*$O175</f>
        <v/>
      </c>
      <c r="Q175">
        <f>IF($N175&gt;0,"SI","")</f>
        <v/>
      </c>
    </row>
    <row r="176">
      <c r="A176">
        <f>'DISTINTA COMPLETA'!A176</f>
        <v/>
      </c>
      <c r="B176">
        <f>'DISTINTA COMPLETA'!B176</f>
        <v/>
      </c>
      <c r="C176">
        <f>'DISTINTA COMPLETA'!D176</f>
        <v/>
      </c>
      <c r="D176">
        <f>'DISTINTA COMPLETA'!E176</f>
        <v/>
      </c>
      <c r="E176">
        <f>'DISTINTA COMPLETA'!D176</f>
        <v/>
      </c>
      <c r="F176" t="inlineStr">
        <is>
          <t>-</t>
        </is>
      </c>
      <c r="G176">
        <f>1</f>
        <v/>
      </c>
      <c r="H176">
        <f>$G176*0</f>
        <v/>
      </c>
      <c r="I176">
        <f>$G176*0</f>
        <v/>
      </c>
      <c r="J176">
        <f>$G176*0</f>
        <v/>
      </c>
      <c r="K176">
        <f>$G176*4</f>
        <v/>
      </c>
      <c r="L176">
        <f>$G176*0</f>
        <v/>
      </c>
      <c r="M176">
        <f>$G176*0</f>
        <v/>
      </c>
      <c r="N176">
        <f>Cfg_n12*H176+Cfg_n18*I176+Cfg_n20*J176+Cfg_n22*K176+Cfg_n36*L176+Cfg_n40*M176</f>
        <v/>
      </c>
      <c r="O176" s="16">
        <f>IFERROR(VLOOKUP($E176,LISTINO!$B:$G,6,FALSE),0)</f>
        <v/>
      </c>
      <c r="P176" s="16">
        <f>$N176*$O176</f>
        <v/>
      </c>
      <c r="Q176">
        <f>IF($N176&gt;0,"SI","")</f>
        <v/>
      </c>
    </row>
    <row r="177">
      <c r="A177">
        <f>'DISTINTA COMPLETA'!A177</f>
        <v/>
      </c>
      <c r="B177">
        <f>'DISTINTA COMPLETA'!B177</f>
        <v/>
      </c>
      <c r="C177">
        <f>'DISTINTA COMPLETA'!D177</f>
        <v/>
      </c>
      <c r="D177">
        <f>'DISTINTA COMPLETA'!E177</f>
        <v/>
      </c>
      <c r="E177">
        <f>'DISTINTA COMPLETA'!D177</f>
        <v/>
      </c>
      <c r="F177" t="inlineStr">
        <is>
          <t>-</t>
        </is>
      </c>
      <c r="G177">
        <f>1</f>
        <v/>
      </c>
      <c r="H177">
        <f>$G177*0</f>
        <v/>
      </c>
      <c r="I177">
        <f>$G177*0</f>
        <v/>
      </c>
      <c r="J177">
        <f>$G177*0</f>
        <v/>
      </c>
      <c r="K177">
        <f>$G177*4</f>
        <v/>
      </c>
      <c r="L177">
        <f>$G177*0</f>
        <v/>
      </c>
      <c r="M177">
        <f>$G177*0</f>
        <v/>
      </c>
      <c r="N177">
        <f>Cfg_n12*H177+Cfg_n18*I177+Cfg_n20*J177+Cfg_n22*K177+Cfg_n36*L177+Cfg_n40*M177</f>
        <v/>
      </c>
      <c r="O177" s="16">
        <f>IFERROR(VLOOKUP($E177,LISTINO!$B:$G,6,FALSE),0)</f>
        <v/>
      </c>
      <c r="P177" s="16">
        <f>$N177*$O177</f>
        <v/>
      </c>
      <c r="Q177">
        <f>IF($N177&gt;0,"SI","")</f>
        <v/>
      </c>
    </row>
    <row r="178">
      <c r="A178">
        <f>'DISTINTA COMPLETA'!A178</f>
        <v/>
      </c>
      <c r="B178">
        <f>'DISTINTA COMPLETA'!B178</f>
        <v/>
      </c>
      <c r="C178">
        <f>'DISTINTA COMPLETA'!D178</f>
        <v/>
      </c>
      <c r="D178">
        <f>'DISTINTA COMPLETA'!E178</f>
        <v/>
      </c>
      <c r="E178">
        <f>'DISTINTA COMPLETA'!D178</f>
        <v/>
      </c>
      <c r="F178" t="inlineStr">
        <is>
          <t>-</t>
        </is>
      </c>
      <c r="G178">
        <f>1</f>
        <v/>
      </c>
      <c r="H178">
        <f>$G178*0</f>
        <v/>
      </c>
      <c r="I178">
        <f>$G178*0</f>
        <v/>
      </c>
      <c r="J178">
        <f>$G178*0</f>
        <v/>
      </c>
      <c r="K178">
        <f>$G178*4</f>
        <v/>
      </c>
      <c r="L178">
        <f>$G178*0</f>
        <v/>
      </c>
      <c r="M178">
        <f>$G178*0</f>
        <v/>
      </c>
      <c r="N178">
        <f>Cfg_n12*H178+Cfg_n18*I178+Cfg_n20*J178+Cfg_n22*K178+Cfg_n36*L178+Cfg_n40*M178</f>
        <v/>
      </c>
      <c r="O178" s="16">
        <f>IFERROR(VLOOKUP($E178,LISTINO!$B:$G,6,FALSE),0)</f>
        <v/>
      </c>
      <c r="P178" s="16">
        <f>$N178*$O178</f>
        <v/>
      </c>
      <c r="Q178">
        <f>IF($N178&gt;0,"SI","")</f>
        <v/>
      </c>
    </row>
    <row r="179">
      <c r="A179">
        <f>'DISTINTA COMPLETA'!A179</f>
        <v/>
      </c>
      <c r="B179">
        <f>'DISTINTA COMPLETA'!B179</f>
        <v/>
      </c>
      <c r="C179">
        <f>'DISTINTA COMPLETA'!D179</f>
        <v/>
      </c>
      <c r="D179">
        <f>'DISTINTA COMPLETA'!E179</f>
        <v/>
      </c>
      <c r="E179">
        <f>'DISTINTA COMPLETA'!D179</f>
        <v/>
      </c>
      <c r="F179" t="inlineStr">
        <is>
          <t>-</t>
        </is>
      </c>
      <c r="G179">
        <f>1</f>
        <v/>
      </c>
      <c r="H179">
        <f>$G179*0</f>
        <v/>
      </c>
      <c r="I179">
        <f>$G179*0</f>
        <v/>
      </c>
      <c r="J179">
        <f>$G179*0</f>
        <v/>
      </c>
      <c r="K179">
        <f>$G179*4</f>
        <v/>
      </c>
      <c r="L179">
        <f>$G179*0</f>
        <v/>
      </c>
      <c r="M179">
        <f>$G179*0</f>
        <v/>
      </c>
      <c r="N179">
        <f>Cfg_n12*H179+Cfg_n18*I179+Cfg_n20*J179+Cfg_n22*K179+Cfg_n36*L179+Cfg_n40*M179</f>
        <v/>
      </c>
      <c r="O179" s="16">
        <f>IFERROR(VLOOKUP($E179,LISTINO!$B:$G,6,FALSE),0)</f>
        <v/>
      </c>
      <c r="P179" s="16">
        <f>$N179*$O179</f>
        <v/>
      </c>
      <c r="Q179">
        <f>IF($N179&gt;0,"SI","")</f>
        <v/>
      </c>
    </row>
    <row r="180">
      <c r="A180">
        <f>'DISTINTA COMPLETA'!A180</f>
        <v/>
      </c>
      <c r="B180">
        <f>'DISTINTA COMPLETA'!B180</f>
        <v/>
      </c>
      <c r="C180">
        <f>'DISTINTA COMPLETA'!D180</f>
        <v/>
      </c>
      <c r="D180">
        <f>'DISTINTA COMPLETA'!E180</f>
        <v/>
      </c>
      <c r="E180">
        <f>'DISTINTA COMPLETA'!D180</f>
        <v/>
      </c>
      <c r="F180" t="inlineStr">
        <is>
          <t>-</t>
        </is>
      </c>
      <c r="G180">
        <f>1</f>
        <v/>
      </c>
      <c r="H180">
        <f>$G180*0</f>
        <v/>
      </c>
      <c r="I180">
        <f>$G180*0</f>
        <v/>
      </c>
      <c r="J180">
        <f>$G180*0</f>
        <v/>
      </c>
      <c r="K180">
        <f>$G180*16</f>
        <v/>
      </c>
      <c r="L180">
        <f>$G180*0</f>
        <v/>
      </c>
      <c r="M180">
        <f>$G180*0</f>
        <v/>
      </c>
      <c r="N180">
        <f>Cfg_n12*H180+Cfg_n18*I180+Cfg_n20*J180+Cfg_n22*K180+Cfg_n36*L180+Cfg_n40*M180</f>
        <v/>
      </c>
      <c r="O180" s="16">
        <f>IFERROR(VLOOKUP($E180,LISTINO!$B:$G,6,FALSE),0)</f>
        <v/>
      </c>
      <c r="P180" s="16">
        <f>$N180*$O180</f>
        <v/>
      </c>
      <c r="Q180">
        <f>IF($N180&gt;0,"SI","")</f>
        <v/>
      </c>
    </row>
    <row r="181">
      <c r="A181">
        <f>'DISTINTA COMPLETA'!A181</f>
        <v/>
      </c>
      <c r="B181">
        <f>'DISTINTA COMPLETA'!B181</f>
        <v/>
      </c>
      <c r="C181">
        <f>'DISTINTA COMPLETA'!D181</f>
        <v/>
      </c>
      <c r="D181">
        <f>'DISTINTA COMPLETA'!E181</f>
        <v/>
      </c>
      <c r="E181">
        <f>'DISTINTA COMPLETA'!D181</f>
        <v/>
      </c>
      <c r="F181" t="inlineStr">
        <is>
          <t>-</t>
        </is>
      </c>
      <c r="G181">
        <f>1</f>
        <v/>
      </c>
      <c r="H181">
        <f>$G181*0</f>
        <v/>
      </c>
      <c r="I181">
        <f>$G181*0</f>
        <v/>
      </c>
      <c r="J181">
        <f>$G181*0</f>
        <v/>
      </c>
      <c r="K181">
        <f>$G181*16</f>
        <v/>
      </c>
      <c r="L181">
        <f>$G181*0</f>
        <v/>
      </c>
      <c r="M181">
        <f>$G181*0</f>
        <v/>
      </c>
      <c r="N181">
        <f>Cfg_n12*H181+Cfg_n18*I181+Cfg_n20*J181+Cfg_n22*K181+Cfg_n36*L181+Cfg_n40*M181</f>
        <v/>
      </c>
      <c r="O181" s="16">
        <f>IFERROR(VLOOKUP($E181,LISTINO!$B:$G,6,FALSE),0)</f>
        <v/>
      </c>
      <c r="P181" s="16">
        <f>$N181*$O181</f>
        <v/>
      </c>
      <c r="Q181">
        <f>IF($N181&gt;0,"SI","")</f>
        <v/>
      </c>
    </row>
    <row r="182">
      <c r="A182">
        <f>'DISTINTA COMPLETA'!A182</f>
        <v/>
      </c>
      <c r="B182">
        <f>'DISTINTA COMPLETA'!B182</f>
        <v/>
      </c>
      <c r="C182">
        <f>'DISTINTA COMPLETA'!D182</f>
        <v/>
      </c>
      <c r="D182">
        <f>'DISTINTA COMPLETA'!E182</f>
        <v/>
      </c>
      <c r="E182">
        <f>'DISTINTA COMPLETA'!D182</f>
        <v/>
      </c>
      <c r="F182" t="inlineStr">
        <is>
          <t>-</t>
        </is>
      </c>
      <c r="G182">
        <f>1</f>
        <v/>
      </c>
      <c r="H182">
        <f>$G182*0</f>
        <v/>
      </c>
      <c r="I182">
        <f>$G182*0</f>
        <v/>
      </c>
      <c r="J182">
        <f>$G182*0</f>
        <v/>
      </c>
      <c r="K182">
        <f>$G182*16</f>
        <v/>
      </c>
      <c r="L182">
        <f>$G182*0</f>
        <v/>
      </c>
      <c r="M182">
        <f>$G182*0</f>
        <v/>
      </c>
      <c r="N182">
        <f>Cfg_n12*H182+Cfg_n18*I182+Cfg_n20*J182+Cfg_n22*K182+Cfg_n36*L182+Cfg_n40*M182</f>
        <v/>
      </c>
      <c r="O182" s="16">
        <f>IFERROR(VLOOKUP($E182,LISTINO!$B:$G,6,FALSE),0)</f>
        <v/>
      </c>
      <c r="P182" s="16">
        <f>$N182*$O182</f>
        <v/>
      </c>
      <c r="Q182">
        <f>IF($N182&gt;0,"SI","")</f>
        <v/>
      </c>
    </row>
    <row r="183">
      <c r="A183">
        <f>'DISTINTA COMPLETA'!A183</f>
        <v/>
      </c>
      <c r="B183">
        <f>'DISTINTA COMPLETA'!B183</f>
        <v/>
      </c>
      <c r="C183">
        <f>'DISTINTA COMPLETA'!D183</f>
        <v/>
      </c>
      <c r="D183">
        <f>'DISTINTA COMPLETA'!E183</f>
        <v/>
      </c>
      <c r="E183">
        <f>'DISTINTA COMPLETA'!D183</f>
        <v/>
      </c>
      <c r="F183" t="inlineStr">
        <is>
          <t>-</t>
        </is>
      </c>
      <c r="G183">
        <f>1</f>
        <v/>
      </c>
      <c r="H183">
        <f>$G183*0</f>
        <v/>
      </c>
      <c r="I183">
        <f>$G183*0</f>
        <v/>
      </c>
      <c r="J183">
        <f>$G183*0</f>
        <v/>
      </c>
      <c r="K183">
        <f>$G183*16</f>
        <v/>
      </c>
      <c r="L183">
        <f>$G183*0</f>
        <v/>
      </c>
      <c r="M183">
        <f>$G183*0</f>
        <v/>
      </c>
      <c r="N183">
        <f>Cfg_n12*H183+Cfg_n18*I183+Cfg_n20*J183+Cfg_n22*K183+Cfg_n36*L183+Cfg_n40*M183</f>
        <v/>
      </c>
      <c r="O183" s="16">
        <f>IFERROR(VLOOKUP($E183,LISTINO!$B:$G,6,FALSE),0)</f>
        <v/>
      </c>
      <c r="P183" s="16">
        <f>$N183*$O183</f>
        <v/>
      </c>
      <c r="Q183">
        <f>IF($N183&gt;0,"SI","")</f>
        <v/>
      </c>
    </row>
    <row r="184">
      <c r="A184">
        <f>'DISTINTA COMPLETA'!A184</f>
        <v/>
      </c>
      <c r="B184">
        <f>'DISTINTA COMPLETA'!B184</f>
        <v/>
      </c>
      <c r="C184">
        <f>'DISTINTA COMPLETA'!D184</f>
        <v/>
      </c>
      <c r="D184">
        <f>'DISTINTA COMPLETA'!E184</f>
        <v/>
      </c>
      <c r="E184">
        <f>IF(Cfg_SpAsse="2,5 mm","TTS.AR.001.8700.25","TTS.AR.001.8700")</f>
        <v/>
      </c>
      <c r="F184" t="inlineStr">
        <is>
          <t>ASSE_PROF</t>
        </is>
      </c>
      <c r="G184">
        <f>1</f>
        <v/>
      </c>
      <c r="H184">
        <f>$G184*0</f>
        <v/>
      </c>
      <c r="I184">
        <f>$G184*0</f>
        <v/>
      </c>
      <c r="J184">
        <f>$G184*0</f>
        <v/>
      </c>
      <c r="K184">
        <f>$G184*0</f>
        <v/>
      </c>
      <c r="L184">
        <f>$G184*2</f>
        <v/>
      </c>
      <c r="M184">
        <f>$G184*0</f>
        <v/>
      </c>
      <c r="N184">
        <f>Cfg_n12*H184+Cfg_n18*I184+Cfg_n20*J184+Cfg_n22*K184+Cfg_n36*L184+Cfg_n40*M184</f>
        <v/>
      </c>
      <c r="O184" s="16">
        <f>IFERROR(VLOOKUP($E184,LISTINO!$B:$G,6,FALSE),0)</f>
        <v/>
      </c>
      <c r="P184" s="16">
        <f>$N184*$O184</f>
        <v/>
      </c>
      <c r="Q184">
        <f>IF($N184&gt;0,"SI","")</f>
        <v/>
      </c>
    </row>
    <row r="185">
      <c r="A185">
        <f>'DISTINTA COMPLETA'!A185</f>
        <v/>
      </c>
      <c r="B185">
        <f>'DISTINTA COMPLETA'!B185</f>
        <v/>
      </c>
      <c r="C185">
        <f>'DISTINTA COMPLETA'!D185</f>
        <v/>
      </c>
      <c r="D185">
        <f>'DISTINTA COMPLETA'!E185</f>
        <v/>
      </c>
      <c r="E185">
        <f>IF(Cfg_SpAsse="2,5 mm","TTS.AR.002.6756.25","TTS.AR.002.6756")</f>
        <v/>
      </c>
      <c r="F185" t="inlineStr">
        <is>
          <t>ASSE_PROF</t>
        </is>
      </c>
      <c r="G185">
        <f>1</f>
        <v/>
      </c>
      <c r="H185">
        <f>$G185*0</f>
        <v/>
      </c>
      <c r="I185">
        <f>$G185*0</f>
        <v/>
      </c>
      <c r="J185">
        <f>$G185*0</f>
        <v/>
      </c>
      <c r="K185">
        <f>$G185*0</f>
        <v/>
      </c>
      <c r="L185">
        <f>$G185*2</f>
        <v/>
      </c>
      <c r="M185">
        <f>$G185*0</f>
        <v/>
      </c>
      <c r="N185">
        <f>Cfg_n12*H185+Cfg_n18*I185+Cfg_n20*J185+Cfg_n22*K185+Cfg_n36*L185+Cfg_n40*M185</f>
        <v/>
      </c>
      <c r="O185" s="16">
        <f>IFERROR(VLOOKUP($E185,LISTINO!$B:$G,6,FALSE),0)</f>
        <v/>
      </c>
      <c r="P185" s="16">
        <f>$N185*$O185</f>
        <v/>
      </c>
      <c r="Q185">
        <f>IF($N185&gt;0,"SI","")</f>
        <v/>
      </c>
    </row>
    <row r="186">
      <c r="A186">
        <f>'DISTINTA COMPLETA'!A186</f>
        <v/>
      </c>
      <c r="B186">
        <f>'DISTINTA COMPLETA'!B186</f>
        <v/>
      </c>
      <c r="C186">
        <f>'DISTINTA COMPLETA'!D186</f>
        <v/>
      </c>
      <c r="D186">
        <f>'DISTINTA COMPLETA'!E186</f>
        <v/>
      </c>
      <c r="E186">
        <f>'DISTINTA COMPLETA'!D186</f>
        <v/>
      </c>
      <c r="F186" t="inlineStr">
        <is>
          <t>SKIP</t>
        </is>
      </c>
      <c r="G186">
        <f>0</f>
        <v/>
      </c>
      <c r="H186">
        <f>$G186*0</f>
        <v/>
      </c>
      <c r="I186">
        <f>$G186*0</f>
        <v/>
      </c>
      <c r="J186">
        <f>$G186*0</f>
        <v/>
      </c>
      <c r="K186">
        <f>$G186*0</f>
        <v/>
      </c>
      <c r="L186">
        <f>$G186*0</f>
        <v/>
      </c>
      <c r="M186">
        <f>$G186*0</f>
        <v/>
      </c>
      <c r="N186">
        <f>Cfg_n12*H186+Cfg_n18*I186+Cfg_n20*J186+Cfg_n22*K186+Cfg_n36*L186+Cfg_n40*M186</f>
        <v/>
      </c>
      <c r="O186" s="16">
        <f>IFERROR(VLOOKUP($E186,LISTINO!$B:$G,6,FALSE),0)</f>
        <v/>
      </c>
      <c r="P186" s="16">
        <f>$N186*$O186</f>
        <v/>
      </c>
      <c r="Q186">
        <f>IF($N186&gt;0,"SI","")</f>
        <v/>
      </c>
    </row>
    <row r="187">
      <c r="A187">
        <f>'DISTINTA COMPLETA'!A187</f>
        <v/>
      </c>
      <c r="B187">
        <f>'DISTINTA COMPLETA'!B187</f>
        <v/>
      </c>
      <c r="C187">
        <f>'DISTINTA COMPLETA'!D187</f>
        <v/>
      </c>
      <c r="D187">
        <f>'DISTINTA COMPLETA'!E187</f>
        <v/>
      </c>
      <c r="E187">
        <f>IF(Cfg_SpAsse="2,5 mm","TTS.AR.002.8645.25","TTS.AR.002.8645")</f>
        <v/>
      </c>
      <c r="F187" t="inlineStr">
        <is>
          <t>ASSE_PROF</t>
        </is>
      </c>
      <c r="G187">
        <f>1</f>
        <v/>
      </c>
      <c r="H187">
        <f>$G187*0</f>
        <v/>
      </c>
      <c r="I187">
        <f>$G187*0</f>
        <v/>
      </c>
      <c r="J187">
        <f>$G187*0</f>
        <v/>
      </c>
      <c r="K187">
        <f>$G187*0</f>
        <v/>
      </c>
      <c r="L187">
        <f>$G187*2</f>
        <v/>
      </c>
      <c r="M187">
        <f>$G187*0</f>
        <v/>
      </c>
      <c r="N187">
        <f>Cfg_n12*H187+Cfg_n18*I187+Cfg_n20*J187+Cfg_n22*K187+Cfg_n36*L187+Cfg_n40*M187</f>
        <v/>
      </c>
      <c r="O187" s="16">
        <f>IFERROR(VLOOKUP($E187,LISTINO!$B:$G,6,FALSE),0)</f>
        <v/>
      </c>
      <c r="P187" s="16">
        <f>$N187*$O187</f>
        <v/>
      </c>
      <c r="Q187">
        <f>IF($N187&gt;0,"SI","")</f>
        <v/>
      </c>
    </row>
    <row r="188">
      <c r="A188">
        <f>'DISTINTA COMPLETA'!A188</f>
        <v/>
      </c>
      <c r="B188">
        <f>'DISTINTA COMPLETA'!B188</f>
        <v/>
      </c>
      <c r="C188">
        <f>'DISTINTA COMPLETA'!D188</f>
        <v/>
      </c>
      <c r="D188">
        <f>'DISTINTA COMPLETA'!E188</f>
        <v/>
      </c>
      <c r="E188">
        <f>'DISTINTA COMPLETA'!D188</f>
        <v/>
      </c>
      <c r="F188" t="inlineStr">
        <is>
          <t>SKIP</t>
        </is>
      </c>
      <c r="G188">
        <f>0</f>
        <v/>
      </c>
      <c r="H188">
        <f>$G188*0</f>
        <v/>
      </c>
      <c r="I188">
        <f>$G188*0</f>
        <v/>
      </c>
      <c r="J188">
        <f>$G188*0</f>
        <v/>
      </c>
      <c r="K188">
        <f>$G188*0</f>
        <v/>
      </c>
      <c r="L188">
        <f>$G188*0</f>
        <v/>
      </c>
      <c r="M188">
        <f>$G188*0</f>
        <v/>
      </c>
      <c r="N188">
        <f>Cfg_n12*H188+Cfg_n18*I188+Cfg_n20*J188+Cfg_n22*K188+Cfg_n36*L188+Cfg_n40*M188</f>
        <v/>
      </c>
      <c r="O188" s="16">
        <f>IFERROR(VLOOKUP($E188,LISTINO!$B:$G,6,FALSE),0)</f>
        <v/>
      </c>
      <c r="P188" s="16">
        <f>$N188*$O188</f>
        <v/>
      </c>
      <c r="Q188">
        <f>IF($N188&gt;0,"SI","")</f>
        <v/>
      </c>
    </row>
    <row r="189">
      <c r="A189">
        <f>'DISTINTA COMPLETA'!A189</f>
        <v/>
      </c>
      <c r="B189">
        <f>'DISTINTA COMPLETA'!B189</f>
        <v/>
      </c>
      <c r="C189">
        <f>'DISTINTA COMPLETA'!D189</f>
        <v/>
      </c>
      <c r="D189">
        <f>'DISTINTA COMPLETA'!E189</f>
        <v/>
      </c>
      <c r="E189">
        <f>'DISTINTA COMPLETA'!D189</f>
        <v/>
      </c>
      <c r="F189" t="inlineStr">
        <is>
          <t>-</t>
        </is>
      </c>
      <c r="G189">
        <f>1</f>
        <v/>
      </c>
      <c r="H189">
        <f>$G189*0</f>
        <v/>
      </c>
      <c r="I189">
        <f>$G189*0</f>
        <v/>
      </c>
      <c r="J189">
        <f>$G189*0</f>
        <v/>
      </c>
      <c r="K189">
        <f>$G189*0</f>
        <v/>
      </c>
      <c r="L189">
        <f>$G189*8</f>
        <v/>
      </c>
      <c r="M189">
        <f>$G189*0</f>
        <v/>
      </c>
      <c r="N189">
        <f>Cfg_n12*H189+Cfg_n18*I189+Cfg_n20*J189+Cfg_n22*K189+Cfg_n36*L189+Cfg_n40*M189</f>
        <v/>
      </c>
      <c r="O189" s="16">
        <f>IFERROR(VLOOKUP($E189,LISTINO!$B:$G,6,FALSE),0)</f>
        <v/>
      </c>
      <c r="P189" s="16">
        <f>$N189*$O189</f>
        <v/>
      </c>
      <c r="Q189">
        <f>IF($N189&gt;0,"SI","")</f>
        <v/>
      </c>
    </row>
    <row r="190">
      <c r="A190">
        <f>'DISTINTA COMPLETA'!A190</f>
        <v/>
      </c>
      <c r="B190">
        <f>'DISTINTA COMPLETA'!B190</f>
        <v/>
      </c>
      <c r="C190">
        <f>'DISTINTA COMPLETA'!D190</f>
        <v/>
      </c>
      <c r="D190">
        <f>'DISTINTA COMPLETA'!E190</f>
        <v/>
      </c>
      <c r="E190">
        <f>'DISTINTA COMPLETA'!D190</f>
        <v/>
      </c>
      <c r="F190" t="inlineStr">
        <is>
          <t>-</t>
        </is>
      </c>
      <c r="G190">
        <f>1</f>
        <v/>
      </c>
      <c r="H190">
        <f>$G190*0</f>
        <v/>
      </c>
      <c r="I190">
        <f>$G190*0</f>
        <v/>
      </c>
      <c r="J190">
        <f>$G190*0</f>
        <v/>
      </c>
      <c r="K190">
        <f>$G190*0</f>
        <v/>
      </c>
      <c r="L190">
        <f>$G190*8</f>
        <v/>
      </c>
      <c r="M190">
        <f>$G190*0</f>
        <v/>
      </c>
      <c r="N190">
        <f>Cfg_n12*H190+Cfg_n18*I190+Cfg_n20*J190+Cfg_n22*K190+Cfg_n36*L190+Cfg_n40*M190</f>
        <v/>
      </c>
      <c r="O190" s="16">
        <f>IFERROR(VLOOKUP($E190,LISTINO!$B:$G,6,FALSE),0)</f>
        <v/>
      </c>
      <c r="P190" s="16">
        <f>$N190*$O190</f>
        <v/>
      </c>
      <c r="Q190">
        <f>IF($N190&gt;0,"SI","")</f>
        <v/>
      </c>
    </row>
    <row r="191">
      <c r="A191">
        <f>'DISTINTA COMPLETA'!A191</f>
        <v/>
      </c>
      <c r="B191">
        <f>'DISTINTA COMPLETA'!B191</f>
        <v/>
      </c>
      <c r="C191">
        <f>'DISTINTA COMPLETA'!D191</f>
        <v/>
      </c>
      <c r="D191">
        <f>'DISTINTA COMPLETA'!E191</f>
        <v/>
      </c>
      <c r="E191">
        <f>'DISTINTA COMPLETA'!D191</f>
        <v/>
      </c>
      <c r="F191" t="inlineStr">
        <is>
          <t>-</t>
        </is>
      </c>
      <c r="G191">
        <f>1</f>
        <v/>
      </c>
      <c r="H191">
        <f>$G191*0</f>
        <v/>
      </c>
      <c r="I191">
        <f>$G191*0</f>
        <v/>
      </c>
      <c r="J191">
        <f>$G191*0</f>
        <v/>
      </c>
      <c r="K191">
        <f>$G191*0</f>
        <v/>
      </c>
      <c r="L191">
        <f>$G191*8</f>
        <v/>
      </c>
      <c r="M191">
        <f>$G191*0</f>
        <v/>
      </c>
      <c r="N191">
        <f>Cfg_n12*H191+Cfg_n18*I191+Cfg_n20*J191+Cfg_n22*K191+Cfg_n36*L191+Cfg_n40*M191</f>
        <v/>
      </c>
      <c r="O191" s="16">
        <f>IFERROR(VLOOKUP($E191,LISTINO!$B:$G,6,FALSE),0)</f>
        <v/>
      </c>
      <c r="P191" s="16">
        <f>$N191*$O191</f>
        <v/>
      </c>
      <c r="Q191">
        <f>IF($N191&gt;0,"SI","")</f>
        <v/>
      </c>
    </row>
    <row r="192">
      <c r="A192">
        <f>'DISTINTA COMPLETA'!A192</f>
        <v/>
      </c>
      <c r="B192">
        <f>'DISTINTA COMPLETA'!B192</f>
        <v/>
      </c>
      <c r="C192">
        <f>'DISTINTA COMPLETA'!D192</f>
        <v/>
      </c>
      <c r="D192">
        <f>'DISTINTA COMPLETA'!E192</f>
        <v/>
      </c>
      <c r="E192">
        <f>'DISTINTA COMPLETA'!D192</f>
        <v/>
      </c>
      <c r="F192" t="inlineStr">
        <is>
          <t>-</t>
        </is>
      </c>
      <c r="G192">
        <f>1</f>
        <v/>
      </c>
      <c r="H192">
        <f>$G192*0</f>
        <v/>
      </c>
      <c r="I192">
        <f>$G192*0</f>
        <v/>
      </c>
      <c r="J192">
        <f>$G192*0</f>
        <v/>
      </c>
      <c r="K192">
        <f>$G192*0</f>
        <v/>
      </c>
      <c r="L192">
        <f>$G192*8</f>
        <v/>
      </c>
      <c r="M192">
        <f>$G192*0</f>
        <v/>
      </c>
      <c r="N192">
        <f>Cfg_n12*H192+Cfg_n18*I192+Cfg_n20*J192+Cfg_n22*K192+Cfg_n36*L192+Cfg_n40*M192</f>
        <v/>
      </c>
      <c r="O192" s="16">
        <f>IFERROR(VLOOKUP($E192,LISTINO!$B:$G,6,FALSE),0)</f>
        <v/>
      </c>
      <c r="P192" s="16">
        <f>$N192*$O192</f>
        <v/>
      </c>
      <c r="Q192">
        <f>IF($N192&gt;0,"SI","")</f>
        <v/>
      </c>
    </row>
    <row r="193">
      <c r="A193">
        <f>'DISTINTA COMPLETA'!A193</f>
        <v/>
      </c>
      <c r="B193">
        <f>'DISTINTA COMPLETA'!B193</f>
        <v/>
      </c>
      <c r="C193">
        <f>'DISTINTA COMPLETA'!D193</f>
        <v/>
      </c>
      <c r="D193">
        <f>'DISTINTA COMPLETA'!E193</f>
        <v/>
      </c>
      <c r="E193">
        <f>'DISTINTA COMPLETA'!D193</f>
        <v/>
      </c>
      <c r="F193" t="inlineStr">
        <is>
          <t>-</t>
        </is>
      </c>
      <c r="G193">
        <f>1</f>
        <v/>
      </c>
      <c r="H193">
        <f>$G193*0</f>
        <v/>
      </c>
      <c r="I193">
        <f>$G193*0</f>
        <v/>
      </c>
      <c r="J193">
        <f>$G193*0</f>
        <v/>
      </c>
      <c r="K193">
        <f>$G193*0</f>
        <v/>
      </c>
      <c r="L193">
        <f>$G193*8</f>
        <v/>
      </c>
      <c r="M193">
        <f>$G193*0</f>
        <v/>
      </c>
      <c r="N193">
        <f>Cfg_n12*H193+Cfg_n18*I193+Cfg_n20*J193+Cfg_n22*K193+Cfg_n36*L193+Cfg_n40*M193</f>
        <v/>
      </c>
      <c r="O193" s="16">
        <f>IFERROR(VLOOKUP($E193,LISTINO!$B:$G,6,FALSE),0)</f>
        <v/>
      </c>
      <c r="P193" s="16">
        <f>$N193*$O193</f>
        <v/>
      </c>
      <c r="Q193">
        <f>IF($N193&gt;0,"SI","")</f>
        <v/>
      </c>
    </row>
    <row r="194">
      <c r="A194">
        <f>'DISTINTA COMPLETA'!A194</f>
        <v/>
      </c>
      <c r="B194">
        <f>'DISTINTA COMPLETA'!B194</f>
        <v/>
      </c>
      <c r="C194">
        <f>'DISTINTA COMPLETA'!D194</f>
        <v/>
      </c>
      <c r="D194">
        <f>'DISTINTA COMPLETA'!E194</f>
        <v/>
      </c>
      <c r="E194">
        <f>'DISTINTA COMPLETA'!D194</f>
        <v/>
      </c>
      <c r="F194" t="inlineStr">
        <is>
          <t>-</t>
        </is>
      </c>
      <c r="G194">
        <f>1</f>
        <v/>
      </c>
      <c r="H194">
        <f>$G194*0</f>
        <v/>
      </c>
      <c r="I194">
        <f>$G194*0</f>
        <v/>
      </c>
      <c r="J194">
        <f>$G194*0</f>
        <v/>
      </c>
      <c r="K194">
        <f>$G194*0</f>
        <v/>
      </c>
      <c r="L194">
        <f>$G194*32</f>
        <v/>
      </c>
      <c r="M194">
        <f>$G194*0</f>
        <v/>
      </c>
      <c r="N194">
        <f>Cfg_n12*H194+Cfg_n18*I194+Cfg_n20*J194+Cfg_n22*K194+Cfg_n36*L194+Cfg_n40*M194</f>
        <v/>
      </c>
      <c r="O194" s="16">
        <f>IFERROR(VLOOKUP($E194,LISTINO!$B:$G,6,FALSE),0)</f>
        <v/>
      </c>
      <c r="P194" s="16">
        <f>$N194*$O194</f>
        <v/>
      </c>
      <c r="Q194">
        <f>IF($N194&gt;0,"SI","")</f>
        <v/>
      </c>
    </row>
    <row r="195">
      <c r="A195">
        <f>'DISTINTA COMPLETA'!A195</f>
        <v/>
      </c>
      <c r="B195">
        <f>'DISTINTA COMPLETA'!B195</f>
        <v/>
      </c>
      <c r="C195">
        <f>'DISTINTA COMPLETA'!D195</f>
        <v/>
      </c>
      <c r="D195">
        <f>'DISTINTA COMPLETA'!E195</f>
        <v/>
      </c>
      <c r="E195">
        <f>'DISTINTA COMPLETA'!D195</f>
        <v/>
      </c>
      <c r="F195" t="inlineStr">
        <is>
          <t>-</t>
        </is>
      </c>
      <c r="G195">
        <f>1</f>
        <v/>
      </c>
      <c r="H195">
        <f>$G195*0</f>
        <v/>
      </c>
      <c r="I195">
        <f>$G195*0</f>
        <v/>
      </c>
      <c r="J195">
        <f>$G195*0</f>
        <v/>
      </c>
      <c r="K195">
        <f>$G195*0</f>
        <v/>
      </c>
      <c r="L195">
        <f>$G195*32</f>
        <v/>
      </c>
      <c r="M195">
        <f>$G195*0</f>
        <v/>
      </c>
      <c r="N195">
        <f>Cfg_n12*H195+Cfg_n18*I195+Cfg_n20*J195+Cfg_n22*K195+Cfg_n36*L195+Cfg_n40*M195</f>
        <v/>
      </c>
      <c r="O195" s="16">
        <f>IFERROR(VLOOKUP($E195,LISTINO!$B:$G,6,FALSE),0)</f>
        <v/>
      </c>
      <c r="P195" s="16">
        <f>$N195*$O195</f>
        <v/>
      </c>
      <c r="Q195">
        <f>IF($N195&gt;0,"SI","")</f>
        <v/>
      </c>
    </row>
    <row r="196">
      <c r="A196">
        <f>'DISTINTA COMPLETA'!A196</f>
        <v/>
      </c>
      <c r="B196">
        <f>'DISTINTA COMPLETA'!B196</f>
        <v/>
      </c>
      <c r="C196">
        <f>'DISTINTA COMPLETA'!D196</f>
        <v/>
      </c>
      <c r="D196">
        <f>'DISTINTA COMPLETA'!E196</f>
        <v/>
      </c>
      <c r="E196">
        <f>'DISTINTA COMPLETA'!D196</f>
        <v/>
      </c>
      <c r="F196" t="inlineStr">
        <is>
          <t>-</t>
        </is>
      </c>
      <c r="G196">
        <f>1</f>
        <v/>
      </c>
      <c r="H196">
        <f>$G196*0</f>
        <v/>
      </c>
      <c r="I196">
        <f>$G196*0</f>
        <v/>
      </c>
      <c r="J196">
        <f>$G196*0</f>
        <v/>
      </c>
      <c r="K196">
        <f>$G196*0</f>
        <v/>
      </c>
      <c r="L196">
        <f>$G196*32</f>
        <v/>
      </c>
      <c r="M196">
        <f>$G196*0</f>
        <v/>
      </c>
      <c r="N196">
        <f>Cfg_n12*H196+Cfg_n18*I196+Cfg_n20*J196+Cfg_n22*K196+Cfg_n36*L196+Cfg_n40*M196</f>
        <v/>
      </c>
      <c r="O196" s="16">
        <f>IFERROR(VLOOKUP($E196,LISTINO!$B:$G,6,FALSE),0)</f>
        <v/>
      </c>
      <c r="P196" s="16">
        <f>$N196*$O196</f>
        <v/>
      </c>
      <c r="Q196">
        <f>IF($N196&gt;0,"SI","")</f>
        <v/>
      </c>
    </row>
    <row r="197">
      <c r="A197">
        <f>'DISTINTA COMPLETA'!A197</f>
        <v/>
      </c>
      <c r="B197">
        <f>'DISTINTA COMPLETA'!B197</f>
        <v/>
      </c>
      <c r="C197">
        <f>'DISTINTA COMPLETA'!D197</f>
        <v/>
      </c>
      <c r="D197">
        <f>'DISTINTA COMPLETA'!E197</f>
        <v/>
      </c>
      <c r="E197">
        <f>'DISTINTA COMPLETA'!D197</f>
        <v/>
      </c>
      <c r="F197" t="inlineStr">
        <is>
          <t>-</t>
        </is>
      </c>
      <c r="G197">
        <f>1</f>
        <v/>
      </c>
      <c r="H197">
        <f>$G197*0</f>
        <v/>
      </c>
      <c r="I197">
        <f>$G197*0</f>
        <v/>
      </c>
      <c r="J197">
        <f>$G197*0</f>
        <v/>
      </c>
      <c r="K197">
        <f>$G197*0</f>
        <v/>
      </c>
      <c r="L197">
        <f>$G197*32</f>
        <v/>
      </c>
      <c r="M197">
        <f>$G197*0</f>
        <v/>
      </c>
      <c r="N197">
        <f>Cfg_n12*H197+Cfg_n18*I197+Cfg_n20*J197+Cfg_n22*K197+Cfg_n36*L197+Cfg_n40*M197</f>
        <v/>
      </c>
      <c r="O197" s="16">
        <f>IFERROR(VLOOKUP($E197,LISTINO!$B:$G,6,FALSE),0)</f>
        <v/>
      </c>
      <c r="P197" s="16">
        <f>$N197*$O197</f>
        <v/>
      </c>
      <c r="Q197">
        <f>IF($N197&gt;0,"SI","")</f>
        <v/>
      </c>
    </row>
    <row r="198">
      <c r="A198">
        <f>'DISTINTA COMPLETA'!A198</f>
        <v/>
      </c>
      <c r="B198">
        <f>'DISTINTA COMPLETA'!B198</f>
        <v/>
      </c>
      <c r="C198">
        <f>'DISTINTA COMPLETA'!D198</f>
        <v/>
      </c>
      <c r="D198">
        <f>'DISTINTA COMPLETA'!E198</f>
        <v/>
      </c>
      <c r="E198">
        <f>IF(Cfg_SpAsse="2,5 mm","TTS.AR.001.8700.25","TTS.AR.001.8700")</f>
        <v/>
      </c>
      <c r="F198" t="inlineStr">
        <is>
          <t>ASSE_PROF</t>
        </is>
      </c>
      <c r="G198">
        <f>1</f>
        <v/>
      </c>
      <c r="H198">
        <f>$G198*0</f>
        <v/>
      </c>
      <c r="I198">
        <f>$G198*0</f>
        <v/>
      </c>
      <c r="J198">
        <f>$G198*0</f>
        <v/>
      </c>
      <c r="K198">
        <f>$G198*0</f>
        <v/>
      </c>
      <c r="L198">
        <f>$G198*0</f>
        <v/>
      </c>
      <c r="M198">
        <f>$G198*2</f>
        <v/>
      </c>
      <c r="N198">
        <f>Cfg_n12*H198+Cfg_n18*I198+Cfg_n20*J198+Cfg_n22*K198+Cfg_n36*L198+Cfg_n40*M198</f>
        <v/>
      </c>
      <c r="O198" s="16">
        <f>IFERROR(VLOOKUP($E198,LISTINO!$B:$G,6,FALSE),0)</f>
        <v/>
      </c>
      <c r="P198" s="16">
        <f>$N198*$O198</f>
        <v/>
      </c>
      <c r="Q198">
        <f>IF($N198&gt;0,"SI","")</f>
        <v/>
      </c>
    </row>
    <row r="199">
      <c r="A199">
        <f>'DISTINTA COMPLETA'!A199</f>
        <v/>
      </c>
      <c r="B199">
        <f>'DISTINTA COMPLETA'!B199</f>
        <v/>
      </c>
      <c r="C199">
        <f>'DISTINTA COMPLETA'!D199</f>
        <v/>
      </c>
      <c r="D199">
        <f>'DISTINTA COMPLETA'!E199</f>
        <v/>
      </c>
      <c r="E199">
        <f>IF(Cfg_SpAsse="2,5 mm","TTS.AR.002.8250.25","TTS.AR.002.8250")</f>
        <v/>
      </c>
      <c r="F199" t="inlineStr">
        <is>
          <t>ASSE_PROF</t>
        </is>
      </c>
      <c r="G199">
        <f>1</f>
        <v/>
      </c>
      <c r="H199">
        <f>$G199*0</f>
        <v/>
      </c>
      <c r="I199">
        <f>$G199*0</f>
        <v/>
      </c>
      <c r="J199">
        <f>$G199*0</f>
        <v/>
      </c>
      <c r="K199">
        <f>$G199*0</f>
        <v/>
      </c>
      <c r="L199">
        <f>$G199*0</f>
        <v/>
      </c>
      <c r="M199">
        <f>$G199*2</f>
        <v/>
      </c>
      <c r="N199">
        <f>Cfg_n12*H199+Cfg_n18*I199+Cfg_n20*J199+Cfg_n22*K199+Cfg_n36*L199+Cfg_n40*M199</f>
        <v/>
      </c>
      <c r="O199" s="16">
        <f>IFERROR(VLOOKUP($E199,LISTINO!$B:$G,6,FALSE),0)</f>
        <v/>
      </c>
      <c r="P199" s="16">
        <f>$N199*$O199</f>
        <v/>
      </c>
      <c r="Q199">
        <f>IF($N199&gt;0,"SI","")</f>
        <v/>
      </c>
    </row>
    <row r="200">
      <c r="A200">
        <f>'DISTINTA COMPLETA'!A200</f>
        <v/>
      </c>
      <c r="B200">
        <f>'DISTINTA COMPLETA'!B200</f>
        <v/>
      </c>
      <c r="C200">
        <f>'DISTINTA COMPLETA'!D200</f>
        <v/>
      </c>
      <c r="D200">
        <f>'DISTINTA COMPLETA'!E200</f>
        <v/>
      </c>
      <c r="E200">
        <f>'DISTINTA COMPLETA'!D200</f>
        <v/>
      </c>
      <c r="F200" t="inlineStr">
        <is>
          <t>SKIP</t>
        </is>
      </c>
      <c r="G200">
        <f>0</f>
        <v/>
      </c>
      <c r="H200">
        <f>$G200*0</f>
        <v/>
      </c>
      <c r="I200">
        <f>$G200*0</f>
        <v/>
      </c>
      <c r="J200">
        <f>$G200*0</f>
        <v/>
      </c>
      <c r="K200">
        <f>$G200*0</f>
        <v/>
      </c>
      <c r="L200">
        <f>$G200*0</f>
        <v/>
      </c>
      <c r="M200">
        <f>$G200*0</f>
        <v/>
      </c>
      <c r="N200">
        <f>Cfg_n12*H200+Cfg_n18*I200+Cfg_n20*J200+Cfg_n22*K200+Cfg_n36*L200+Cfg_n40*M200</f>
        <v/>
      </c>
      <c r="O200" s="16">
        <f>IFERROR(VLOOKUP($E200,LISTINO!$B:$G,6,FALSE),0)</f>
        <v/>
      </c>
      <c r="P200" s="16">
        <f>$N200*$O200</f>
        <v/>
      </c>
      <c r="Q200">
        <f>IF($N200&gt;0,"SI","")</f>
        <v/>
      </c>
    </row>
    <row r="201">
      <c r="A201">
        <f>'DISTINTA COMPLETA'!A201</f>
        <v/>
      </c>
      <c r="B201">
        <f>'DISTINTA COMPLETA'!B201</f>
        <v/>
      </c>
      <c r="C201">
        <f>'DISTINTA COMPLETA'!D201</f>
        <v/>
      </c>
      <c r="D201">
        <f>'DISTINTA COMPLETA'!E201</f>
        <v/>
      </c>
      <c r="E201">
        <f>IF(Cfg_SpAsse="2,5 mm","TTS.AR.003.5000.25","TTS.AR.003.5000")</f>
        <v/>
      </c>
      <c r="F201" t="inlineStr">
        <is>
          <t>ASSE_PROF</t>
        </is>
      </c>
      <c r="G201">
        <f>1</f>
        <v/>
      </c>
      <c r="H201">
        <f>$G201*0</f>
        <v/>
      </c>
      <c r="I201">
        <f>$G201*0</f>
        <v/>
      </c>
      <c r="J201">
        <f>$G201*0</f>
        <v/>
      </c>
      <c r="K201">
        <f>$G201*0</f>
        <v/>
      </c>
      <c r="L201">
        <f>$G201*0</f>
        <v/>
      </c>
      <c r="M201">
        <f>$G201*2</f>
        <v/>
      </c>
      <c r="N201">
        <f>Cfg_n12*H201+Cfg_n18*I201+Cfg_n20*J201+Cfg_n22*K201+Cfg_n36*L201+Cfg_n40*M201</f>
        <v/>
      </c>
      <c r="O201" s="16">
        <f>IFERROR(VLOOKUP($E201,LISTINO!$B:$G,6,FALSE),0)</f>
        <v/>
      </c>
      <c r="P201" s="16">
        <f>$N201*$O201</f>
        <v/>
      </c>
      <c r="Q201">
        <f>IF($N201&gt;0,"SI","")</f>
        <v/>
      </c>
    </row>
    <row r="202">
      <c r="A202">
        <f>'DISTINTA COMPLETA'!A202</f>
        <v/>
      </c>
      <c r="B202">
        <f>'DISTINTA COMPLETA'!B202</f>
        <v/>
      </c>
      <c r="C202">
        <f>'DISTINTA COMPLETA'!D202</f>
        <v/>
      </c>
      <c r="D202">
        <f>'DISTINTA COMPLETA'!E202</f>
        <v/>
      </c>
      <c r="E202">
        <f>'DISTINTA COMPLETA'!D202</f>
        <v/>
      </c>
      <c r="F202" t="inlineStr">
        <is>
          <t>SKIP</t>
        </is>
      </c>
      <c r="G202">
        <f>0</f>
        <v/>
      </c>
      <c r="H202">
        <f>$G202*0</f>
        <v/>
      </c>
      <c r="I202">
        <f>$G202*0</f>
        <v/>
      </c>
      <c r="J202">
        <f>$G202*0</f>
        <v/>
      </c>
      <c r="K202">
        <f>$G202*0</f>
        <v/>
      </c>
      <c r="L202">
        <f>$G202*0</f>
        <v/>
      </c>
      <c r="M202">
        <f>$G202*0</f>
        <v/>
      </c>
      <c r="N202">
        <f>Cfg_n12*H202+Cfg_n18*I202+Cfg_n20*J202+Cfg_n22*K202+Cfg_n36*L202+Cfg_n40*M202</f>
        <v/>
      </c>
      <c r="O202" s="16">
        <f>IFERROR(VLOOKUP($E202,LISTINO!$B:$G,6,FALSE),0)</f>
        <v/>
      </c>
      <c r="P202" s="16">
        <f>$N202*$O202</f>
        <v/>
      </c>
      <c r="Q202">
        <f>IF($N202&gt;0,"SI","")</f>
        <v/>
      </c>
    </row>
    <row r="203">
      <c r="A203">
        <f>'DISTINTA COMPLETA'!A203</f>
        <v/>
      </c>
      <c r="B203">
        <f>'DISTINTA COMPLETA'!B203</f>
        <v/>
      </c>
      <c r="C203">
        <f>'DISTINTA COMPLETA'!D203</f>
        <v/>
      </c>
      <c r="D203">
        <f>'DISTINTA COMPLETA'!E203</f>
        <v/>
      </c>
      <c r="E203">
        <f>IF(Cfg_SpAsse="2,5 mm","TTS.AR.004.4800.25","TTS.AR.004.4800")</f>
        <v/>
      </c>
      <c r="F203" t="inlineStr">
        <is>
          <t>ASSE_PROF</t>
        </is>
      </c>
      <c r="G203">
        <f>1</f>
        <v/>
      </c>
      <c r="H203">
        <f>$G203*0</f>
        <v/>
      </c>
      <c r="I203">
        <f>$G203*0</f>
        <v/>
      </c>
      <c r="J203">
        <f>$G203*0</f>
        <v/>
      </c>
      <c r="K203">
        <f>$G203*0</f>
        <v/>
      </c>
      <c r="L203">
        <f>$G203*0</f>
        <v/>
      </c>
      <c r="M203">
        <f>$G203*2</f>
        <v/>
      </c>
      <c r="N203">
        <f>Cfg_n12*H203+Cfg_n18*I203+Cfg_n20*J203+Cfg_n22*K203+Cfg_n36*L203+Cfg_n40*M203</f>
        <v/>
      </c>
      <c r="O203" s="16">
        <f>IFERROR(VLOOKUP($E203,LISTINO!$B:$G,6,FALSE),0)</f>
        <v/>
      </c>
      <c r="P203" s="16">
        <f>$N203*$O203</f>
        <v/>
      </c>
      <c r="Q203">
        <f>IF($N203&gt;0,"SI","")</f>
        <v/>
      </c>
    </row>
    <row r="204">
      <c r="A204">
        <f>'DISTINTA COMPLETA'!A204</f>
        <v/>
      </c>
      <c r="B204">
        <f>'DISTINTA COMPLETA'!B204</f>
        <v/>
      </c>
      <c r="C204">
        <f>'DISTINTA COMPLETA'!D204</f>
        <v/>
      </c>
      <c r="D204">
        <f>'DISTINTA COMPLETA'!E204</f>
        <v/>
      </c>
      <c r="E204">
        <f>'DISTINTA COMPLETA'!D204</f>
        <v/>
      </c>
      <c r="F204" t="inlineStr">
        <is>
          <t>SKIP</t>
        </is>
      </c>
      <c r="G204">
        <f>0</f>
        <v/>
      </c>
      <c r="H204">
        <f>$G204*0</f>
        <v/>
      </c>
      <c r="I204">
        <f>$G204*0</f>
        <v/>
      </c>
      <c r="J204">
        <f>$G204*0</f>
        <v/>
      </c>
      <c r="K204">
        <f>$G204*0</f>
        <v/>
      </c>
      <c r="L204">
        <f>$G204*0</f>
        <v/>
      </c>
      <c r="M204">
        <f>$G204*0</f>
        <v/>
      </c>
      <c r="N204">
        <f>Cfg_n12*H204+Cfg_n18*I204+Cfg_n20*J204+Cfg_n22*K204+Cfg_n36*L204+Cfg_n40*M204</f>
        <v/>
      </c>
      <c r="O204" s="16">
        <f>IFERROR(VLOOKUP($E204,LISTINO!$B:$G,6,FALSE),0)</f>
        <v/>
      </c>
      <c r="P204" s="16">
        <f>$N204*$O204</f>
        <v/>
      </c>
      <c r="Q204">
        <f>IF($N204&gt;0,"SI","")</f>
        <v/>
      </c>
    </row>
    <row r="205">
      <c r="A205">
        <f>'DISTINTA COMPLETA'!A205</f>
        <v/>
      </c>
      <c r="B205">
        <f>'DISTINTA COMPLETA'!B205</f>
        <v/>
      </c>
      <c r="C205">
        <f>'DISTINTA COMPLETA'!D205</f>
        <v/>
      </c>
      <c r="D205">
        <f>'DISTINTA COMPLETA'!E205</f>
        <v/>
      </c>
      <c r="E205">
        <f>'DISTINTA COMPLETA'!D205</f>
        <v/>
      </c>
      <c r="F205" t="inlineStr">
        <is>
          <t>-</t>
        </is>
      </c>
      <c r="G205">
        <f>1</f>
        <v/>
      </c>
      <c r="H205">
        <f>$G205*0</f>
        <v/>
      </c>
      <c r="I205">
        <f>$G205*0</f>
        <v/>
      </c>
      <c r="J205">
        <f>$G205*0</f>
        <v/>
      </c>
      <c r="K205">
        <f>$G205*0</f>
        <v/>
      </c>
      <c r="L205">
        <f>$G205*0</f>
        <v/>
      </c>
      <c r="M205">
        <f>$G205*12</f>
        <v/>
      </c>
      <c r="N205">
        <f>Cfg_n12*H205+Cfg_n18*I205+Cfg_n20*J205+Cfg_n22*K205+Cfg_n36*L205+Cfg_n40*M205</f>
        <v/>
      </c>
      <c r="O205" s="16">
        <f>IFERROR(VLOOKUP($E205,LISTINO!$B:$G,6,FALSE),0)</f>
        <v/>
      </c>
      <c r="P205" s="16">
        <f>$N205*$O205</f>
        <v/>
      </c>
      <c r="Q205">
        <f>IF($N205&gt;0,"SI","")</f>
        <v/>
      </c>
    </row>
    <row r="206">
      <c r="A206">
        <f>'DISTINTA COMPLETA'!A206</f>
        <v/>
      </c>
      <c r="B206">
        <f>'DISTINTA COMPLETA'!B206</f>
        <v/>
      </c>
      <c r="C206">
        <f>'DISTINTA COMPLETA'!D206</f>
        <v/>
      </c>
      <c r="D206">
        <f>'DISTINTA COMPLETA'!E206</f>
        <v/>
      </c>
      <c r="E206">
        <f>'DISTINTA COMPLETA'!D206</f>
        <v/>
      </c>
      <c r="F206" t="inlineStr">
        <is>
          <t>-</t>
        </is>
      </c>
      <c r="G206">
        <f>1</f>
        <v/>
      </c>
      <c r="H206">
        <f>$G206*0</f>
        <v/>
      </c>
      <c r="I206">
        <f>$G206*0</f>
        <v/>
      </c>
      <c r="J206">
        <f>$G206*0</f>
        <v/>
      </c>
      <c r="K206">
        <f>$G206*0</f>
        <v/>
      </c>
      <c r="L206">
        <f>$G206*0</f>
        <v/>
      </c>
      <c r="M206">
        <f>$G206*12</f>
        <v/>
      </c>
      <c r="N206">
        <f>Cfg_n12*H206+Cfg_n18*I206+Cfg_n20*J206+Cfg_n22*K206+Cfg_n36*L206+Cfg_n40*M206</f>
        <v/>
      </c>
      <c r="O206" s="16">
        <f>IFERROR(VLOOKUP($E206,LISTINO!$B:$G,6,FALSE),0)</f>
        <v/>
      </c>
      <c r="P206" s="16">
        <f>$N206*$O206</f>
        <v/>
      </c>
      <c r="Q206">
        <f>IF($N206&gt;0,"SI","")</f>
        <v/>
      </c>
    </row>
    <row r="207">
      <c r="A207">
        <f>'DISTINTA COMPLETA'!A207</f>
        <v/>
      </c>
      <c r="B207">
        <f>'DISTINTA COMPLETA'!B207</f>
        <v/>
      </c>
      <c r="C207">
        <f>'DISTINTA COMPLETA'!D207</f>
        <v/>
      </c>
      <c r="D207">
        <f>'DISTINTA COMPLETA'!E207</f>
        <v/>
      </c>
      <c r="E207">
        <f>'DISTINTA COMPLETA'!D207</f>
        <v/>
      </c>
      <c r="F207" t="inlineStr">
        <is>
          <t>-</t>
        </is>
      </c>
      <c r="G207">
        <f>1</f>
        <v/>
      </c>
      <c r="H207">
        <f>$G207*0</f>
        <v/>
      </c>
      <c r="I207">
        <f>$G207*0</f>
        <v/>
      </c>
      <c r="J207">
        <f>$G207*0</f>
        <v/>
      </c>
      <c r="K207">
        <f>$G207*0</f>
        <v/>
      </c>
      <c r="L207">
        <f>$G207*0</f>
        <v/>
      </c>
      <c r="M207">
        <f>$G207*12</f>
        <v/>
      </c>
      <c r="N207">
        <f>Cfg_n12*H207+Cfg_n18*I207+Cfg_n20*J207+Cfg_n22*K207+Cfg_n36*L207+Cfg_n40*M207</f>
        <v/>
      </c>
      <c r="O207" s="16">
        <f>IFERROR(VLOOKUP($E207,LISTINO!$B:$G,6,FALSE),0)</f>
        <v/>
      </c>
      <c r="P207" s="16">
        <f>$N207*$O207</f>
        <v/>
      </c>
      <c r="Q207">
        <f>IF($N207&gt;0,"SI","")</f>
        <v/>
      </c>
    </row>
    <row r="208">
      <c r="A208">
        <f>'DISTINTA COMPLETA'!A208</f>
        <v/>
      </c>
      <c r="B208">
        <f>'DISTINTA COMPLETA'!B208</f>
        <v/>
      </c>
      <c r="C208">
        <f>'DISTINTA COMPLETA'!D208</f>
        <v/>
      </c>
      <c r="D208">
        <f>'DISTINTA COMPLETA'!E208</f>
        <v/>
      </c>
      <c r="E208">
        <f>'DISTINTA COMPLETA'!D208</f>
        <v/>
      </c>
      <c r="F208" t="inlineStr">
        <is>
          <t>-</t>
        </is>
      </c>
      <c r="G208">
        <f>1</f>
        <v/>
      </c>
      <c r="H208">
        <f>$G208*0</f>
        <v/>
      </c>
      <c r="I208">
        <f>$G208*0</f>
        <v/>
      </c>
      <c r="J208">
        <f>$G208*0</f>
        <v/>
      </c>
      <c r="K208">
        <f>$G208*0</f>
        <v/>
      </c>
      <c r="L208">
        <f>$G208*0</f>
        <v/>
      </c>
      <c r="M208">
        <f>$G208*12</f>
        <v/>
      </c>
      <c r="N208">
        <f>Cfg_n12*H208+Cfg_n18*I208+Cfg_n20*J208+Cfg_n22*K208+Cfg_n36*L208+Cfg_n40*M208</f>
        <v/>
      </c>
      <c r="O208" s="16">
        <f>IFERROR(VLOOKUP($E208,LISTINO!$B:$G,6,FALSE),0)</f>
        <v/>
      </c>
      <c r="P208" s="16">
        <f>$N208*$O208</f>
        <v/>
      </c>
      <c r="Q208">
        <f>IF($N208&gt;0,"SI","")</f>
        <v/>
      </c>
    </row>
    <row r="209">
      <c r="A209">
        <f>'DISTINTA COMPLETA'!A209</f>
        <v/>
      </c>
      <c r="B209">
        <f>'DISTINTA COMPLETA'!B209</f>
        <v/>
      </c>
      <c r="C209">
        <f>'DISTINTA COMPLETA'!D209</f>
        <v/>
      </c>
      <c r="D209">
        <f>'DISTINTA COMPLETA'!E209</f>
        <v/>
      </c>
      <c r="E209">
        <f>'DISTINTA COMPLETA'!D209</f>
        <v/>
      </c>
      <c r="F209" t="inlineStr">
        <is>
          <t>-</t>
        </is>
      </c>
      <c r="G209">
        <f>1</f>
        <v/>
      </c>
      <c r="H209">
        <f>$G209*0</f>
        <v/>
      </c>
      <c r="I209">
        <f>$G209*0</f>
        <v/>
      </c>
      <c r="J209">
        <f>$G209*0</f>
        <v/>
      </c>
      <c r="K209">
        <f>$G209*0</f>
        <v/>
      </c>
      <c r="L209">
        <f>$G209*0</f>
        <v/>
      </c>
      <c r="M209">
        <f>$G209*12</f>
        <v/>
      </c>
      <c r="N209">
        <f>Cfg_n12*H209+Cfg_n18*I209+Cfg_n20*J209+Cfg_n22*K209+Cfg_n36*L209+Cfg_n40*M209</f>
        <v/>
      </c>
      <c r="O209" s="16">
        <f>IFERROR(VLOOKUP($E209,LISTINO!$B:$G,6,FALSE),0)</f>
        <v/>
      </c>
      <c r="P209" s="16">
        <f>$N209*$O209</f>
        <v/>
      </c>
      <c r="Q209">
        <f>IF($N209&gt;0,"SI","")</f>
        <v/>
      </c>
    </row>
    <row r="210">
      <c r="A210">
        <f>'DISTINTA COMPLETA'!A210</f>
        <v/>
      </c>
      <c r="B210">
        <f>'DISTINTA COMPLETA'!B210</f>
        <v/>
      </c>
      <c r="C210">
        <f>'DISTINTA COMPLETA'!D210</f>
        <v/>
      </c>
      <c r="D210">
        <f>'DISTINTA COMPLETA'!E210</f>
        <v/>
      </c>
      <c r="E210">
        <f>'DISTINTA COMPLETA'!D210</f>
        <v/>
      </c>
      <c r="F210" t="inlineStr">
        <is>
          <t>-</t>
        </is>
      </c>
      <c r="G210">
        <f>1</f>
        <v/>
      </c>
      <c r="H210">
        <f>$G210*0</f>
        <v/>
      </c>
      <c r="I210">
        <f>$G210*0</f>
        <v/>
      </c>
      <c r="J210">
        <f>$G210*0</f>
        <v/>
      </c>
      <c r="K210">
        <f>$G210*0</f>
        <v/>
      </c>
      <c r="L210">
        <f>$G210*0</f>
        <v/>
      </c>
      <c r="M210">
        <f>$G210*16</f>
        <v/>
      </c>
      <c r="N210">
        <f>Cfg_n12*H210+Cfg_n18*I210+Cfg_n20*J210+Cfg_n22*K210+Cfg_n36*L210+Cfg_n40*M210</f>
        <v/>
      </c>
      <c r="O210" s="16">
        <f>IFERROR(VLOOKUP($E210,LISTINO!$B:$G,6,FALSE),0)</f>
        <v/>
      </c>
      <c r="P210" s="16">
        <f>$N210*$O210</f>
        <v/>
      </c>
      <c r="Q210">
        <f>IF($N210&gt;0,"SI","")</f>
        <v/>
      </c>
    </row>
    <row r="211">
      <c r="A211">
        <f>'DISTINTA COMPLETA'!A211</f>
        <v/>
      </c>
      <c r="B211">
        <f>'DISTINTA COMPLETA'!B211</f>
        <v/>
      </c>
      <c r="C211">
        <f>'DISTINTA COMPLETA'!D211</f>
        <v/>
      </c>
      <c r="D211">
        <f>'DISTINTA COMPLETA'!E211</f>
        <v/>
      </c>
      <c r="E211">
        <f>'DISTINTA COMPLETA'!D211</f>
        <v/>
      </c>
      <c r="F211" t="inlineStr">
        <is>
          <t>-</t>
        </is>
      </c>
      <c r="G211">
        <f>1</f>
        <v/>
      </c>
      <c r="H211">
        <f>$G211*0</f>
        <v/>
      </c>
      <c r="I211">
        <f>$G211*0</f>
        <v/>
      </c>
      <c r="J211">
        <f>$G211*0</f>
        <v/>
      </c>
      <c r="K211">
        <f>$G211*0</f>
        <v/>
      </c>
      <c r="L211">
        <f>$G211*0</f>
        <v/>
      </c>
      <c r="M211">
        <f>$G211*16</f>
        <v/>
      </c>
      <c r="N211">
        <f>Cfg_n12*H211+Cfg_n18*I211+Cfg_n20*J211+Cfg_n22*K211+Cfg_n36*L211+Cfg_n40*M211</f>
        <v/>
      </c>
      <c r="O211" s="16">
        <f>IFERROR(VLOOKUP($E211,LISTINO!$B:$G,6,FALSE),0)</f>
        <v/>
      </c>
      <c r="P211" s="16">
        <f>$N211*$O211</f>
        <v/>
      </c>
      <c r="Q211">
        <f>IF($N211&gt;0,"SI","")</f>
        <v/>
      </c>
    </row>
    <row r="212">
      <c r="A212">
        <f>'DISTINTA COMPLETA'!A212</f>
        <v/>
      </c>
      <c r="B212">
        <f>'DISTINTA COMPLETA'!B212</f>
        <v/>
      </c>
      <c r="C212">
        <f>'DISTINTA COMPLETA'!D212</f>
        <v/>
      </c>
      <c r="D212">
        <f>'DISTINTA COMPLETA'!E212</f>
        <v/>
      </c>
      <c r="E212">
        <f>'DISTINTA COMPLETA'!D212</f>
        <v/>
      </c>
      <c r="F212" t="inlineStr">
        <is>
          <t>-</t>
        </is>
      </c>
      <c r="G212">
        <f>1</f>
        <v/>
      </c>
      <c r="H212">
        <f>$G212*0</f>
        <v/>
      </c>
      <c r="I212">
        <f>$G212*0</f>
        <v/>
      </c>
      <c r="J212">
        <f>$G212*0</f>
        <v/>
      </c>
      <c r="K212">
        <f>$G212*0</f>
        <v/>
      </c>
      <c r="L212">
        <f>$G212*0</f>
        <v/>
      </c>
      <c r="M212">
        <f>$G212*16</f>
        <v/>
      </c>
      <c r="N212">
        <f>Cfg_n12*H212+Cfg_n18*I212+Cfg_n20*J212+Cfg_n22*K212+Cfg_n36*L212+Cfg_n40*M212</f>
        <v/>
      </c>
      <c r="O212" s="16">
        <f>IFERROR(VLOOKUP($E212,LISTINO!$B:$G,6,FALSE),0)</f>
        <v/>
      </c>
      <c r="P212" s="16">
        <f>$N212*$O212</f>
        <v/>
      </c>
      <c r="Q212">
        <f>IF($N212&gt;0,"SI","")</f>
        <v/>
      </c>
    </row>
    <row r="213">
      <c r="A213">
        <f>'DISTINTA COMPLETA'!A213</f>
        <v/>
      </c>
      <c r="B213">
        <f>'DISTINTA COMPLETA'!B213</f>
        <v/>
      </c>
      <c r="C213">
        <f>'DISTINTA COMPLETA'!D213</f>
        <v/>
      </c>
      <c r="D213">
        <f>'DISTINTA COMPLETA'!E213</f>
        <v/>
      </c>
      <c r="E213">
        <f>'DISTINTA COMPLETA'!D213</f>
        <v/>
      </c>
      <c r="F213" t="inlineStr">
        <is>
          <t>-</t>
        </is>
      </c>
      <c r="G213">
        <f>1</f>
        <v/>
      </c>
      <c r="H213">
        <f>$G213*0</f>
        <v/>
      </c>
      <c r="I213">
        <f>$G213*0</f>
        <v/>
      </c>
      <c r="J213">
        <f>$G213*0</f>
        <v/>
      </c>
      <c r="K213">
        <f>$G213*0</f>
        <v/>
      </c>
      <c r="L213">
        <f>$G213*0</f>
        <v/>
      </c>
      <c r="M213">
        <f>$G213*16</f>
        <v/>
      </c>
      <c r="N213">
        <f>Cfg_n12*H213+Cfg_n18*I213+Cfg_n20*J213+Cfg_n22*K213+Cfg_n36*L213+Cfg_n40*M213</f>
        <v/>
      </c>
      <c r="O213" s="16">
        <f>IFERROR(VLOOKUP($E213,LISTINO!$B:$G,6,FALSE),0)</f>
        <v/>
      </c>
      <c r="P213" s="16">
        <f>$N213*$O213</f>
        <v/>
      </c>
      <c r="Q213">
        <f>IF($N213&gt;0,"SI","")</f>
        <v/>
      </c>
    </row>
    <row r="214">
      <c r="A214">
        <f>'DISTINTA COMPLETA'!A214</f>
        <v/>
      </c>
      <c r="B214">
        <f>'DISTINTA COMPLETA'!B214</f>
        <v/>
      </c>
      <c r="C214">
        <f>'DISTINTA COMPLETA'!D214</f>
        <v/>
      </c>
      <c r="D214">
        <f>'DISTINTA COMPLETA'!E214</f>
        <v/>
      </c>
      <c r="E214">
        <f>'DISTINTA COMPLETA'!D214</f>
        <v/>
      </c>
      <c r="F214" t="inlineStr">
        <is>
          <t>-</t>
        </is>
      </c>
      <c r="G214">
        <f>1</f>
        <v/>
      </c>
      <c r="H214">
        <f>$G214*56</f>
        <v/>
      </c>
      <c r="I214">
        <f>$G214*80</f>
        <v/>
      </c>
      <c r="J214">
        <f>$G214*88</f>
        <v/>
      </c>
      <c r="K214">
        <f>$G214*96</f>
        <v/>
      </c>
      <c r="L214">
        <f>$G214*152</f>
        <v/>
      </c>
      <c r="M214">
        <f>$G214*168</f>
        <v/>
      </c>
      <c r="N214">
        <f>Cfg_n12*H214+Cfg_n18*I214+Cfg_n20*J214+Cfg_n22*K214+Cfg_n36*L214+Cfg_n40*M214</f>
        <v/>
      </c>
      <c r="O214" s="16">
        <f>IFERROR(VLOOKUP($E214,LISTINO!$B:$G,6,FALSE),0)</f>
        <v/>
      </c>
      <c r="P214" s="16">
        <f>$N214*$O214</f>
        <v/>
      </c>
      <c r="Q214">
        <f>IF($N214&gt;0,"SI","")</f>
        <v/>
      </c>
    </row>
    <row r="215">
      <c r="A215">
        <f>'DISTINTA COMPLETA'!A215</f>
        <v/>
      </c>
      <c r="B215">
        <f>'DISTINTA COMPLETA'!B215</f>
        <v/>
      </c>
      <c r="C215">
        <f>'DISTINTA COMPLETA'!D215</f>
        <v/>
      </c>
      <c r="D215">
        <f>'DISTINTA COMPLETA'!E215</f>
        <v/>
      </c>
      <c r="E215">
        <f>'DISTINTA COMPLETA'!D215</f>
        <v/>
      </c>
      <c r="F215" t="inlineStr">
        <is>
          <t>-</t>
        </is>
      </c>
      <c r="G215">
        <f>1</f>
        <v/>
      </c>
      <c r="H215">
        <f>$G215*28</f>
        <v/>
      </c>
      <c r="I215">
        <f>$G215*40</f>
        <v/>
      </c>
      <c r="J215">
        <f>$G215*44</f>
        <v/>
      </c>
      <c r="K215">
        <f>$G215*48</f>
        <v/>
      </c>
      <c r="L215">
        <f>$G215*76</f>
        <v/>
      </c>
      <c r="M215">
        <f>$G215*84</f>
        <v/>
      </c>
      <c r="N215">
        <f>Cfg_n12*H215+Cfg_n18*I215+Cfg_n20*J215+Cfg_n22*K215+Cfg_n36*L215+Cfg_n40*M215</f>
        <v/>
      </c>
      <c r="O215" s="16">
        <f>IFERROR(VLOOKUP($E215,LISTINO!$B:$G,6,FALSE),0)</f>
        <v/>
      </c>
      <c r="P215" s="16">
        <f>$N215*$O215</f>
        <v/>
      </c>
      <c r="Q215">
        <f>IF($N215&gt;0,"SI","")</f>
        <v/>
      </c>
    </row>
    <row r="216">
      <c r="A216">
        <f>'DISTINTA COMPLETA'!A216</f>
        <v/>
      </c>
      <c r="B216">
        <f>'DISTINTA COMPLETA'!B216</f>
        <v/>
      </c>
      <c r="C216">
        <f>'DISTINTA COMPLETA'!D216</f>
        <v/>
      </c>
      <c r="D216">
        <f>'DISTINTA COMPLETA'!E216</f>
        <v/>
      </c>
      <c r="E216">
        <f>'DISTINTA COMPLETA'!D216</f>
        <v/>
      </c>
      <c r="F216" t="inlineStr">
        <is>
          <t>-</t>
        </is>
      </c>
      <c r="G216">
        <f>1</f>
        <v/>
      </c>
      <c r="H216">
        <f>$G216*56</f>
        <v/>
      </c>
      <c r="I216">
        <f>$G216*40</f>
        <v/>
      </c>
      <c r="J216">
        <f>$G216*44</f>
        <v/>
      </c>
      <c r="K216">
        <f>$G216*48</f>
        <v/>
      </c>
      <c r="L216">
        <f>$G216*76</f>
        <v/>
      </c>
      <c r="M216">
        <f>$G216*84</f>
        <v/>
      </c>
      <c r="N216">
        <f>Cfg_n12*H216+Cfg_n18*I216+Cfg_n20*J216+Cfg_n22*K216+Cfg_n36*L216+Cfg_n40*M216</f>
        <v/>
      </c>
      <c r="O216" s="16">
        <f>IFERROR(VLOOKUP($E216,LISTINO!$B:$G,6,FALSE),0)</f>
        <v/>
      </c>
      <c r="P216" s="16">
        <f>$N216*$O216</f>
        <v/>
      </c>
      <c r="Q216">
        <f>IF($N216&gt;0,"SI","")</f>
        <v/>
      </c>
    </row>
    <row r="217">
      <c r="A217">
        <f>'DISTINTA COMPLETA'!A217</f>
        <v/>
      </c>
      <c r="B217">
        <f>'DISTINTA COMPLETA'!B217</f>
        <v/>
      </c>
      <c r="C217">
        <f>'DISTINTA COMPLETA'!D217</f>
        <v/>
      </c>
      <c r="D217">
        <f>'DISTINTA COMPLETA'!E217</f>
        <v/>
      </c>
      <c r="E217">
        <f>'DISTINTA COMPLETA'!D217</f>
        <v/>
      </c>
      <c r="F217" t="inlineStr">
        <is>
          <t>-</t>
        </is>
      </c>
      <c r="G217">
        <f>1</f>
        <v/>
      </c>
      <c r="H217">
        <f>$G217*56</f>
        <v/>
      </c>
      <c r="I217">
        <f>$G217*80</f>
        <v/>
      </c>
      <c r="J217">
        <f>$G217*88</f>
        <v/>
      </c>
      <c r="K217">
        <f>$G217*96</f>
        <v/>
      </c>
      <c r="L217">
        <f>$G217*152</f>
        <v/>
      </c>
      <c r="M217">
        <f>$G217*168</f>
        <v/>
      </c>
      <c r="N217">
        <f>Cfg_n12*H217+Cfg_n18*I217+Cfg_n20*J217+Cfg_n22*K217+Cfg_n36*L217+Cfg_n40*M217</f>
        <v/>
      </c>
      <c r="O217" s="16">
        <f>IFERROR(VLOOKUP($E217,LISTINO!$B:$G,6,FALSE),0)</f>
        <v/>
      </c>
      <c r="P217" s="16">
        <f>$N217*$O217</f>
        <v/>
      </c>
      <c r="Q217">
        <f>IF($N217&gt;0,"SI","")</f>
        <v/>
      </c>
    </row>
    <row r="218">
      <c r="A218">
        <f>'DISTINTA COMPLETA'!A218</f>
        <v/>
      </c>
      <c r="B218">
        <f>'DISTINTA COMPLETA'!B218</f>
        <v/>
      </c>
      <c r="C218">
        <f>'DISTINTA COMPLETA'!D218</f>
        <v/>
      </c>
      <c r="D218">
        <f>'DISTINTA COMPLETA'!E218</f>
        <v/>
      </c>
      <c r="E218">
        <f>'DISTINTA COMPLETA'!D218</f>
        <v/>
      </c>
      <c r="F218" t="inlineStr">
        <is>
          <t>-</t>
        </is>
      </c>
      <c r="G218">
        <f>1</f>
        <v/>
      </c>
      <c r="H218">
        <f>$G218*56</f>
        <v/>
      </c>
      <c r="I218">
        <f>$G218*80</f>
        <v/>
      </c>
      <c r="J218">
        <f>$G218*88</f>
        <v/>
      </c>
      <c r="K218">
        <f>$G218*96</f>
        <v/>
      </c>
      <c r="L218">
        <f>$G218*152</f>
        <v/>
      </c>
      <c r="M218">
        <f>$G218*168</f>
        <v/>
      </c>
      <c r="N218">
        <f>Cfg_n12*H218+Cfg_n18*I218+Cfg_n20*J218+Cfg_n22*K218+Cfg_n36*L218+Cfg_n40*M218</f>
        <v/>
      </c>
      <c r="O218" s="16">
        <f>IFERROR(VLOOKUP($E218,LISTINO!$B:$G,6,FALSE),0)</f>
        <v/>
      </c>
      <c r="P218" s="16">
        <f>$N218*$O218</f>
        <v/>
      </c>
      <c r="Q218">
        <f>IF($N218&gt;0,"SI","")</f>
        <v/>
      </c>
    </row>
    <row r="219">
      <c r="A219">
        <f>'DISTINTA COMPLETA'!A219</f>
        <v/>
      </c>
      <c r="B219">
        <f>'DISTINTA COMPLETA'!B219</f>
        <v/>
      </c>
      <c r="C219">
        <f>'DISTINTA COMPLETA'!D219</f>
        <v/>
      </c>
      <c r="D219">
        <f>'DISTINTA COMPLETA'!E219</f>
        <v/>
      </c>
      <c r="E219">
        <f>'DISTINTA COMPLETA'!D219</f>
        <v/>
      </c>
      <c r="F219" t="inlineStr">
        <is>
          <t>-</t>
        </is>
      </c>
      <c r="G219">
        <f>1</f>
        <v/>
      </c>
      <c r="H219">
        <f>$G219*56</f>
        <v/>
      </c>
      <c r="I219">
        <f>$G219*80</f>
        <v/>
      </c>
      <c r="J219">
        <f>$G219*88</f>
        <v/>
      </c>
      <c r="K219">
        <f>$G219*96</f>
        <v/>
      </c>
      <c r="L219">
        <f>$G219*152</f>
        <v/>
      </c>
      <c r="M219">
        <f>$G219*168</f>
        <v/>
      </c>
      <c r="N219">
        <f>Cfg_n12*H219+Cfg_n18*I219+Cfg_n20*J219+Cfg_n22*K219+Cfg_n36*L219+Cfg_n40*M219</f>
        <v/>
      </c>
      <c r="O219" s="16">
        <f>IFERROR(VLOOKUP($E219,LISTINO!$B:$G,6,FALSE),0)</f>
        <v/>
      </c>
      <c r="P219" s="16">
        <f>$N219*$O219</f>
        <v/>
      </c>
      <c r="Q219">
        <f>IF($N219&gt;0,"SI","")</f>
        <v/>
      </c>
    </row>
    <row r="220">
      <c r="A220">
        <f>'DISTINTA COMPLETA'!A220</f>
        <v/>
      </c>
      <c r="B220">
        <f>'DISTINTA COMPLETA'!B220</f>
        <v/>
      </c>
      <c r="C220">
        <f>'DISTINTA COMPLETA'!D220</f>
        <v/>
      </c>
      <c r="D220">
        <f>'DISTINTA COMPLETA'!E220</f>
        <v/>
      </c>
      <c r="E220">
        <f>'DISTINTA COMPLETA'!D220</f>
        <v/>
      </c>
      <c r="F220" t="inlineStr">
        <is>
          <t>-</t>
        </is>
      </c>
      <c r="G220">
        <f>1</f>
        <v/>
      </c>
      <c r="H220">
        <f>$G220*56</f>
        <v/>
      </c>
      <c r="I220">
        <f>$G220*80</f>
        <v/>
      </c>
      <c r="J220">
        <f>$G220*88</f>
        <v/>
      </c>
      <c r="K220">
        <f>$G220*96</f>
        <v/>
      </c>
      <c r="L220">
        <f>$G220*152</f>
        <v/>
      </c>
      <c r="M220">
        <f>$G220*168</f>
        <v/>
      </c>
      <c r="N220">
        <f>Cfg_n12*H220+Cfg_n18*I220+Cfg_n20*J220+Cfg_n22*K220+Cfg_n36*L220+Cfg_n40*M220</f>
        <v/>
      </c>
      <c r="O220" s="16">
        <f>IFERROR(VLOOKUP($E220,LISTINO!$B:$G,6,FALSE),0)</f>
        <v/>
      </c>
      <c r="P220" s="16">
        <f>$N220*$O220</f>
        <v/>
      </c>
      <c r="Q220">
        <f>IF($N220&gt;0,"SI","")</f>
        <v/>
      </c>
    </row>
    <row r="221">
      <c r="A221">
        <f>'DISTINTA COMPLETA'!A221</f>
        <v/>
      </c>
      <c r="B221">
        <f>'DISTINTA COMPLETA'!B221</f>
        <v/>
      </c>
      <c r="C221">
        <f>'DISTINTA COMPLETA'!D221</f>
        <v/>
      </c>
      <c r="D221">
        <f>'DISTINTA COMPLETA'!E221</f>
        <v/>
      </c>
      <c r="E221">
        <f>'DISTINTA COMPLETA'!D221</f>
        <v/>
      </c>
      <c r="F221" t="inlineStr">
        <is>
          <t>-</t>
        </is>
      </c>
      <c r="G221">
        <f>1</f>
        <v/>
      </c>
      <c r="H221">
        <f>$G221*56</f>
        <v/>
      </c>
      <c r="I221">
        <f>$G221*80</f>
        <v/>
      </c>
      <c r="J221">
        <f>$G221*88</f>
        <v/>
      </c>
      <c r="K221">
        <f>$G221*96</f>
        <v/>
      </c>
      <c r="L221">
        <f>$G221*152</f>
        <v/>
      </c>
      <c r="M221">
        <f>$G221*168</f>
        <v/>
      </c>
      <c r="N221">
        <f>Cfg_n12*H221+Cfg_n18*I221+Cfg_n20*J221+Cfg_n22*K221+Cfg_n36*L221+Cfg_n40*M221</f>
        <v/>
      </c>
      <c r="O221" s="16">
        <f>IFERROR(VLOOKUP($E221,LISTINO!$B:$G,6,FALSE),0)</f>
        <v/>
      </c>
      <c r="P221" s="16">
        <f>$N221*$O221</f>
        <v/>
      </c>
      <c r="Q221">
        <f>IF($N221&gt;0,"SI","")</f>
        <v/>
      </c>
    </row>
    <row r="222">
      <c r="A222">
        <f>'DISTINTA COMPLETA'!A222</f>
        <v/>
      </c>
      <c r="B222">
        <f>'DISTINTA COMPLETA'!B222</f>
        <v/>
      </c>
      <c r="C222">
        <f>'DISTINTA COMPLETA'!D222</f>
        <v/>
      </c>
      <c r="D222">
        <f>'DISTINTA COMPLETA'!E222</f>
        <v/>
      </c>
      <c r="E222">
        <f>'DISTINTA COMPLETA'!D222</f>
        <v/>
      </c>
      <c r="F222" t="inlineStr">
        <is>
          <t>-</t>
        </is>
      </c>
      <c r="G222">
        <f>1</f>
        <v/>
      </c>
      <c r="H222">
        <f>$G222*28</f>
        <v/>
      </c>
      <c r="I222">
        <f>$G222*40</f>
        <v/>
      </c>
      <c r="J222">
        <f>$G222*44</f>
        <v/>
      </c>
      <c r="K222">
        <f>$G222*48</f>
        <v/>
      </c>
      <c r="L222">
        <f>$G222*76</f>
        <v/>
      </c>
      <c r="M222">
        <f>$G222*336</f>
        <v/>
      </c>
      <c r="N222">
        <f>Cfg_n12*H222+Cfg_n18*I222+Cfg_n20*J222+Cfg_n22*K222+Cfg_n36*L222+Cfg_n40*M222</f>
        <v/>
      </c>
      <c r="O222" s="16">
        <f>IFERROR(VLOOKUP($E222,LISTINO!$B:$G,6,FALSE),0)</f>
        <v/>
      </c>
      <c r="P222" s="16">
        <f>$N222*$O222</f>
        <v/>
      </c>
      <c r="Q222">
        <f>IF($N222&gt;0,"SI","")</f>
        <v/>
      </c>
    </row>
    <row r="223">
      <c r="A223">
        <f>'DISTINTA COMPLETA'!A223</f>
        <v/>
      </c>
      <c r="B223">
        <f>'DISTINTA COMPLETA'!B223</f>
        <v/>
      </c>
      <c r="C223">
        <f>'DISTINTA COMPLETA'!D223</f>
        <v/>
      </c>
      <c r="D223">
        <f>'DISTINTA COMPLETA'!E223</f>
        <v/>
      </c>
      <c r="E223">
        <f>'DISTINTA COMPLETA'!D223</f>
        <v/>
      </c>
      <c r="F223" t="inlineStr">
        <is>
          <t>-</t>
        </is>
      </c>
      <c r="G223">
        <f>1</f>
        <v/>
      </c>
      <c r="H223">
        <f>$G223*14</f>
        <v/>
      </c>
      <c r="I223">
        <f>$G223*20</f>
        <v/>
      </c>
      <c r="J223">
        <f>$G223*22</f>
        <v/>
      </c>
      <c r="K223">
        <f>$G223*24</f>
        <v/>
      </c>
      <c r="L223">
        <f>$G223*38</f>
        <v/>
      </c>
      <c r="M223">
        <f>$G223*42</f>
        <v/>
      </c>
      <c r="N223">
        <f>Cfg_n12*H223+Cfg_n18*I223+Cfg_n20*J223+Cfg_n22*K223+Cfg_n36*L223+Cfg_n40*M223</f>
        <v/>
      </c>
      <c r="O223" s="16">
        <f>IFERROR(VLOOKUP($E223,LISTINO!$B:$G,6,FALSE),0)</f>
        <v/>
      </c>
      <c r="P223" s="16">
        <f>$N223*$O223</f>
        <v/>
      </c>
      <c r="Q223">
        <f>IF($N223&gt;0,"SI","")</f>
        <v/>
      </c>
    </row>
    <row r="224">
      <c r="A224">
        <f>'DISTINTA COMPLETA'!A224</f>
        <v/>
      </c>
      <c r="B224">
        <f>'DISTINTA COMPLETA'!B224</f>
        <v/>
      </c>
      <c r="C224">
        <f>'DISTINTA COMPLETA'!D224</f>
        <v/>
      </c>
      <c r="D224">
        <f>'DISTINTA COMPLETA'!E224</f>
        <v/>
      </c>
      <c r="E224">
        <f>'DISTINTA COMPLETA'!D224</f>
        <v/>
      </c>
      <c r="F224" t="inlineStr">
        <is>
          <t>-</t>
        </is>
      </c>
      <c r="G224">
        <f>1</f>
        <v/>
      </c>
      <c r="H224">
        <f>$G224*28</f>
        <v/>
      </c>
      <c r="I224">
        <f>$G224*40</f>
        <v/>
      </c>
      <c r="J224">
        <f>$G224*44</f>
        <v/>
      </c>
      <c r="K224">
        <f>$G224*48</f>
        <v/>
      </c>
      <c r="L224">
        <f>$G224*76</f>
        <v/>
      </c>
      <c r="M224">
        <f>$G224*84</f>
        <v/>
      </c>
      <c r="N224">
        <f>Cfg_n12*H224+Cfg_n18*I224+Cfg_n20*J224+Cfg_n22*K224+Cfg_n36*L224+Cfg_n40*M224</f>
        <v/>
      </c>
      <c r="O224" s="16">
        <f>IFERROR(VLOOKUP($E224,LISTINO!$B:$G,6,FALSE),0)</f>
        <v/>
      </c>
      <c r="P224" s="16">
        <f>$N224*$O224</f>
        <v/>
      </c>
      <c r="Q224">
        <f>IF($N224&gt;0,"SI","")</f>
        <v/>
      </c>
    </row>
    <row r="225">
      <c r="A225">
        <f>'DISTINTA COMPLETA'!A225</f>
        <v/>
      </c>
      <c r="B225">
        <f>'DISTINTA COMPLETA'!B225</f>
        <v/>
      </c>
      <c r="C225">
        <f>'DISTINTA COMPLETA'!D225</f>
        <v/>
      </c>
      <c r="D225">
        <f>'DISTINTA COMPLETA'!E225</f>
        <v/>
      </c>
      <c r="E225">
        <f>'DISTINTA COMPLETA'!D225</f>
        <v/>
      </c>
      <c r="F225" t="inlineStr">
        <is>
          <t>-</t>
        </is>
      </c>
      <c r="G225">
        <f>1</f>
        <v/>
      </c>
      <c r="H225">
        <f>$G225*28</f>
        <v/>
      </c>
      <c r="I225">
        <f>$G225*40</f>
        <v/>
      </c>
      <c r="J225">
        <f>$G225*44</f>
        <v/>
      </c>
      <c r="K225">
        <f>$G225*48</f>
        <v/>
      </c>
      <c r="L225">
        <f>$G225*76</f>
        <v/>
      </c>
      <c r="M225">
        <f>$G225*84</f>
        <v/>
      </c>
      <c r="N225">
        <f>Cfg_n12*H225+Cfg_n18*I225+Cfg_n20*J225+Cfg_n22*K225+Cfg_n36*L225+Cfg_n40*M225</f>
        <v/>
      </c>
      <c r="O225" s="16">
        <f>IFERROR(VLOOKUP($E225,LISTINO!$B:$G,6,FALSE),0)</f>
        <v/>
      </c>
      <c r="P225" s="16">
        <f>$N225*$O225</f>
        <v/>
      </c>
      <c r="Q225">
        <f>IF($N225&gt;0,"SI","")</f>
        <v/>
      </c>
    </row>
    <row r="226">
      <c r="A226">
        <f>'DISTINTA COMPLETA'!A226</f>
        <v/>
      </c>
      <c r="B226">
        <f>'DISTINTA COMPLETA'!B226</f>
        <v/>
      </c>
      <c r="C226">
        <f>'DISTINTA COMPLETA'!D226</f>
        <v/>
      </c>
      <c r="D226">
        <f>'DISTINTA COMPLETA'!E226</f>
        <v/>
      </c>
      <c r="E226">
        <f>IF(Cfg_SpOmega="1,8 mm","TTS.AR.3014.18","TTS.AR.3014")</f>
        <v/>
      </c>
      <c r="F226" t="inlineStr">
        <is>
          <t>OMEGA_SUP</t>
        </is>
      </c>
      <c r="G226">
        <f>1</f>
        <v/>
      </c>
      <c r="H226">
        <f>$G226*14</f>
        <v/>
      </c>
      <c r="I226">
        <f>$G226*40</f>
        <v/>
      </c>
      <c r="J226">
        <f>$G226*22</f>
        <v/>
      </c>
      <c r="K226">
        <f>$G226*48</f>
        <v/>
      </c>
      <c r="L226">
        <f>$G226*38</f>
        <v/>
      </c>
      <c r="M226">
        <f>$G226*42</f>
        <v/>
      </c>
      <c r="N226">
        <f>Cfg_n12*H226+Cfg_n18*I226+Cfg_n20*J226+Cfg_n22*K226+Cfg_n36*L226+Cfg_n40*M226</f>
        <v/>
      </c>
      <c r="O226" s="16">
        <f>IFERROR(VLOOKUP($E226,LISTINO!$B:$G,6,FALSE),0)</f>
        <v/>
      </c>
      <c r="P226" s="16">
        <f>$N226*$O226</f>
        <v/>
      </c>
      <c r="Q226">
        <f>IF($N226&gt;0,"SI","")</f>
        <v/>
      </c>
    </row>
    <row r="227">
      <c r="A227">
        <f>'DISTINTA COMPLETA'!A227</f>
        <v/>
      </c>
      <c r="B227">
        <f>'DISTINTA COMPLETA'!B227</f>
        <v/>
      </c>
      <c r="C227">
        <f>'DISTINTA COMPLETA'!D227</f>
        <v/>
      </c>
      <c r="D227">
        <f>'DISTINTA COMPLETA'!E227</f>
        <v/>
      </c>
      <c r="E227">
        <f>'DISTINTA COMPLETA'!D227</f>
        <v/>
      </c>
      <c r="F227" t="inlineStr">
        <is>
          <t>SKIP</t>
        </is>
      </c>
      <c r="G227">
        <f>0</f>
        <v/>
      </c>
      <c r="H227">
        <f>$G227*0</f>
        <v/>
      </c>
      <c r="I227">
        <f>$G227*0</f>
        <v/>
      </c>
      <c r="J227">
        <f>$G227*0</f>
        <v/>
      </c>
      <c r="K227">
        <f>$G227*0</f>
        <v/>
      </c>
      <c r="L227">
        <f>$G227*0</f>
        <v/>
      </c>
      <c r="M227">
        <f>$G227*0</f>
        <v/>
      </c>
      <c r="N227">
        <f>Cfg_n12*H227+Cfg_n18*I227+Cfg_n20*J227+Cfg_n22*K227+Cfg_n36*L227+Cfg_n40*M227</f>
        <v/>
      </c>
      <c r="O227" s="16">
        <f>IFERROR(VLOOKUP($E227,LISTINO!$B:$G,6,FALSE),0)</f>
        <v/>
      </c>
      <c r="P227" s="16">
        <f>$N227*$O227</f>
        <v/>
      </c>
      <c r="Q227">
        <f>IF($N227&gt;0,"SI","")</f>
        <v/>
      </c>
    </row>
    <row r="228">
      <c r="A228">
        <f>'DISTINTA COMPLETA'!A228</f>
        <v/>
      </c>
      <c r="B228">
        <f>'DISTINTA COMPLETA'!B228</f>
        <v/>
      </c>
      <c r="C228">
        <f>'DISTINTA COMPLETA'!D228</f>
        <v/>
      </c>
      <c r="D228">
        <f>'DISTINTA COMPLETA'!E228</f>
        <v/>
      </c>
      <c r="E228">
        <f>'DISTINTA COMPLETA'!D228</f>
        <v/>
      </c>
      <c r="F228" t="inlineStr">
        <is>
          <t>-</t>
        </is>
      </c>
      <c r="G228">
        <f>1</f>
        <v/>
      </c>
      <c r="H228">
        <f>$G228*56</f>
        <v/>
      </c>
      <c r="I228">
        <f>$G228*80</f>
        <v/>
      </c>
      <c r="J228">
        <f>$G228*88</f>
        <v/>
      </c>
      <c r="K228">
        <f>$G228*96</f>
        <v/>
      </c>
      <c r="L228">
        <f>$G228*152</f>
        <v/>
      </c>
      <c r="M228">
        <f>$G228*168</f>
        <v/>
      </c>
      <c r="N228">
        <f>Cfg_n12*H228+Cfg_n18*I228+Cfg_n20*J228+Cfg_n22*K228+Cfg_n36*L228+Cfg_n40*M228</f>
        <v/>
      </c>
      <c r="O228" s="16">
        <f>IFERROR(VLOOKUP($E228,LISTINO!$B:$G,6,FALSE),0)</f>
        <v/>
      </c>
      <c r="P228" s="16">
        <f>$N228*$O228</f>
        <v/>
      </c>
      <c r="Q228">
        <f>IF($N228&gt;0,"SI","")</f>
        <v/>
      </c>
    </row>
    <row r="229">
      <c r="A229">
        <f>'DISTINTA COMPLETA'!A229</f>
        <v/>
      </c>
      <c r="B229">
        <f>'DISTINTA COMPLETA'!B229</f>
        <v/>
      </c>
      <c r="C229">
        <f>'DISTINTA COMPLETA'!D229</f>
        <v/>
      </c>
      <c r="D229">
        <f>'DISTINTA COMPLETA'!E229</f>
        <v/>
      </c>
      <c r="E229">
        <f>'DISTINTA COMPLETA'!D229</f>
        <v/>
      </c>
      <c r="F229" t="inlineStr">
        <is>
          <t>-</t>
        </is>
      </c>
      <c r="G229">
        <f>1</f>
        <v/>
      </c>
      <c r="H229">
        <f>$G229*56</f>
        <v/>
      </c>
      <c r="I229">
        <f>$G229*80</f>
        <v/>
      </c>
      <c r="J229">
        <f>$G229*88</f>
        <v/>
      </c>
      <c r="K229">
        <f>$G229*96</f>
        <v/>
      </c>
      <c r="L229">
        <f>$G229*152</f>
        <v/>
      </c>
      <c r="M229">
        <f>$G229*168</f>
        <v/>
      </c>
      <c r="N229">
        <f>Cfg_n12*H229+Cfg_n18*I229+Cfg_n20*J229+Cfg_n22*K229+Cfg_n36*L229+Cfg_n40*M229</f>
        <v/>
      </c>
      <c r="O229" s="16">
        <f>IFERROR(VLOOKUP($E229,LISTINO!$B:$G,6,FALSE),0)</f>
        <v/>
      </c>
      <c r="P229" s="16">
        <f>$N229*$O229</f>
        <v/>
      </c>
      <c r="Q229">
        <f>IF($N229&gt;0,"SI","")</f>
        <v/>
      </c>
    </row>
    <row r="230">
      <c r="A230">
        <f>'DISTINTA COMPLETA'!A230</f>
        <v/>
      </c>
      <c r="B230">
        <f>'DISTINTA COMPLETA'!B230</f>
        <v/>
      </c>
      <c r="C230">
        <f>'DISTINTA COMPLETA'!D230</f>
        <v/>
      </c>
      <c r="D230">
        <f>'DISTINTA COMPLETA'!E230</f>
        <v/>
      </c>
      <c r="E230">
        <f>'DISTINTA COMPLETA'!D230</f>
        <v/>
      </c>
      <c r="F230" t="inlineStr">
        <is>
          <t>-</t>
        </is>
      </c>
      <c r="G230">
        <f>1</f>
        <v/>
      </c>
      <c r="H230">
        <f>$G230*28</f>
        <v/>
      </c>
      <c r="I230">
        <f>$G230*40</f>
        <v/>
      </c>
      <c r="J230">
        <f>$G230*44</f>
        <v/>
      </c>
      <c r="K230">
        <f>$G230*48</f>
        <v/>
      </c>
      <c r="L230">
        <f>$G230*76</f>
        <v/>
      </c>
      <c r="M230">
        <f>$G230*84</f>
        <v/>
      </c>
      <c r="N230">
        <f>Cfg_n12*H230+Cfg_n18*I230+Cfg_n20*J230+Cfg_n22*K230+Cfg_n36*L230+Cfg_n40*M230</f>
        <v/>
      </c>
      <c r="O230" s="16">
        <f>IFERROR(VLOOKUP($E230,LISTINO!$B:$G,6,FALSE),0)</f>
        <v/>
      </c>
      <c r="P230" s="16">
        <f>$N230*$O230</f>
        <v/>
      </c>
      <c r="Q230">
        <f>IF($N230&gt;0,"SI","")</f>
        <v/>
      </c>
    </row>
    <row r="231">
      <c r="A231">
        <f>'DISTINTA COMPLETA'!A231</f>
        <v/>
      </c>
      <c r="B231">
        <f>'DISTINTA COMPLETA'!B231</f>
        <v/>
      </c>
      <c r="C231">
        <f>'DISTINTA COMPLETA'!D231</f>
        <v/>
      </c>
      <c r="D231">
        <f>'DISTINTA COMPLETA'!E231</f>
        <v/>
      </c>
      <c r="E231">
        <f>'DISTINTA COMPLETA'!D231</f>
        <v/>
      </c>
      <c r="F231" t="inlineStr">
        <is>
          <t>PANNELLI</t>
        </is>
      </c>
      <c r="G231">
        <f>IF(Cfg_Pannelli="Sì",1,0)</f>
        <v/>
      </c>
      <c r="H231">
        <f>$G231*12</f>
        <v/>
      </c>
      <c r="I231">
        <f>$G231*18</f>
        <v/>
      </c>
      <c r="J231">
        <f>$G231*20</f>
        <v/>
      </c>
      <c r="K231">
        <f>$G231*22</f>
        <v/>
      </c>
      <c r="L231">
        <f>$G231*36</f>
        <v/>
      </c>
      <c r="M231">
        <f>$G231*40</f>
        <v/>
      </c>
      <c r="N231">
        <f>Cfg_n12*H231+Cfg_n18*I231+Cfg_n20*J231+Cfg_n22*K231+Cfg_n36*L231+Cfg_n40*M231</f>
        <v/>
      </c>
      <c r="O231" s="16">
        <f>IFERROR(VLOOKUP($E231,LISTINO!$B:$G,6,FALSE),0)</f>
        <v/>
      </c>
      <c r="P231" s="16">
        <f>$N231*$O231</f>
        <v/>
      </c>
      <c r="Q231">
        <f>IF($N231&gt;0,"SI","")</f>
        <v/>
      </c>
    </row>
    <row r="232">
      <c r="A232">
        <f>'DISTINTA COMPLETA'!A232</f>
        <v/>
      </c>
      <c r="B232">
        <f>'DISTINTA COMPLETA'!B232</f>
        <v/>
      </c>
      <c r="C232">
        <f>'DISTINTA COMPLETA'!D232</f>
        <v/>
      </c>
      <c r="D232">
        <f>'DISTINTA COMPLETA'!E232</f>
        <v/>
      </c>
      <c r="E232">
        <f>'DISTINTA COMPLETA'!D232</f>
        <v/>
      </c>
      <c r="F232" t="inlineStr">
        <is>
          <t>PANNELLI</t>
        </is>
      </c>
      <c r="G232">
        <f>IF(Cfg_Pannelli="Sì",1,0)</f>
        <v/>
      </c>
      <c r="H232">
        <f>$G232*12</f>
        <v/>
      </c>
      <c r="I232">
        <f>$G232*72</f>
        <v/>
      </c>
      <c r="J232">
        <f>$G232*80</f>
        <v/>
      </c>
      <c r="K232">
        <f>$G232*88</f>
        <v/>
      </c>
      <c r="L232">
        <f>$G232*144</f>
        <v/>
      </c>
      <c r="M232">
        <f>$G232*160</f>
        <v/>
      </c>
      <c r="N232">
        <f>Cfg_n12*H232+Cfg_n18*I232+Cfg_n20*J232+Cfg_n22*K232+Cfg_n36*L232+Cfg_n40*M232</f>
        <v/>
      </c>
      <c r="O232" s="16">
        <f>IFERROR(VLOOKUP($E232,LISTINO!$B:$G,6,FALSE),0)</f>
        <v/>
      </c>
      <c r="P232" s="16">
        <f>$N232*$O232</f>
        <v/>
      </c>
      <c r="Q232">
        <f>IF($N232&gt;0,"SI","")</f>
        <v/>
      </c>
    </row>
    <row r="233">
      <c r="A233">
        <f>'DISTINTA COMPLETA'!A233</f>
        <v/>
      </c>
      <c r="B233">
        <f>'DISTINTA COMPLETA'!B233</f>
        <v/>
      </c>
      <c r="C233">
        <f>'DISTINTA COMPLETA'!D233</f>
        <v/>
      </c>
      <c r="D233">
        <f>'DISTINTA COMPLETA'!E233</f>
        <v/>
      </c>
      <c r="E233">
        <f>'DISTINTA COMPLETA'!D233</f>
        <v/>
      </c>
      <c r="F233" t="inlineStr">
        <is>
          <t>PANNELLI</t>
        </is>
      </c>
      <c r="G233">
        <f>IF(Cfg_Pannelli="Sì",1,0)</f>
        <v/>
      </c>
      <c r="H233">
        <f>$G233*48</f>
        <v/>
      </c>
      <c r="I233">
        <f>$G233*72</f>
        <v/>
      </c>
      <c r="J233">
        <f>$G233*80</f>
        <v/>
      </c>
      <c r="K233">
        <f>$G233*88</f>
        <v/>
      </c>
      <c r="L233">
        <f>$G233*144</f>
        <v/>
      </c>
      <c r="M233">
        <f>$G233*160</f>
        <v/>
      </c>
      <c r="N233">
        <f>Cfg_n12*H233+Cfg_n18*I233+Cfg_n20*J233+Cfg_n22*K233+Cfg_n36*L233+Cfg_n40*M233</f>
        <v/>
      </c>
      <c r="O233" s="16">
        <f>IFERROR(VLOOKUP($E233,LISTINO!$B:$G,6,FALSE),0)</f>
        <v/>
      </c>
      <c r="P233" s="16">
        <f>$N233*$O233</f>
        <v/>
      </c>
      <c r="Q233">
        <f>IF($N233&gt;0,"SI","")</f>
        <v/>
      </c>
    </row>
    <row r="234">
      <c r="A234">
        <f>'DISTINTA COMPLETA'!A234</f>
        <v/>
      </c>
      <c r="B234">
        <f>'DISTINTA COMPLETA'!B234</f>
        <v/>
      </c>
      <c r="C234">
        <f>'DISTINTA COMPLETA'!D234</f>
        <v/>
      </c>
      <c r="D234">
        <f>'DISTINTA COMPLETA'!E234</f>
        <v/>
      </c>
      <c r="E234">
        <f>'DISTINTA COMPLETA'!D234</f>
        <v/>
      </c>
      <c r="F234" t="inlineStr">
        <is>
          <t>PANNELLI</t>
        </is>
      </c>
      <c r="G234">
        <f>IF(Cfg_Pannelli="Sì",1,0)</f>
        <v/>
      </c>
      <c r="H234">
        <f>$G234*48</f>
        <v/>
      </c>
      <c r="I234">
        <f>$G234*72</f>
        <v/>
      </c>
      <c r="J234">
        <f>$G234*80</f>
        <v/>
      </c>
      <c r="K234">
        <f>$G234*88</f>
        <v/>
      </c>
      <c r="L234">
        <f>$G234*144</f>
        <v/>
      </c>
      <c r="M234">
        <f>$G234*160</f>
        <v/>
      </c>
      <c r="N234">
        <f>Cfg_n12*H234+Cfg_n18*I234+Cfg_n20*J234+Cfg_n22*K234+Cfg_n36*L234+Cfg_n40*M234</f>
        <v/>
      </c>
      <c r="O234" s="16">
        <f>IFERROR(VLOOKUP($E234,LISTINO!$B:$G,6,FALSE),0)</f>
        <v/>
      </c>
      <c r="P234" s="16">
        <f>$N234*$O234</f>
        <v/>
      </c>
      <c r="Q234">
        <f>IF($N234&gt;0,"SI","")</f>
        <v/>
      </c>
    </row>
    <row r="235">
      <c r="A235">
        <f>'DISTINTA COMPLETA'!A235</f>
        <v/>
      </c>
      <c r="B235">
        <f>'DISTINTA COMPLETA'!B235</f>
        <v/>
      </c>
      <c r="C235">
        <f>'DISTINTA COMPLETA'!D235</f>
        <v/>
      </c>
      <c r="D235">
        <f>'DISTINTA COMPLETA'!E235</f>
        <v/>
      </c>
      <c r="E235">
        <f>'DISTINTA COMPLETA'!D235</f>
        <v/>
      </c>
      <c r="F235" t="inlineStr">
        <is>
          <t>PANNELLI</t>
        </is>
      </c>
      <c r="G235">
        <f>IF(Cfg_Pannelli="Sì",1,0)</f>
        <v/>
      </c>
      <c r="H235">
        <f>$G235*48</f>
        <v/>
      </c>
      <c r="I235">
        <f>$G235*72</f>
        <v/>
      </c>
      <c r="J235">
        <f>$G235*80</f>
        <v/>
      </c>
      <c r="K235">
        <f>$G235*88</f>
        <v/>
      </c>
      <c r="L235">
        <f>$G235*144</f>
        <v/>
      </c>
      <c r="M235">
        <f>$G235*160</f>
        <v/>
      </c>
      <c r="N235">
        <f>Cfg_n12*H235+Cfg_n18*I235+Cfg_n20*J235+Cfg_n22*K235+Cfg_n36*L235+Cfg_n40*M235</f>
        <v/>
      </c>
      <c r="O235" s="16">
        <f>IFERROR(VLOOKUP($E235,LISTINO!$B:$G,6,FALSE),0)</f>
        <v/>
      </c>
      <c r="P235" s="16">
        <f>$N235*$O235</f>
        <v/>
      </c>
      <c r="Q235">
        <f>IF($N235&gt;0,"SI","")</f>
        <v/>
      </c>
    </row>
    <row r="236">
      <c r="A236">
        <f>'DISTINTA COMPLETA'!A236</f>
        <v/>
      </c>
      <c r="B236">
        <f>'DISTINTA COMPLETA'!B236</f>
        <v/>
      </c>
      <c r="C236">
        <f>'DISTINTA COMPLETA'!D236</f>
        <v/>
      </c>
      <c r="D236">
        <f>'DISTINTA COMPLETA'!E236</f>
        <v/>
      </c>
      <c r="E236">
        <f>'DISTINTA COMPLETA'!D236</f>
        <v/>
      </c>
      <c r="F236" t="inlineStr">
        <is>
          <t>SKIP</t>
        </is>
      </c>
      <c r="G236">
        <f>0</f>
        <v/>
      </c>
      <c r="H236">
        <f>$G236*0</f>
        <v/>
      </c>
      <c r="I236">
        <f>$G236*0</f>
        <v/>
      </c>
      <c r="J236">
        <f>$G236*0</f>
        <v/>
      </c>
      <c r="K236">
        <f>$G236*0</f>
        <v/>
      </c>
      <c r="L236">
        <f>$G236*0</f>
        <v/>
      </c>
      <c r="M236">
        <f>$G236*0</f>
        <v/>
      </c>
      <c r="N236">
        <f>Cfg_n12*H236+Cfg_n18*I236+Cfg_n20*J236+Cfg_n22*K236+Cfg_n36*L236+Cfg_n40*M236</f>
        <v/>
      </c>
      <c r="O236" s="16">
        <f>IFERROR(VLOOKUP($E236,LISTINO!$B:$G,6,FALSE),0)</f>
        <v/>
      </c>
      <c r="P236" s="16">
        <f>$N236*$O236</f>
        <v/>
      </c>
      <c r="Q236">
        <f>IF($N236&gt;0,"SI","")</f>
        <v/>
      </c>
    </row>
    <row r="237">
      <c r="A237">
        <f>'DISTINTA COMPLETA'!A237</f>
        <v/>
      </c>
      <c r="B237">
        <f>'DISTINTA COMPLETA'!B237</f>
        <v/>
      </c>
      <c r="C237">
        <f>'DISTINTA COMPLETA'!D237</f>
        <v/>
      </c>
      <c r="D237">
        <f>'DISTINTA COMPLETA'!E237</f>
        <v/>
      </c>
      <c r="E237">
        <f>'DISTINTA COMPLETA'!D237</f>
        <v/>
      </c>
      <c r="F237" t="inlineStr">
        <is>
          <t>SKIP</t>
        </is>
      </c>
      <c r="G237">
        <f>0</f>
        <v/>
      </c>
      <c r="H237">
        <f>$G237*0</f>
        <v/>
      </c>
      <c r="I237">
        <f>$G237*0</f>
        <v/>
      </c>
      <c r="J237">
        <f>$G237*0</f>
        <v/>
      </c>
      <c r="K237">
        <f>$G237*0</f>
        <v/>
      </c>
      <c r="L237">
        <f>$G237*0</f>
        <v/>
      </c>
      <c r="M237">
        <f>$G237*0</f>
        <v/>
      </c>
      <c r="N237">
        <f>Cfg_n12*H237+Cfg_n18*I237+Cfg_n20*J237+Cfg_n22*K237+Cfg_n36*L237+Cfg_n40*M237</f>
        <v/>
      </c>
      <c r="O237" s="16">
        <f>IFERROR(VLOOKUP($E237,LISTINO!$B:$G,6,FALSE),0)</f>
        <v/>
      </c>
      <c r="P237" s="16">
        <f>$N237*$O237</f>
        <v/>
      </c>
      <c r="Q237">
        <f>IF($N237&gt;0,"SI","")</f>
        <v/>
      </c>
    </row>
    <row r="238">
      <c r="A238">
        <f>'DISTINTA COMPLETA'!A238</f>
        <v/>
      </c>
      <c r="B238">
        <f>'DISTINTA COMPLETA'!B238</f>
        <v/>
      </c>
      <c r="C238">
        <f>'DISTINTA COMPLETA'!D238</f>
        <v/>
      </c>
      <c r="D238">
        <f>'DISTINTA COMPLETA'!E238</f>
        <v/>
      </c>
      <c r="E238">
        <f>'DISTINTA COMPLETA'!D238</f>
        <v/>
      </c>
      <c r="F238" t="inlineStr">
        <is>
          <t>SKIP</t>
        </is>
      </c>
      <c r="G238">
        <f>0</f>
        <v/>
      </c>
      <c r="H238">
        <f>$G238*0</f>
        <v/>
      </c>
      <c r="I238">
        <f>$G238*0</f>
        <v/>
      </c>
      <c r="J238">
        <f>$G238*0</f>
        <v/>
      </c>
      <c r="K238">
        <f>$G238*0</f>
        <v/>
      </c>
      <c r="L238">
        <f>$G238*0</f>
        <v/>
      </c>
      <c r="M238">
        <f>$G238*0</f>
        <v/>
      </c>
      <c r="N238">
        <f>Cfg_n12*H238+Cfg_n18*I238+Cfg_n20*J238+Cfg_n22*K238+Cfg_n36*L238+Cfg_n40*M238</f>
        <v/>
      </c>
      <c r="O238" s="16">
        <f>IFERROR(VLOOKUP($E238,LISTINO!$B:$G,6,FALSE),0)</f>
        <v/>
      </c>
      <c r="P238" s="16">
        <f>$N238*$O238</f>
        <v/>
      </c>
      <c r="Q238">
        <f>IF($N238&gt;0,"SI","")</f>
        <v/>
      </c>
    </row>
    <row r="239">
      <c r="A239">
        <f>'DISTINTA COMPLETA'!A239</f>
        <v/>
      </c>
      <c r="B239">
        <f>'DISTINTA COMPLETA'!B239</f>
        <v/>
      </c>
      <c r="C239">
        <f>'DISTINTA COMPLETA'!D239</f>
        <v/>
      </c>
      <c r="D239">
        <f>'DISTINTA COMPLETA'!E239</f>
        <v/>
      </c>
      <c r="E239">
        <f>'DISTINTA COMPLETA'!D239</f>
        <v/>
      </c>
      <c r="F239" t="inlineStr">
        <is>
          <t>SKIP</t>
        </is>
      </c>
      <c r="G239">
        <f>0</f>
        <v/>
      </c>
      <c r="H239">
        <f>$G239*0</f>
        <v/>
      </c>
      <c r="I239">
        <f>$G239*0</f>
        <v/>
      </c>
      <c r="J239">
        <f>$G239*0</f>
        <v/>
      </c>
      <c r="K239">
        <f>$G239*0</f>
        <v/>
      </c>
      <c r="L239">
        <f>$G239*0</f>
        <v/>
      </c>
      <c r="M239">
        <f>$G239*0</f>
        <v/>
      </c>
      <c r="N239">
        <f>Cfg_n12*H239+Cfg_n18*I239+Cfg_n20*J239+Cfg_n22*K239+Cfg_n36*L239+Cfg_n40*M239</f>
        <v/>
      </c>
      <c r="O239" s="16">
        <f>IFERROR(VLOOKUP($E239,LISTINO!$B:$G,6,FALSE),0)</f>
        <v/>
      </c>
      <c r="P239" s="16">
        <f>$N239*$O239</f>
        <v/>
      </c>
      <c r="Q239">
        <f>IF($N239&gt;0,"SI","")</f>
        <v/>
      </c>
    </row>
    <row r="240">
      <c r="A240">
        <f>'DISTINTA COMPLETA'!A240</f>
        <v/>
      </c>
      <c r="B240">
        <f>'DISTINTA COMPLETA'!B240</f>
        <v/>
      </c>
      <c r="C240">
        <f>'DISTINTA COMPLETA'!D240</f>
        <v/>
      </c>
      <c r="D240">
        <f>'DISTINTA COMPLETA'!E240</f>
        <v/>
      </c>
      <c r="E240">
        <f>'DISTINTA COMPLETA'!D240</f>
        <v/>
      </c>
      <c r="F240" t="inlineStr">
        <is>
          <t>SKIP</t>
        </is>
      </c>
      <c r="G240">
        <f>0</f>
        <v/>
      </c>
      <c r="H240">
        <f>$G240*0</f>
        <v/>
      </c>
      <c r="I240">
        <f>$G240*0</f>
        <v/>
      </c>
      <c r="J240">
        <f>$G240*0</f>
        <v/>
      </c>
      <c r="K240">
        <f>$G240*0</f>
        <v/>
      </c>
      <c r="L240">
        <f>$G240*0</f>
        <v/>
      </c>
      <c r="M240">
        <f>$G240*0</f>
        <v/>
      </c>
      <c r="N240">
        <f>Cfg_n12*H240+Cfg_n18*I240+Cfg_n20*J240+Cfg_n22*K240+Cfg_n36*L240+Cfg_n40*M240</f>
        <v/>
      </c>
      <c r="O240" s="16">
        <f>IFERROR(VLOOKUP($E240,LISTINO!$B:$G,6,FALSE),0)</f>
        <v/>
      </c>
      <c r="P240" s="16">
        <f>$N240*$O240</f>
        <v/>
      </c>
      <c r="Q240">
        <f>IF($N240&gt;0,"SI","")</f>
        <v/>
      </c>
    </row>
    <row r="241">
      <c r="A241">
        <f>'DISTINTA COMPLETA'!A241</f>
        <v/>
      </c>
      <c r="B241">
        <f>'DISTINTA COMPLETA'!B241</f>
        <v/>
      </c>
      <c r="C241">
        <f>'DISTINTA COMPLETA'!D241</f>
        <v/>
      </c>
      <c r="D241">
        <f>'DISTINTA COMPLETA'!E241</f>
        <v/>
      </c>
      <c r="E241">
        <f>'DISTINTA COMPLETA'!D241</f>
        <v/>
      </c>
      <c r="F241" t="inlineStr">
        <is>
          <t>-</t>
        </is>
      </c>
      <c r="G241">
        <f>1</f>
        <v/>
      </c>
      <c r="H241">
        <f>$G241*4</f>
        <v/>
      </c>
      <c r="I241">
        <f>$G241*4</f>
        <v/>
      </c>
      <c r="J241">
        <f>$G241*4</f>
        <v/>
      </c>
      <c r="K241">
        <f>$G241*4</f>
        <v/>
      </c>
      <c r="L241">
        <f>$G241*4</f>
        <v/>
      </c>
      <c r="M241">
        <f>$G241*4</f>
        <v/>
      </c>
      <c r="N241">
        <f>Cfg_n12*H241+Cfg_n18*I241+Cfg_n20*J241+Cfg_n22*K241+Cfg_n36*L241+Cfg_n40*M241</f>
        <v/>
      </c>
      <c r="O241" s="16">
        <f>IFERROR(VLOOKUP($E241,LISTINO!$B:$G,6,FALSE),0)</f>
        <v/>
      </c>
      <c r="P241" s="16">
        <f>$N241*$O241</f>
        <v/>
      </c>
      <c r="Q241">
        <f>IF($N241&gt;0,"SI","")</f>
        <v/>
      </c>
    </row>
    <row r="242">
      <c r="A242">
        <f>'DISTINTA COMPLETA'!A242</f>
        <v/>
      </c>
      <c r="B242">
        <f>'DISTINTA COMPLETA'!B242</f>
        <v/>
      </c>
      <c r="C242">
        <f>'DISTINTA COMPLETA'!D242</f>
        <v/>
      </c>
      <c r="D242">
        <f>'DISTINTA COMPLETA'!E242</f>
        <v/>
      </c>
      <c r="E242">
        <f>'DISTINTA COMPLETA'!D242</f>
        <v/>
      </c>
      <c r="F242" t="inlineStr">
        <is>
          <t>-</t>
        </is>
      </c>
      <c r="G242">
        <f>1</f>
        <v/>
      </c>
      <c r="H242">
        <f>$G242*1</f>
        <v/>
      </c>
      <c r="I242">
        <f>$G242*1</f>
        <v/>
      </c>
      <c r="J242">
        <f>$G242*1</f>
        <v/>
      </c>
      <c r="K242">
        <f>$G242*1</f>
        <v/>
      </c>
      <c r="L242">
        <f>$G242*1</f>
        <v/>
      </c>
      <c r="M242">
        <f>$G242*1</f>
        <v/>
      </c>
      <c r="N242">
        <f>Cfg_n12*H242+Cfg_n18*I242+Cfg_n20*J242+Cfg_n22*K242+Cfg_n36*L242+Cfg_n40*M242</f>
        <v/>
      </c>
      <c r="O242" s="16">
        <f>IFERROR(VLOOKUP($E242,LISTINO!$B:$G,6,FALSE),0)</f>
        <v/>
      </c>
      <c r="P242" s="16">
        <f>$N242*$O242</f>
        <v/>
      </c>
      <c r="Q242">
        <f>IF($N242&gt;0,"SI","")</f>
        <v/>
      </c>
    </row>
    <row r="243">
      <c r="A243">
        <f>'DISTINTA COMPLETA'!A243</f>
        <v/>
      </c>
      <c r="B243">
        <f>'DISTINTA COMPLETA'!B243</f>
        <v/>
      </c>
      <c r="C243">
        <f>'DISTINTA COMPLETA'!D243</f>
        <v/>
      </c>
      <c r="D243">
        <f>'DISTINTA COMPLETA'!E243</f>
        <v/>
      </c>
      <c r="E243">
        <f>'DISTINTA COMPLETA'!D243</f>
        <v/>
      </c>
      <c r="F243" t="inlineStr">
        <is>
          <t>-</t>
        </is>
      </c>
      <c r="G243">
        <f>1</f>
        <v/>
      </c>
      <c r="H243">
        <f>$G243*1</f>
        <v/>
      </c>
      <c r="I243">
        <f>$G243*1</f>
        <v/>
      </c>
      <c r="J243">
        <f>$G243*1</f>
        <v/>
      </c>
      <c r="K243">
        <f>$G243*1</f>
        <v/>
      </c>
      <c r="L243">
        <f>$G243*1</f>
        <v/>
      </c>
      <c r="M243">
        <f>$G243*1</f>
        <v/>
      </c>
      <c r="N243">
        <f>Cfg_n12*H243+Cfg_n18*I243+Cfg_n20*J243+Cfg_n22*K243+Cfg_n36*L243+Cfg_n40*M243</f>
        <v/>
      </c>
      <c r="O243" s="16">
        <f>IFERROR(VLOOKUP($E243,LISTINO!$B:$G,6,FALSE),0)</f>
        <v/>
      </c>
      <c r="P243" s="16">
        <f>$N243*$O243</f>
        <v/>
      </c>
      <c r="Q243">
        <f>IF($N243&gt;0,"SI","")</f>
        <v/>
      </c>
    </row>
    <row r="244">
      <c r="A244">
        <f>'DISTINTA COMPLETA'!A244</f>
        <v/>
      </c>
      <c r="B244">
        <f>'DISTINTA COMPLETA'!B244</f>
        <v/>
      </c>
      <c r="C244">
        <f>'DISTINTA COMPLETA'!D244</f>
        <v/>
      </c>
      <c r="D244">
        <f>'DISTINTA COMPLETA'!E244</f>
        <v/>
      </c>
      <c r="E244">
        <f>'DISTINTA COMPLETA'!D244</f>
        <v/>
      </c>
      <c r="F244" t="inlineStr">
        <is>
          <t>-</t>
        </is>
      </c>
      <c r="G244">
        <f>1</f>
        <v/>
      </c>
      <c r="H244">
        <f>$G244*2</f>
        <v/>
      </c>
      <c r="I244">
        <f>$G244*2</f>
        <v/>
      </c>
      <c r="J244">
        <f>$G244*2</f>
        <v/>
      </c>
      <c r="K244">
        <f>$G244*2</f>
        <v/>
      </c>
      <c r="L244">
        <f>$G244*2</f>
        <v/>
      </c>
      <c r="M244">
        <f>$G244*2</f>
        <v/>
      </c>
      <c r="N244">
        <f>Cfg_n12*H244+Cfg_n18*I244+Cfg_n20*J244+Cfg_n22*K244+Cfg_n36*L244+Cfg_n40*M244</f>
        <v/>
      </c>
      <c r="O244" s="16">
        <f>IFERROR(VLOOKUP($E244,LISTINO!$B:$G,6,FALSE),0)</f>
        <v/>
      </c>
      <c r="P244" s="16">
        <f>$N244*$O244</f>
        <v/>
      </c>
      <c r="Q244">
        <f>IF($N244&gt;0,"SI","")</f>
        <v/>
      </c>
    </row>
    <row r="245">
      <c r="A245">
        <f>'DISTINTA COMPLETA'!A245</f>
        <v/>
      </c>
      <c r="B245">
        <f>'DISTINTA COMPLETA'!B245</f>
        <v/>
      </c>
      <c r="C245">
        <f>'DISTINTA COMPLETA'!D245</f>
        <v/>
      </c>
      <c r="D245">
        <f>'DISTINTA COMPLETA'!E245</f>
        <v/>
      </c>
      <c r="E245">
        <f>'DISTINTA COMPLETA'!D245</f>
        <v/>
      </c>
      <c r="F245" t="inlineStr">
        <is>
          <t>-</t>
        </is>
      </c>
      <c r="G245">
        <f>1</f>
        <v/>
      </c>
      <c r="H245">
        <f>$G245*4</f>
        <v/>
      </c>
      <c r="I245">
        <f>$G245*4</f>
        <v/>
      </c>
      <c r="J245">
        <f>$G245*4</f>
        <v/>
      </c>
      <c r="K245">
        <f>$G245*4</f>
        <v/>
      </c>
      <c r="L245">
        <f>$G245*4</f>
        <v/>
      </c>
      <c r="M245">
        <f>$G245*4</f>
        <v/>
      </c>
      <c r="N245">
        <f>Cfg_n12*H245+Cfg_n18*I245+Cfg_n20*J245+Cfg_n22*K245+Cfg_n36*L245+Cfg_n40*M245</f>
        <v/>
      </c>
      <c r="O245" s="16">
        <f>IFERROR(VLOOKUP($E245,LISTINO!$B:$G,6,FALSE),0)</f>
        <v/>
      </c>
      <c r="P245" s="16">
        <f>$N245*$O245</f>
        <v/>
      </c>
      <c r="Q245">
        <f>IF($N245&gt;0,"SI","")</f>
        <v/>
      </c>
    </row>
    <row r="246">
      <c r="A246">
        <f>'DISTINTA COMPLETA'!A246</f>
        <v/>
      </c>
      <c r="B246">
        <f>'DISTINTA COMPLETA'!B246</f>
        <v/>
      </c>
      <c r="C246">
        <f>'DISTINTA COMPLETA'!D246</f>
        <v/>
      </c>
      <c r="D246">
        <f>'DISTINTA COMPLETA'!E246</f>
        <v/>
      </c>
      <c r="E246">
        <f>'DISTINTA COMPLETA'!D246</f>
        <v/>
      </c>
      <c r="F246" t="inlineStr">
        <is>
          <t>-</t>
        </is>
      </c>
      <c r="G246">
        <f>1</f>
        <v/>
      </c>
      <c r="H246">
        <f>$G246*2</f>
        <v/>
      </c>
      <c r="I246">
        <f>$G246*2</f>
        <v/>
      </c>
      <c r="J246">
        <f>$G246*2</f>
        <v/>
      </c>
      <c r="K246">
        <f>$G246*2</f>
        <v/>
      </c>
      <c r="L246">
        <f>$G246*2</f>
        <v/>
      </c>
      <c r="M246">
        <f>$G246*2</f>
        <v/>
      </c>
      <c r="N246">
        <f>Cfg_n12*H246+Cfg_n18*I246+Cfg_n20*J246+Cfg_n22*K246+Cfg_n36*L246+Cfg_n40*M246</f>
        <v/>
      </c>
      <c r="O246" s="16">
        <f>IFERROR(VLOOKUP($E246,LISTINO!$B:$G,6,FALSE),0)</f>
        <v/>
      </c>
      <c r="P246" s="16">
        <f>$N246*$O246</f>
        <v/>
      </c>
      <c r="Q246">
        <f>IF($N246&gt;0,"SI","")</f>
        <v/>
      </c>
    </row>
    <row r="247">
      <c r="A247">
        <f>'DISTINTA COMPLETA'!A247</f>
        <v/>
      </c>
      <c r="B247">
        <f>'DISTINTA COMPLETA'!B247</f>
        <v/>
      </c>
      <c r="C247">
        <f>'DISTINTA COMPLETA'!D247</f>
        <v/>
      </c>
      <c r="D247">
        <f>'DISTINTA COMPLETA'!E247</f>
        <v/>
      </c>
      <c r="E247">
        <f>'DISTINTA COMPLETA'!D247</f>
        <v/>
      </c>
      <c r="F247" t="inlineStr">
        <is>
          <t>-</t>
        </is>
      </c>
      <c r="G247">
        <f>1</f>
        <v/>
      </c>
      <c r="H247">
        <f>$G247*2</f>
        <v/>
      </c>
      <c r="I247">
        <f>$G247*2</f>
        <v/>
      </c>
      <c r="J247">
        <f>$G247*2</f>
        <v/>
      </c>
      <c r="K247">
        <f>$G247*2</f>
        <v/>
      </c>
      <c r="L247">
        <f>$G247*2</f>
        <v/>
      </c>
      <c r="M247">
        <f>$G247*2</f>
        <v/>
      </c>
      <c r="N247">
        <f>Cfg_n12*H247+Cfg_n18*I247+Cfg_n20*J247+Cfg_n22*K247+Cfg_n36*L247+Cfg_n40*M247</f>
        <v/>
      </c>
      <c r="O247" s="16">
        <f>IFERROR(VLOOKUP($E247,LISTINO!$B:$G,6,FALSE),0)</f>
        <v/>
      </c>
      <c r="P247" s="16">
        <f>$N247*$O247</f>
        <v/>
      </c>
      <c r="Q247">
        <f>IF($N247&gt;0,"SI","")</f>
        <v/>
      </c>
    </row>
    <row r="248">
      <c r="A248">
        <f>'DISTINTA COMPLETA'!A248</f>
        <v/>
      </c>
      <c r="B248">
        <f>'DISTINTA COMPLETA'!B248</f>
        <v/>
      </c>
      <c r="C248">
        <f>'DISTINTA COMPLETA'!D248</f>
        <v/>
      </c>
      <c r="D248">
        <f>'DISTINTA COMPLETA'!E248</f>
        <v/>
      </c>
      <c r="E248">
        <f>'DISTINTA COMPLETA'!D248</f>
        <v/>
      </c>
      <c r="F248" t="inlineStr">
        <is>
          <t>-</t>
        </is>
      </c>
      <c r="G248">
        <f>1</f>
        <v/>
      </c>
      <c r="H248">
        <f>$G248*2</f>
        <v/>
      </c>
      <c r="I248">
        <f>$G248*2</f>
        <v/>
      </c>
      <c r="J248">
        <f>$G248*2</f>
        <v/>
      </c>
      <c r="K248">
        <f>$G248*2</f>
        <v/>
      </c>
      <c r="L248">
        <f>$G248*2</f>
        <v/>
      </c>
      <c r="M248">
        <f>$G248*2</f>
        <v/>
      </c>
      <c r="N248">
        <f>Cfg_n12*H248+Cfg_n18*I248+Cfg_n20*J248+Cfg_n22*K248+Cfg_n36*L248+Cfg_n40*M248</f>
        <v/>
      </c>
      <c r="O248" s="16">
        <f>IFERROR(VLOOKUP($E248,LISTINO!$B:$G,6,FALSE),0)</f>
        <v/>
      </c>
      <c r="P248" s="16">
        <f>$N248*$O248</f>
        <v/>
      </c>
      <c r="Q248">
        <f>IF($N248&gt;0,"SI","")</f>
        <v/>
      </c>
    </row>
    <row r="249">
      <c r="A249">
        <f>'DISTINTA COMPLETA'!A249</f>
        <v/>
      </c>
      <c r="B249">
        <f>'DISTINTA COMPLETA'!B249</f>
        <v/>
      </c>
      <c r="C249">
        <f>'DISTINTA COMPLETA'!D249</f>
        <v/>
      </c>
      <c r="D249">
        <f>'DISTINTA COMPLETA'!E249</f>
        <v/>
      </c>
      <c r="E249">
        <f>'DISTINTA COMPLETA'!D249</f>
        <v/>
      </c>
      <c r="F249" t="inlineStr">
        <is>
          <t>-</t>
        </is>
      </c>
      <c r="G249">
        <f>1</f>
        <v/>
      </c>
      <c r="H249">
        <f>$G249*2</f>
        <v/>
      </c>
      <c r="I249">
        <f>$G249*2</f>
        <v/>
      </c>
      <c r="J249">
        <f>$G249*2</f>
        <v/>
      </c>
      <c r="K249">
        <f>$G249*2</f>
        <v/>
      </c>
      <c r="L249">
        <f>$G249*2</f>
        <v/>
      </c>
      <c r="M249">
        <f>$G249*2</f>
        <v/>
      </c>
      <c r="N249">
        <f>Cfg_n12*H249+Cfg_n18*I249+Cfg_n20*J249+Cfg_n22*K249+Cfg_n36*L249+Cfg_n40*M249</f>
        <v/>
      </c>
      <c r="O249" s="16">
        <f>IFERROR(VLOOKUP($E249,LISTINO!$B:$G,6,FALSE),0)</f>
        <v/>
      </c>
      <c r="P249" s="16">
        <f>$N249*$O249</f>
        <v/>
      </c>
      <c r="Q249">
        <f>IF($N249&gt;0,"SI","")</f>
        <v/>
      </c>
    </row>
    <row r="250">
      <c r="A250">
        <f>'DISTINTA COMPLETA'!A250</f>
        <v/>
      </c>
      <c r="B250">
        <f>'DISTINTA COMPLETA'!B250</f>
        <v/>
      </c>
      <c r="C250">
        <f>'DISTINTA COMPLETA'!D250</f>
        <v/>
      </c>
      <c r="D250">
        <f>'DISTINTA COMPLETA'!E250</f>
        <v/>
      </c>
      <c r="E250">
        <f>'DISTINTA COMPLETA'!D250</f>
        <v/>
      </c>
      <c r="F250" t="inlineStr">
        <is>
          <t>-</t>
        </is>
      </c>
      <c r="G250">
        <f>1</f>
        <v/>
      </c>
      <c r="H250">
        <f>$G250*2</f>
        <v/>
      </c>
      <c r="I250">
        <f>$G250*2</f>
        <v/>
      </c>
      <c r="J250">
        <f>$G250*2</f>
        <v/>
      </c>
      <c r="K250">
        <f>$G250*2</f>
        <v/>
      </c>
      <c r="L250">
        <f>$G250*2</f>
        <v/>
      </c>
      <c r="M250">
        <f>$G250*2</f>
        <v/>
      </c>
      <c r="N250">
        <f>Cfg_n12*H250+Cfg_n18*I250+Cfg_n20*J250+Cfg_n22*K250+Cfg_n36*L250+Cfg_n40*M250</f>
        <v/>
      </c>
      <c r="O250" s="16">
        <f>IFERROR(VLOOKUP($E250,LISTINO!$B:$G,6,FALSE),0)</f>
        <v/>
      </c>
      <c r="P250" s="16">
        <f>$N250*$O250</f>
        <v/>
      </c>
      <c r="Q250">
        <f>IF($N250&gt;0,"SI","")</f>
        <v/>
      </c>
    </row>
    <row r="251">
      <c r="A251">
        <f>'DISTINTA COMPLETA'!A251</f>
        <v/>
      </c>
      <c r="B251">
        <f>'DISTINTA COMPLETA'!B251</f>
        <v/>
      </c>
      <c r="C251">
        <f>'DISTINTA COMPLETA'!D251</f>
        <v/>
      </c>
      <c r="D251">
        <f>'DISTINTA COMPLETA'!E251</f>
        <v/>
      </c>
      <c r="E251">
        <f>'DISTINTA COMPLETA'!D251</f>
        <v/>
      </c>
      <c r="F251" t="inlineStr">
        <is>
          <t>-</t>
        </is>
      </c>
      <c r="G251">
        <f>1</f>
        <v/>
      </c>
      <c r="H251">
        <f>$G251*2</f>
        <v/>
      </c>
      <c r="I251">
        <f>$G251*2</f>
        <v/>
      </c>
      <c r="J251">
        <f>$G251*2</f>
        <v/>
      </c>
      <c r="K251">
        <f>$G251*2</f>
        <v/>
      </c>
      <c r="L251">
        <f>$G251*2</f>
        <v/>
      </c>
      <c r="M251">
        <f>$G251*2</f>
        <v/>
      </c>
      <c r="N251">
        <f>Cfg_n12*H251+Cfg_n18*I251+Cfg_n20*J251+Cfg_n22*K251+Cfg_n36*L251+Cfg_n40*M251</f>
        <v/>
      </c>
      <c r="O251" s="16">
        <f>IFERROR(VLOOKUP($E251,LISTINO!$B:$G,6,FALSE),0)</f>
        <v/>
      </c>
      <c r="P251" s="16">
        <f>$N251*$O251</f>
        <v/>
      </c>
      <c r="Q251">
        <f>IF($N251&gt;0,"SI","")</f>
        <v/>
      </c>
    </row>
    <row r="252">
      <c r="A252">
        <f>'DISTINTA COMPLETA'!A252</f>
        <v/>
      </c>
      <c r="B252">
        <f>'DISTINTA COMPLETA'!B252</f>
        <v/>
      </c>
      <c r="C252">
        <f>'DISTINTA COMPLETA'!D252</f>
        <v/>
      </c>
      <c r="D252">
        <f>'DISTINTA COMPLETA'!E252</f>
        <v/>
      </c>
      <c r="E252">
        <f>'DISTINTA COMPLETA'!D252</f>
        <v/>
      </c>
      <c r="F252" t="inlineStr">
        <is>
          <t>-</t>
        </is>
      </c>
      <c r="G252">
        <f>1</f>
        <v/>
      </c>
      <c r="H252">
        <f>$G252*1</f>
        <v/>
      </c>
      <c r="I252">
        <f>$G252*1</f>
        <v/>
      </c>
      <c r="J252">
        <f>$G252*1</f>
        <v/>
      </c>
      <c r="K252">
        <f>$G252*1</f>
        <v/>
      </c>
      <c r="L252">
        <f>$G252*1</f>
        <v/>
      </c>
      <c r="M252">
        <f>$G252*1</f>
        <v/>
      </c>
      <c r="N252">
        <f>Cfg_n12*H252+Cfg_n18*I252+Cfg_n20*J252+Cfg_n22*K252+Cfg_n36*L252+Cfg_n40*M252</f>
        <v/>
      </c>
      <c r="O252" s="16">
        <f>IFERROR(VLOOKUP($E252,LISTINO!$B:$G,6,FALSE),0)</f>
        <v/>
      </c>
      <c r="P252" s="16">
        <f>$N252*$O252</f>
        <v/>
      </c>
      <c r="Q252">
        <f>IF($N252&gt;0,"SI","")</f>
        <v/>
      </c>
    </row>
    <row r="253">
      <c r="A253">
        <f>'DISTINTA COMPLETA'!A253</f>
        <v/>
      </c>
      <c r="B253">
        <f>'DISTINTA COMPLETA'!B253</f>
        <v/>
      </c>
      <c r="C253">
        <f>'DISTINTA COMPLETA'!D253</f>
        <v/>
      </c>
      <c r="D253">
        <f>'DISTINTA COMPLETA'!E253</f>
        <v/>
      </c>
      <c r="E253">
        <f>'DISTINTA COMPLETA'!D253</f>
        <v/>
      </c>
      <c r="F253" t="inlineStr">
        <is>
          <t>-</t>
        </is>
      </c>
      <c r="G253">
        <f>1</f>
        <v/>
      </c>
      <c r="H253">
        <f>$G253*1</f>
        <v/>
      </c>
      <c r="I253">
        <f>$G253*1</f>
        <v/>
      </c>
      <c r="J253">
        <f>$G253*1</f>
        <v/>
      </c>
      <c r="K253">
        <f>$G253*1</f>
        <v/>
      </c>
      <c r="L253">
        <f>$G253*1</f>
        <v/>
      </c>
      <c r="M253">
        <f>$G253*1</f>
        <v/>
      </c>
      <c r="N253">
        <f>Cfg_n12*H253+Cfg_n18*I253+Cfg_n20*J253+Cfg_n22*K253+Cfg_n36*L253+Cfg_n40*M253</f>
        <v/>
      </c>
      <c r="O253" s="16">
        <f>IFERROR(VLOOKUP($E253,LISTINO!$B:$G,6,FALSE),0)</f>
        <v/>
      </c>
      <c r="P253" s="16">
        <f>$N253*$O253</f>
        <v/>
      </c>
      <c r="Q253">
        <f>IF($N253&gt;0,"SI","")</f>
        <v/>
      </c>
    </row>
    <row r="254">
      <c r="A254">
        <f>'DISTINTA COMPLETA'!A254</f>
        <v/>
      </c>
      <c r="B254">
        <f>'DISTINTA COMPLETA'!B254</f>
        <v/>
      </c>
      <c r="C254">
        <f>'DISTINTA COMPLETA'!D254</f>
        <v/>
      </c>
      <c r="D254">
        <f>'DISTINTA COMPLETA'!E254</f>
        <v/>
      </c>
      <c r="E254">
        <f>'DISTINTA COMPLETA'!D254</f>
        <v/>
      </c>
      <c r="F254" t="inlineStr">
        <is>
          <t>-</t>
        </is>
      </c>
      <c r="G254">
        <f>1</f>
        <v/>
      </c>
      <c r="H254">
        <f>$G254*4</f>
        <v/>
      </c>
      <c r="I254">
        <f>$G254*4</f>
        <v/>
      </c>
      <c r="J254">
        <f>$G254*4</f>
        <v/>
      </c>
      <c r="K254">
        <f>$G254*4</f>
        <v/>
      </c>
      <c r="L254">
        <f>$G254*4</f>
        <v/>
      </c>
      <c r="M254">
        <f>$G254*4</f>
        <v/>
      </c>
      <c r="N254">
        <f>Cfg_n12*H254+Cfg_n18*I254+Cfg_n20*J254+Cfg_n22*K254+Cfg_n36*L254+Cfg_n40*M254</f>
        <v/>
      </c>
      <c r="O254" s="16">
        <f>IFERROR(VLOOKUP($E254,LISTINO!$B:$G,6,FALSE),0)</f>
        <v/>
      </c>
      <c r="P254" s="16">
        <f>$N254*$O254</f>
        <v/>
      </c>
      <c r="Q254">
        <f>IF($N254&gt;0,"SI","")</f>
        <v/>
      </c>
    </row>
    <row r="255">
      <c r="A255">
        <f>'DISTINTA COMPLETA'!A255</f>
        <v/>
      </c>
      <c r="B255">
        <f>'DISTINTA COMPLETA'!B255</f>
        <v/>
      </c>
      <c r="C255">
        <f>'DISTINTA COMPLETA'!D255</f>
        <v/>
      </c>
      <c r="D255">
        <f>'DISTINTA COMPLETA'!E255</f>
        <v/>
      </c>
      <c r="E255">
        <f>'DISTINTA COMPLETA'!D255</f>
        <v/>
      </c>
      <c r="F255" t="inlineStr">
        <is>
          <t>-</t>
        </is>
      </c>
      <c r="G255">
        <f>1</f>
        <v/>
      </c>
      <c r="H255">
        <f>$G255*4</f>
        <v/>
      </c>
      <c r="I255">
        <f>$G255*4</f>
        <v/>
      </c>
      <c r="J255">
        <f>$G255*4</f>
        <v/>
      </c>
      <c r="K255">
        <f>$G255*4</f>
        <v/>
      </c>
      <c r="L255">
        <f>$G255*4</f>
        <v/>
      </c>
      <c r="M255">
        <f>$G255*4</f>
        <v/>
      </c>
      <c r="N255">
        <f>Cfg_n12*H255+Cfg_n18*I255+Cfg_n20*J255+Cfg_n22*K255+Cfg_n36*L255+Cfg_n40*M255</f>
        <v/>
      </c>
      <c r="O255" s="16">
        <f>IFERROR(VLOOKUP($E255,LISTINO!$B:$G,6,FALSE),0)</f>
        <v/>
      </c>
      <c r="P255" s="16">
        <f>$N255*$O255</f>
        <v/>
      </c>
      <c r="Q255">
        <f>IF($N255&gt;0,"SI","")</f>
        <v/>
      </c>
    </row>
    <row r="256">
      <c r="A256">
        <f>'DISTINTA COMPLETA'!A256</f>
        <v/>
      </c>
      <c r="B256">
        <f>'DISTINTA COMPLETA'!B256</f>
        <v/>
      </c>
      <c r="C256">
        <f>'DISTINTA COMPLETA'!D256</f>
        <v/>
      </c>
      <c r="D256">
        <f>'DISTINTA COMPLETA'!E256</f>
        <v/>
      </c>
      <c r="E256">
        <f>'DISTINTA COMPLETA'!D256</f>
        <v/>
      </c>
      <c r="F256" t="inlineStr">
        <is>
          <t>-</t>
        </is>
      </c>
      <c r="G256">
        <f>1</f>
        <v/>
      </c>
      <c r="H256">
        <f>$G256*1</f>
        <v/>
      </c>
      <c r="I256">
        <f>$G256*1</f>
        <v/>
      </c>
      <c r="J256">
        <f>$G256*1</f>
        <v/>
      </c>
      <c r="K256">
        <f>$G256*1</f>
        <v/>
      </c>
      <c r="L256">
        <f>$G256*1</f>
        <v/>
      </c>
      <c r="M256">
        <f>$G256*1</f>
        <v/>
      </c>
      <c r="N256">
        <f>Cfg_n12*H256+Cfg_n18*I256+Cfg_n20*J256+Cfg_n22*K256+Cfg_n36*L256+Cfg_n40*M256</f>
        <v/>
      </c>
      <c r="O256" s="16">
        <f>IFERROR(VLOOKUP($E256,LISTINO!$B:$G,6,FALSE),0)</f>
        <v/>
      </c>
      <c r="P256" s="16">
        <f>$N256*$O256</f>
        <v/>
      </c>
      <c r="Q256">
        <f>IF($N256&gt;0,"SI","")</f>
        <v/>
      </c>
    </row>
    <row r="257">
      <c r="A257">
        <f>'DISTINTA COMPLETA'!A257</f>
        <v/>
      </c>
      <c r="B257">
        <f>'DISTINTA COMPLETA'!B257</f>
        <v/>
      </c>
      <c r="C257">
        <f>'DISTINTA COMPLETA'!D257</f>
        <v/>
      </c>
      <c r="D257">
        <f>'DISTINTA COMPLETA'!E257</f>
        <v/>
      </c>
      <c r="E257">
        <f>'DISTINTA COMPLETA'!D257</f>
        <v/>
      </c>
      <c r="F257" t="inlineStr">
        <is>
          <t>-</t>
        </is>
      </c>
      <c r="G257">
        <f>1</f>
        <v/>
      </c>
      <c r="H257">
        <f>$G257*4</f>
        <v/>
      </c>
      <c r="I257">
        <f>$G257*4</f>
        <v/>
      </c>
      <c r="J257">
        <f>$G257*4</f>
        <v/>
      </c>
      <c r="K257">
        <f>$G257*4</f>
        <v/>
      </c>
      <c r="L257">
        <f>$G257*4</f>
        <v/>
      </c>
      <c r="M257">
        <f>$G257*4</f>
        <v/>
      </c>
      <c r="N257">
        <f>Cfg_n12*H257+Cfg_n18*I257+Cfg_n20*J257+Cfg_n22*K257+Cfg_n36*L257+Cfg_n40*M257</f>
        <v/>
      </c>
      <c r="O257" s="16">
        <f>IFERROR(VLOOKUP($E257,LISTINO!$B:$G,6,FALSE),0)</f>
        <v/>
      </c>
      <c r="P257" s="16">
        <f>$N257*$O257</f>
        <v/>
      </c>
      <c r="Q257">
        <f>IF($N257&gt;0,"SI","")</f>
        <v/>
      </c>
    </row>
    <row r="258">
      <c r="A258">
        <f>'DISTINTA COMPLETA'!A258</f>
        <v/>
      </c>
      <c r="B258">
        <f>'DISTINTA COMPLETA'!B258</f>
        <v/>
      </c>
      <c r="C258">
        <f>'DISTINTA COMPLETA'!D258</f>
        <v/>
      </c>
      <c r="D258">
        <f>'DISTINTA COMPLETA'!E258</f>
        <v/>
      </c>
      <c r="E258">
        <f>'DISTINTA COMPLETA'!D258</f>
        <v/>
      </c>
      <c r="F258" t="inlineStr">
        <is>
          <t>-</t>
        </is>
      </c>
      <c r="G258">
        <f>1</f>
        <v/>
      </c>
      <c r="H258">
        <f>$G258*4</f>
        <v/>
      </c>
      <c r="I258">
        <f>$G258*4</f>
        <v/>
      </c>
      <c r="J258">
        <f>$G258*4</f>
        <v/>
      </c>
      <c r="K258">
        <f>$G258*4</f>
        <v/>
      </c>
      <c r="L258">
        <f>$G258*4</f>
        <v/>
      </c>
      <c r="M258">
        <f>$G258*4</f>
        <v/>
      </c>
      <c r="N258">
        <f>Cfg_n12*H258+Cfg_n18*I258+Cfg_n20*J258+Cfg_n22*K258+Cfg_n36*L258+Cfg_n40*M258</f>
        <v/>
      </c>
      <c r="O258" s="16">
        <f>IFERROR(VLOOKUP($E258,LISTINO!$B:$G,6,FALSE),0)</f>
        <v/>
      </c>
      <c r="P258" s="16">
        <f>$N258*$O258</f>
        <v/>
      </c>
      <c r="Q258">
        <f>IF($N258&gt;0,"SI","")</f>
        <v/>
      </c>
    </row>
    <row r="259">
      <c r="A259">
        <f>'DISTINTA COMPLETA'!A259</f>
        <v/>
      </c>
      <c r="B259">
        <f>'DISTINTA COMPLETA'!B259</f>
        <v/>
      </c>
      <c r="C259">
        <f>'DISTINTA COMPLETA'!D259</f>
        <v/>
      </c>
      <c r="D259">
        <f>'DISTINTA COMPLETA'!E259</f>
        <v/>
      </c>
      <c r="E259">
        <f>'DISTINTA COMPLETA'!D259</f>
        <v/>
      </c>
      <c r="F259" t="inlineStr">
        <is>
          <t>-</t>
        </is>
      </c>
      <c r="G259">
        <f>1</f>
        <v/>
      </c>
      <c r="H259">
        <f>$G259*1</f>
        <v/>
      </c>
      <c r="I259">
        <f>$G259*1</f>
        <v/>
      </c>
      <c r="J259">
        <f>$G259*1</f>
        <v/>
      </c>
      <c r="K259">
        <f>$G259*1</f>
        <v/>
      </c>
      <c r="L259">
        <f>$G259*1</f>
        <v/>
      </c>
      <c r="M259">
        <f>$G259*1</f>
        <v/>
      </c>
      <c r="N259">
        <f>Cfg_n12*H259+Cfg_n18*I259+Cfg_n20*J259+Cfg_n22*K259+Cfg_n36*L259+Cfg_n40*M259</f>
        <v/>
      </c>
      <c r="O259" s="16">
        <f>IFERROR(VLOOKUP($E259,LISTINO!$B:$G,6,FALSE),0)</f>
        <v/>
      </c>
      <c r="P259" s="16">
        <f>$N259*$O259</f>
        <v/>
      </c>
      <c r="Q259">
        <f>IF($N259&gt;0,"SI","")</f>
        <v/>
      </c>
    </row>
    <row r="260">
      <c r="A260">
        <f>'DISTINTA COMPLETA'!A260</f>
        <v/>
      </c>
      <c r="B260">
        <f>'DISTINTA COMPLETA'!B260</f>
        <v/>
      </c>
      <c r="C260">
        <f>'DISTINTA COMPLETA'!D260</f>
        <v/>
      </c>
      <c r="D260">
        <f>'DISTINTA COMPLETA'!E260</f>
        <v/>
      </c>
      <c r="E260">
        <f>'DISTINTA COMPLETA'!D260</f>
        <v/>
      </c>
      <c r="F260" t="inlineStr">
        <is>
          <t>-</t>
        </is>
      </c>
      <c r="G260">
        <f>1</f>
        <v/>
      </c>
      <c r="H260">
        <f>$G260*4</f>
        <v/>
      </c>
      <c r="I260">
        <f>$G260*4</f>
        <v/>
      </c>
      <c r="J260">
        <f>$G260*4</f>
        <v/>
      </c>
      <c r="K260">
        <f>$G260*4</f>
        <v/>
      </c>
      <c r="L260">
        <f>$G260*4</f>
        <v/>
      </c>
      <c r="M260">
        <f>$G260*4</f>
        <v/>
      </c>
      <c r="N260">
        <f>Cfg_n12*H260+Cfg_n18*I260+Cfg_n20*J260+Cfg_n22*K260+Cfg_n36*L260+Cfg_n40*M260</f>
        <v/>
      </c>
      <c r="O260" s="16">
        <f>IFERROR(VLOOKUP($E260,LISTINO!$B:$G,6,FALSE),0)</f>
        <v/>
      </c>
      <c r="P260" s="16">
        <f>$N260*$O260</f>
        <v/>
      </c>
      <c r="Q260">
        <f>IF($N260&gt;0,"SI","")</f>
        <v/>
      </c>
    </row>
    <row r="261">
      <c r="A261">
        <f>'DISTINTA COMPLETA'!A261</f>
        <v/>
      </c>
      <c r="B261">
        <f>'DISTINTA COMPLETA'!B261</f>
        <v/>
      </c>
      <c r="C261">
        <f>'DISTINTA COMPLETA'!D261</f>
        <v/>
      </c>
      <c r="D261">
        <f>'DISTINTA COMPLETA'!E261</f>
        <v/>
      </c>
      <c r="E261">
        <f>'DISTINTA COMPLETA'!D261</f>
        <v/>
      </c>
      <c r="F261" t="inlineStr">
        <is>
          <t>-</t>
        </is>
      </c>
      <c r="G261">
        <f>1</f>
        <v/>
      </c>
      <c r="H261">
        <f>$G261*4</f>
        <v/>
      </c>
      <c r="I261">
        <f>$G261*4</f>
        <v/>
      </c>
      <c r="J261">
        <f>$G261*4</f>
        <v/>
      </c>
      <c r="K261">
        <f>$G261*4</f>
        <v/>
      </c>
      <c r="L261">
        <f>$G261*4</f>
        <v/>
      </c>
      <c r="M261">
        <f>$G261*4</f>
        <v/>
      </c>
      <c r="N261">
        <f>Cfg_n12*H261+Cfg_n18*I261+Cfg_n20*J261+Cfg_n22*K261+Cfg_n36*L261+Cfg_n40*M261</f>
        <v/>
      </c>
      <c r="O261" s="16">
        <f>IFERROR(VLOOKUP($E261,LISTINO!$B:$G,6,FALSE),0)</f>
        <v/>
      </c>
      <c r="P261" s="16">
        <f>$N261*$O261</f>
        <v/>
      </c>
      <c r="Q261">
        <f>IF($N261&gt;0,"SI","")</f>
        <v/>
      </c>
    </row>
    <row r="262">
      <c r="A262">
        <f>'DISTINTA COMPLETA'!A262</f>
        <v/>
      </c>
      <c r="B262">
        <f>'DISTINTA COMPLETA'!B262</f>
        <v/>
      </c>
      <c r="C262">
        <f>'DISTINTA COMPLETA'!D262</f>
        <v/>
      </c>
      <c r="D262">
        <f>'DISTINTA COMPLETA'!E262</f>
        <v/>
      </c>
      <c r="E262">
        <f>'DISTINTA COMPLETA'!D262</f>
        <v/>
      </c>
      <c r="F262" t="inlineStr">
        <is>
          <t>-</t>
        </is>
      </c>
      <c r="G262">
        <f>1</f>
        <v/>
      </c>
      <c r="H262">
        <f>$G262*4</f>
        <v/>
      </c>
      <c r="I262">
        <f>$G262*4</f>
        <v/>
      </c>
      <c r="J262">
        <f>$G262*4</f>
        <v/>
      </c>
      <c r="K262">
        <f>$G262*4</f>
        <v/>
      </c>
      <c r="L262">
        <f>$G262*4</f>
        <v/>
      </c>
      <c r="M262">
        <f>$G262*4</f>
        <v/>
      </c>
      <c r="N262">
        <f>Cfg_n12*H262+Cfg_n18*I262+Cfg_n20*J262+Cfg_n22*K262+Cfg_n36*L262+Cfg_n40*M262</f>
        <v/>
      </c>
      <c r="O262" s="16">
        <f>IFERROR(VLOOKUP($E262,LISTINO!$B:$G,6,FALSE),0)</f>
        <v/>
      </c>
      <c r="P262" s="16">
        <f>$N262*$O262</f>
        <v/>
      </c>
      <c r="Q262">
        <f>IF($N262&gt;0,"SI","")</f>
        <v/>
      </c>
    </row>
    <row r="263">
      <c r="A263">
        <f>'DISTINTA COMPLETA'!A263</f>
        <v/>
      </c>
      <c r="B263">
        <f>'DISTINTA COMPLETA'!B263</f>
        <v/>
      </c>
      <c r="C263">
        <f>'DISTINTA COMPLETA'!D263</f>
        <v/>
      </c>
      <c r="D263">
        <f>'DISTINTA COMPLETA'!E263</f>
        <v/>
      </c>
      <c r="E263">
        <f>'DISTINTA COMPLETA'!D263</f>
        <v/>
      </c>
      <c r="F263" t="inlineStr">
        <is>
          <t>EXCL</t>
        </is>
      </c>
      <c r="G263">
        <f>0</f>
        <v/>
      </c>
      <c r="H263">
        <f>$G263*0</f>
        <v/>
      </c>
      <c r="I263">
        <f>$G263*0</f>
        <v/>
      </c>
      <c r="J263">
        <f>$G263*0</f>
        <v/>
      </c>
      <c r="K263">
        <f>$G263*0</f>
        <v/>
      </c>
      <c r="L263">
        <f>$G263*0</f>
        <v/>
      </c>
      <c r="M263">
        <f>$G263*0</f>
        <v/>
      </c>
      <c r="N263">
        <f>Cfg_n12*H263+Cfg_n18*I263+Cfg_n20*J263+Cfg_n22*K263+Cfg_n36*L263+Cfg_n40*M263</f>
        <v/>
      </c>
      <c r="O263" s="16">
        <f>IFERROR(VLOOKUP($E263,LISTINO!$B:$G,6,FALSE),0)</f>
        <v/>
      </c>
      <c r="P263" s="16">
        <f>$N263*$O263</f>
        <v/>
      </c>
      <c r="Q263">
        <f>IF($N263&gt;0,"SI","")</f>
        <v/>
      </c>
    </row>
    <row r="264">
      <c r="A264">
        <f>'DISTINTA COMPLETA'!A264</f>
        <v/>
      </c>
      <c r="B264">
        <f>'DISTINTA COMPLETA'!B264</f>
        <v/>
      </c>
      <c r="C264">
        <f>'DISTINTA COMPLETA'!D264</f>
        <v/>
      </c>
      <c r="D264">
        <f>'DISTINTA COMPLETA'!E264</f>
        <v/>
      </c>
      <c r="E264">
        <f>'DISTINTA COMPLETA'!D264</f>
        <v/>
      </c>
      <c r="F264" t="inlineStr">
        <is>
          <t>EXCL</t>
        </is>
      </c>
      <c r="G264">
        <f>0</f>
        <v/>
      </c>
      <c r="H264">
        <f>$G264*0</f>
        <v/>
      </c>
      <c r="I264">
        <f>$G264*0</f>
        <v/>
      </c>
      <c r="J264">
        <f>$G264*0</f>
        <v/>
      </c>
      <c r="K264">
        <f>$G264*0</f>
        <v/>
      </c>
      <c r="L264">
        <f>$G264*0</f>
        <v/>
      </c>
      <c r="M264">
        <f>$G264*0</f>
        <v/>
      </c>
      <c r="N264">
        <f>Cfg_n12*H264+Cfg_n18*I264+Cfg_n20*J264+Cfg_n22*K264+Cfg_n36*L264+Cfg_n40*M264</f>
        <v/>
      </c>
      <c r="O264" s="16">
        <f>IFERROR(VLOOKUP($E264,LISTINO!$B:$G,6,FALSE),0)</f>
        <v/>
      </c>
      <c r="P264" s="16">
        <f>$N264*$O264</f>
        <v/>
      </c>
      <c r="Q264">
        <f>IF($N264&gt;0,"SI","")</f>
        <v/>
      </c>
    </row>
    <row r="265">
      <c r="A265">
        <f>'DISTINTA COMPLETA'!A265</f>
        <v/>
      </c>
      <c r="B265">
        <f>'DISTINTA COMPLETA'!B265</f>
        <v/>
      </c>
      <c r="C265">
        <f>'DISTINTA COMPLETA'!D265</f>
        <v/>
      </c>
      <c r="D265">
        <f>'DISTINTA COMPLETA'!E265</f>
        <v/>
      </c>
      <c r="E265">
        <f>'DISTINTA COMPLETA'!D265</f>
        <v/>
      </c>
      <c r="F265" t="inlineStr">
        <is>
          <t>EXCL</t>
        </is>
      </c>
      <c r="G265">
        <f>0</f>
        <v/>
      </c>
      <c r="H265">
        <f>$G265*0</f>
        <v/>
      </c>
      <c r="I265">
        <f>$G265*0</f>
        <v/>
      </c>
      <c r="J265">
        <f>$G265*0</f>
        <v/>
      </c>
      <c r="K265">
        <f>$G265*0</f>
        <v/>
      </c>
      <c r="L265">
        <f>$G265*0</f>
        <v/>
      </c>
      <c r="M265">
        <f>$G265*0</f>
        <v/>
      </c>
      <c r="N265">
        <f>Cfg_n12*H265+Cfg_n18*I265+Cfg_n20*J265+Cfg_n22*K265+Cfg_n36*L265+Cfg_n40*M265</f>
        <v/>
      </c>
      <c r="O265" s="16">
        <f>IFERROR(VLOOKUP($E265,LISTINO!$B:$G,6,FALSE),0)</f>
        <v/>
      </c>
      <c r="P265" s="16">
        <f>$N265*$O265</f>
        <v/>
      </c>
      <c r="Q265">
        <f>IF($N265&gt;0,"SI","")</f>
        <v/>
      </c>
    </row>
    <row r="266">
      <c r="A266">
        <f>'DISTINTA COMPLETA'!A266</f>
        <v/>
      </c>
      <c r="B266">
        <f>'DISTINTA COMPLETA'!B266</f>
        <v/>
      </c>
      <c r="C266">
        <f>'DISTINTA COMPLETA'!D266</f>
        <v/>
      </c>
      <c r="D266">
        <f>'DISTINTA COMPLETA'!E266</f>
        <v/>
      </c>
      <c r="E266">
        <f>'DISTINTA COMPLETA'!D266</f>
        <v/>
      </c>
      <c r="F266" t="inlineStr">
        <is>
          <t>EXCL</t>
        </is>
      </c>
      <c r="G266">
        <f>0</f>
        <v/>
      </c>
      <c r="H266">
        <f>$G266*0</f>
        <v/>
      </c>
      <c r="I266">
        <f>$G266*0</f>
        <v/>
      </c>
      <c r="J266">
        <f>$G266*0</f>
        <v/>
      </c>
      <c r="K266">
        <f>$G266*0</f>
        <v/>
      </c>
      <c r="L266">
        <f>$G266*0</f>
        <v/>
      </c>
      <c r="M266">
        <f>$G266*0</f>
        <v/>
      </c>
      <c r="N266">
        <f>Cfg_n12*H266+Cfg_n18*I266+Cfg_n20*J266+Cfg_n22*K266+Cfg_n36*L266+Cfg_n40*M266</f>
        <v/>
      </c>
      <c r="O266" s="16">
        <f>IFERROR(VLOOKUP($E266,LISTINO!$B:$G,6,FALSE),0)</f>
        <v/>
      </c>
      <c r="P266" s="16">
        <f>$N266*$O266</f>
        <v/>
      </c>
      <c r="Q266">
        <f>IF($N266&gt;0,"SI","")</f>
        <v/>
      </c>
    </row>
    <row r="267">
      <c r="A267">
        <f>'DISTINTA COMPLETA'!A267</f>
        <v/>
      </c>
      <c r="B267">
        <f>'DISTINTA COMPLETA'!B267</f>
        <v/>
      </c>
      <c r="C267">
        <f>'DISTINTA COMPLETA'!D267</f>
        <v/>
      </c>
      <c r="D267">
        <f>'DISTINTA COMPLETA'!E267</f>
        <v/>
      </c>
      <c r="E267">
        <f>'DISTINTA COMPLETA'!D267</f>
        <v/>
      </c>
      <c r="F267" t="inlineStr">
        <is>
          <t>EXCL</t>
        </is>
      </c>
      <c r="G267">
        <f>0</f>
        <v/>
      </c>
      <c r="H267">
        <f>$G267*0</f>
        <v/>
      </c>
      <c r="I267">
        <f>$G267*0</f>
        <v/>
      </c>
      <c r="J267">
        <f>$G267*0</f>
        <v/>
      </c>
      <c r="K267">
        <f>$G267*0</f>
        <v/>
      </c>
      <c r="L267">
        <f>$G267*0</f>
        <v/>
      </c>
      <c r="M267">
        <f>$G267*0</f>
        <v/>
      </c>
      <c r="N267">
        <f>Cfg_n12*H267+Cfg_n18*I267+Cfg_n20*J267+Cfg_n22*K267+Cfg_n36*L267+Cfg_n40*M267</f>
        <v/>
      </c>
      <c r="O267" s="16">
        <f>IFERROR(VLOOKUP($E267,LISTINO!$B:$G,6,FALSE),0)</f>
        <v/>
      </c>
      <c r="P267" s="16">
        <f>$N267*$O267</f>
        <v/>
      </c>
      <c r="Q267">
        <f>IF($N267&gt;0,"SI","")</f>
        <v/>
      </c>
    </row>
    <row r="268">
      <c r="A268">
        <f>'DISTINTA COMPLETA'!A268</f>
        <v/>
      </c>
      <c r="B268">
        <f>'DISTINTA COMPLETA'!B268</f>
        <v/>
      </c>
      <c r="C268">
        <f>'DISTINTA COMPLETA'!D268</f>
        <v/>
      </c>
      <c r="D268">
        <f>'DISTINTA COMPLETA'!E268</f>
        <v/>
      </c>
      <c r="E268">
        <f>'DISTINTA COMPLETA'!D268</f>
        <v/>
      </c>
      <c r="F268" t="inlineStr">
        <is>
          <t>EXCL</t>
        </is>
      </c>
      <c r="G268">
        <f>0</f>
        <v/>
      </c>
      <c r="H268">
        <f>$G268*0</f>
        <v/>
      </c>
      <c r="I268">
        <f>$G268*0</f>
        <v/>
      </c>
      <c r="J268">
        <f>$G268*0</f>
        <v/>
      </c>
      <c r="K268">
        <f>$G268*0</f>
        <v/>
      </c>
      <c r="L268">
        <f>$G268*0</f>
        <v/>
      </c>
      <c r="M268">
        <f>$G268*0</f>
        <v/>
      </c>
      <c r="N268">
        <f>Cfg_n12*H268+Cfg_n18*I268+Cfg_n20*J268+Cfg_n22*K268+Cfg_n36*L268+Cfg_n40*M268</f>
        <v/>
      </c>
      <c r="O268" s="16">
        <f>IFERROR(VLOOKUP($E268,LISTINO!$B:$G,6,FALSE),0)</f>
        <v/>
      </c>
      <c r="P268" s="16">
        <f>$N268*$O268</f>
        <v/>
      </c>
      <c r="Q268">
        <f>IF($N268&gt;0,"SI","")</f>
        <v/>
      </c>
    </row>
    <row r="269">
      <c r="A269">
        <f>'DISTINTA COMPLETA'!A269</f>
        <v/>
      </c>
      <c r="B269">
        <f>'DISTINTA COMPLETA'!B269</f>
        <v/>
      </c>
      <c r="C269">
        <f>'DISTINTA COMPLETA'!D269</f>
        <v/>
      </c>
      <c r="D269">
        <f>'DISTINTA COMPLETA'!E269</f>
        <v/>
      </c>
      <c r="E269">
        <f>'DISTINTA COMPLETA'!D269</f>
        <v/>
      </c>
      <c r="F269" t="inlineStr">
        <is>
          <t>EXCL</t>
        </is>
      </c>
      <c r="G269">
        <f>0</f>
        <v/>
      </c>
      <c r="H269">
        <f>$G269*0</f>
        <v/>
      </c>
      <c r="I269">
        <f>$G269*0</f>
        <v/>
      </c>
      <c r="J269">
        <f>$G269*0</f>
        <v/>
      </c>
      <c r="K269">
        <f>$G269*0</f>
        <v/>
      </c>
      <c r="L269">
        <f>$G269*0</f>
        <v/>
      </c>
      <c r="M269">
        <f>$G269*0</f>
        <v/>
      </c>
      <c r="N269">
        <f>Cfg_n12*H269+Cfg_n18*I269+Cfg_n20*J269+Cfg_n22*K269+Cfg_n36*L269+Cfg_n40*M269</f>
        <v/>
      </c>
      <c r="O269" s="16">
        <f>IFERROR(VLOOKUP($E269,LISTINO!$B:$G,6,FALSE),0)</f>
        <v/>
      </c>
      <c r="P269" s="16">
        <f>$N269*$O269</f>
        <v/>
      </c>
      <c r="Q269">
        <f>IF($N269&gt;0,"SI","")</f>
        <v/>
      </c>
    </row>
    <row r="270">
      <c r="A270">
        <f>'DISTINTA COMPLETA'!A270</f>
        <v/>
      </c>
      <c r="B270">
        <f>'DISTINTA COMPLETA'!B270</f>
        <v/>
      </c>
      <c r="C270">
        <f>'DISTINTA COMPLETA'!D270</f>
        <v/>
      </c>
      <c r="D270">
        <f>'DISTINTA COMPLETA'!E270</f>
        <v/>
      </c>
      <c r="E270">
        <f>'DISTINTA COMPLETA'!D270</f>
        <v/>
      </c>
      <c r="F270" t="inlineStr">
        <is>
          <t>EXCL</t>
        </is>
      </c>
      <c r="G270">
        <f>0</f>
        <v/>
      </c>
      <c r="H270">
        <f>$G270*0</f>
        <v/>
      </c>
      <c r="I270">
        <f>$G270*0</f>
        <v/>
      </c>
      <c r="J270">
        <f>$G270*0</f>
        <v/>
      </c>
      <c r="K270">
        <f>$G270*0</f>
        <v/>
      </c>
      <c r="L270">
        <f>$G270*0</f>
        <v/>
      </c>
      <c r="M270">
        <f>$G270*0</f>
        <v/>
      </c>
      <c r="N270">
        <f>Cfg_n12*H270+Cfg_n18*I270+Cfg_n20*J270+Cfg_n22*K270+Cfg_n36*L270+Cfg_n40*M270</f>
        <v/>
      </c>
      <c r="O270" s="16">
        <f>IFERROR(VLOOKUP($E270,LISTINO!$B:$G,6,FALSE),0)</f>
        <v/>
      </c>
      <c r="P270" s="16">
        <f>$N270*$O270</f>
        <v/>
      </c>
      <c r="Q270">
        <f>IF($N270&gt;0,"SI","")</f>
        <v/>
      </c>
    </row>
    <row r="271">
      <c r="A271">
        <f>'DISTINTA COMPLETA'!A271</f>
        <v/>
      </c>
      <c r="B271">
        <f>'DISTINTA COMPLETA'!B271</f>
        <v/>
      </c>
      <c r="C271">
        <f>'DISTINTA COMPLETA'!D271</f>
        <v/>
      </c>
      <c r="D271">
        <f>'DISTINTA COMPLETA'!E271</f>
        <v/>
      </c>
      <c r="E271">
        <f>'DISTINTA COMPLETA'!D271</f>
        <v/>
      </c>
      <c r="F271" t="inlineStr">
        <is>
          <t>EXCL</t>
        </is>
      </c>
      <c r="G271">
        <f>0</f>
        <v/>
      </c>
      <c r="H271">
        <f>$G271*0</f>
        <v/>
      </c>
      <c r="I271">
        <f>$G271*0</f>
        <v/>
      </c>
      <c r="J271">
        <f>$G271*0</f>
        <v/>
      </c>
      <c r="K271">
        <f>$G271*0</f>
        <v/>
      </c>
      <c r="L271">
        <f>$G271*0</f>
        <v/>
      </c>
      <c r="M271">
        <f>$G271*0</f>
        <v/>
      </c>
      <c r="N271">
        <f>Cfg_n12*H271+Cfg_n18*I271+Cfg_n20*J271+Cfg_n22*K271+Cfg_n36*L271+Cfg_n40*M271</f>
        <v/>
      </c>
      <c r="O271" s="16">
        <f>IFERROR(VLOOKUP($E271,LISTINO!$B:$G,6,FALSE),0)</f>
        <v/>
      </c>
      <c r="P271" s="16">
        <f>$N271*$O271</f>
        <v/>
      </c>
      <c r="Q271">
        <f>IF($N271&gt;0,"SI","")</f>
        <v/>
      </c>
    </row>
    <row r="272">
      <c r="A272">
        <f>'DISTINTA COMPLETA'!A272</f>
        <v/>
      </c>
      <c r="B272">
        <f>'DISTINTA COMPLETA'!B272</f>
        <v/>
      </c>
      <c r="C272">
        <f>'DISTINTA COMPLETA'!D272</f>
        <v/>
      </c>
      <c r="D272">
        <f>'DISTINTA COMPLETA'!E272</f>
        <v/>
      </c>
      <c r="E272">
        <f>'DISTINTA COMPLETA'!D272</f>
        <v/>
      </c>
      <c r="F272" t="inlineStr">
        <is>
          <t>EXCL</t>
        </is>
      </c>
      <c r="G272">
        <f>0</f>
        <v/>
      </c>
      <c r="H272">
        <f>$G272*0</f>
        <v/>
      </c>
      <c r="I272">
        <f>$G272*0</f>
        <v/>
      </c>
      <c r="J272">
        <f>$G272*0</f>
        <v/>
      </c>
      <c r="K272">
        <f>$G272*0</f>
        <v/>
      </c>
      <c r="L272">
        <f>$G272*0</f>
        <v/>
      </c>
      <c r="M272">
        <f>$G272*0</f>
        <v/>
      </c>
      <c r="N272">
        <f>Cfg_n12*H272+Cfg_n18*I272+Cfg_n20*J272+Cfg_n22*K272+Cfg_n36*L272+Cfg_n40*M272</f>
        <v/>
      </c>
      <c r="O272" s="16">
        <f>IFERROR(VLOOKUP($E272,LISTINO!$B:$G,6,FALSE),0)</f>
        <v/>
      </c>
      <c r="P272" s="16">
        <f>$N272*$O272</f>
        <v/>
      </c>
      <c r="Q272">
        <f>IF($N272&gt;0,"SI","")</f>
        <v/>
      </c>
    </row>
    <row r="273">
      <c r="A273">
        <f>'DISTINTA COMPLETA'!A273</f>
        <v/>
      </c>
      <c r="B273">
        <f>'DISTINTA COMPLETA'!B273</f>
        <v/>
      </c>
      <c r="C273">
        <f>'DISTINTA COMPLETA'!D273</f>
        <v/>
      </c>
      <c r="D273">
        <f>'DISTINTA COMPLETA'!E273</f>
        <v/>
      </c>
      <c r="E273">
        <f>'DISTINTA COMPLETA'!D273</f>
        <v/>
      </c>
      <c r="F273" t="inlineStr">
        <is>
          <t>EXCL</t>
        </is>
      </c>
      <c r="G273">
        <f>0</f>
        <v/>
      </c>
      <c r="H273">
        <f>$G273*0</f>
        <v/>
      </c>
      <c r="I273">
        <f>$G273*0</f>
        <v/>
      </c>
      <c r="J273">
        <f>$G273*0</f>
        <v/>
      </c>
      <c r="K273">
        <f>$G273*0</f>
        <v/>
      </c>
      <c r="L273">
        <f>$G273*0</f>
        <v/>
      </c>
      <c r="M273">
        <f>$G273*0</f>
        <v/>
      </c>
      <c r="N273">
        <f>Cfg_n12*H273+Cfg_n18*I273+Cfg_n20*J273+Cfg_n22*K273+Cfg_n36*L273+Cfg_n40*M273</f>
        <v/>
      </c>
      <c r="O273" s="16">
        <f>IFERROR(VLOOKUP($E273,LISTINO!$B:$G,6,FALSE),0)</f>
        <v/>
      </c>
      <c r="P273" s="16">
        <f>$N273*$O273</f>
        <v/>
      </c>
      <c r="Q273">
        <f>IF($N273&gt;0,"SI","")</f>
        <v/>
      </c>
    </row>
    <row r="274">
      <c r="A274">
        <f>'DISTINTA COMPLETA'!A274</f>
        <v/>
      </c>
      <c r="B274">
        <f>'DISTINTA COMPLETA'!B274</f>
        <v/>
      </c>
      <c r="C274">
        <f>'DISTINTA COMPLETA'!D274</f>
        <v/>
      </c>
      <c r="D274">
        <f>'DISTINTA COMPLETA'!E274</f>
        <v/>
      </c>
      <c r="E274">
        <f>'DISTINTA COMPLETA'!D274</f>
        <v/>
      </c>
      <c r="F274" t="inlineStr">
        <is>
          <t>EXCL</t>
        </is>
      </c>
      <c r="G274">
        <f>0</f>
        <v/>
      </c>
      <c r="H274">
        <f>$G274*0</f>
        <v/>
      </c>
      <c r="I274">
        <f>$G274*0</f>
        <v/>
      </c>
      <c r="J274">
        <f>$G274*0</f>
        <v/>
      </c>
      <c r="K274">
        <f>$G274*0</f>
        <v/>
      </c>
      <c r="L274">
        <f>$G274*0</f>
        <v/>
      </c>
      <c r="M274">
        <f>$G274*0</f>
        <v/>
      </c>
      <c r="N274">
        <f>Cfg_n12*H274+Cfg_n18*I274+Cfg_n20*J274+Cfg_n22*K274+Cfg_n36*L274+Cfg_n40*M274</f>
        <v/>
      </c>
      <c r="O274" s="16">
        <f>IFERROR(VLOOKUP($E274,LISTINO!$B:$G,6,FALSE),0)</f>
        <v/>
      </c>
      <c r="P274" s="16">
        <f>$N274*$O274</f>
        <v/>
      </c>
      <c r="Q274">
        <f>IF($N274&gt;0,"SI","")</f>
        <v/>
      </c>
    </row>
    <row r="275">
      <c r="A275">
        <f>'DISTINTA COMPLETA'!A275</f>
        <v/>
      </c>
      <c r="B275">
        <f>'DISTINTA COMPLETA'!B275</f>
        <v/>
      </c>
      <c r="C275">
        <f>'DISTINTA COMPLETA'!D275</f>
        <v/>
      </c>
      <c r="D275">
        <f>'DISTINTA COMPLETA'!E275</f>
        <v/>
      </c>
      <c r="E275">
        <f>'DISTINTA COMPLETA'!D275</f>
        <v/>
      </c>
      <c r="F275" t="inlineStr">
        <is>
          <t>EXCL</t>
        </is>
      </c>
      <c r="G275">
        <f>0</f>
        <v/>
      </c>
      <c r="H275">
        <f>$G275*0</f>
        <v/>
      </c>
      <c r="I275">
        <f>$G275*0</f>
        <v/>
      </c>
      <c r="J275">
        <f>$G275*0</f>
        <v/>
      </c>
      <c r="K275">
        <f>$G275*0</f>
        <v/>
      </c>
      <c r="L275">
        <f>$G275*0</f>
        <v/>
      </c>
      <c r="M275">
        <f>$G275*0</f>
        <v/>
      </c>
      <c r="N275">
        <f>Cfg_n12*H275+Cfg_n18*I275+Cfg_n20*J275+Cfg_n22*K275+Cfg_n36*L275+Cfg_n40*M275</f>
        <v/>
      </c>
      <c r="O275" s="16">
        <f>IFERROR(VLOOKUP($E275,LISTINO!$B:$G,6,FALSE),0)</f>
        <v/>
      </c>
      <c r="P275" s="16">
        <f>$N275*$O275</f>
        <v/>
      </c>
      <c r="Q275">
        <f>IF($N275&gt;0,"SI","")</f>
        <v/>
      </c>
    </row>
    <row r="276">
      <c r="A276">
        <f>'DISTINTA COMPLETA'!A276</f>
        <v/>
      </c>
      <c r="B276">
        <f>'DISTINTA COMPLETA'!B276</f>
        <v/>
      </c>
      <c r="C276">
        <f>'DISTINTA COMPLETA'!D276</f>
        <v/>
      </c>
      <c r="D276">
        <f>'DISTINTA COMPLETA'!E276</f>
        <v/>
      </c>
      <c r="E276">
        <f>'DISTINTA COMPLETA'!D276</f>
        <v/>
      </c>
      <c r="F276" t="inlineStr">
        <is>
          <t>EXCL</t>
        </is>
      </c>
      <c r="G276">
        <f>0</f>
        <v/>
      </c>
      <c r="H276">
        <f>$G276*0</f>
        <v/>
      </c>
      <c r="I276">
        <f>$G276*0</f>
        <v/>
      </c>
      <c r="J276">
        <f>$G276*0</f>
        <v/>
      </c>
      <c r="K276">
        <f>$G276*0</f>
        <v/>
      </c>
      <c r="L276">
        <f>$G276*0</f>
        <v/>
      </c>
      <c r="M276">
        <f>$G276*0</f>
        <v/>
      </c>
      <c r="N276">
        <f>Cfg_n12*H276+Cfg_n18*I276+Cfg_n20*J276+Cfg_n22*K276+Cfg_n36*L276+Cfg_n40*M276</f>
        <v/>
      </c>
      <c r="O276" s="16">
        <f>IFERROR(VLOOKUP($E276,LISTINO!$B:$G,6,FALSE),0)</f>
        <v/>
      </c>
      <c r="P276" s="16">
        <f>$N276*$O276</f>
        <v/>
      </c>
      <c r="Q276">
        <f>IF($N276&gt;0,"SI","")</f>
        <v/>
      </c>
    </row>
    <row r="277">
      <c r="A277">
        <f>'DISTINTA COMPLETA'!A277</f>
        <v/>
      </c>
      <c r="B277">
        <f>'DISTINTA COMPLETA'!B277</f>
        <v/>
      </c>
      <c r="C277">
        <f>'DISTINTA COMPLETA'!D277</f>
        <v/>
      </c>
      <c r="D277">
        <f>'DISTINTA COMPLETA'!E277</f>
        <v/>
      </c>
      <c r="E277">
        <f>'DISTINTA COMPLETA'!D277</f>
        <v/>
      </c>
      <c r="F277" t="inlineStr">
        <is>
          <t>EXCL</t>
        </is>
      </c>
      <c r="G277">
        <f>0</f>
        <v/>
      </c>
      <c r="H277">
        <f>$G277*0</f>
        <v/>
      </c>
      <c r="I277">
        <f>$G277*0</f>
        <v/>
      </c>
      <c r="J277">
        <f>$G277*0</f>
        <v/>
      </c>
      <c r="K277">
        <f>$G277*0</f>
        <v/>
      </c>
      <c r="L277">
        <f>$G277*0</f>
        <v/>
      </c>
      <c r="M277">
        <f>$G277*0</f>
        <v/>
      </c>
      <c r="N277">
        <f>Cfg_n12*H277+Cfg_n18*I277+Cfg_n20*J277+Cfg_n22*K277+Cfg_n36*L277+Cfg_n40*M277</f>
        <v/>
      </c>
      <c r="O277" s="16">
        <f>IFERROR(VLOOKUP($E277,LISTINO!$B:$G,6,FALSE),0)</f>
        <v/>
      </c>
      <c r="P277" s="16">
        <f>$N277*$O277</f>
        <v/>
      </c>
      <c r="Q277">
        <f>IF($N277&gt;0,"SI","")</f>
        <v/>
      </c>
    </row>
    <row r="278">
      <c r="A278">
        <f>'DISTINTA COMPLETA'!A278</f>
        <v/>
      </c>
      <c r="B278">
        <f>'DISTINTA COMPLETA'!B278</f>
        <v/>
      </c>
      <c r="C278">
        <f>'DISTINTA COMPLETA'!D278</f>
        <v/>
      </c>
      <c r="D278">
        <f>'DISTINTA COMPLETA'!E278</f>
        <v/>
      </c>
      <c r="E278">
        <f>'DISTINTA COMPLETA'!D278</f>
        <v/>
      </c>
      <c r="F278" t="inlineStr">
        <is>
          <t>EXCL</t>
        </is>
      </c>
      <c r="G278">
        <f>0</f>
        <v/>
      </c>
      <c r="H278">
        <f>$G278*0</f>
        <v/>
      </c>
      <c r="I278">
        <f>$G278*0</f>
        <v/>
      </c>
      <c r="J278">
        <f>$G278*0</f>
        <v/>
      </c>
      <c r="K278">
        <f>$G278*0</f>
        <v/>
      </c>
      <c r="L278">
        <f>$G278*0</f>
        <v/>
      </c>
      <c r="M278">
        <f>$G278*0</f>
        <v/>
      </c>
      <c r="N278">
        <f>Cfg_n12*H278+Cfg_n18*I278+Cfg_n20*J278+Cfg_n22*K278+Cfg_n36*L278+Cfg_n40*M278</f>
        <v/>
      </c>
      <c r="O278" s="16">
        <f>IFERROR(VLOOKUP($E278,LISTINO!$B:$G,6,FALSE),0)</f>
        <v/>
      </c>
      <c r="P278" s="16">
        <f>$N278*$O278</f>
        <v/>
      </c>
      <c r="Q278">
        <f>IF($N278&gt;0,"SI","")</f>
        <v/>
      </c>
    </row>
    <row r="279">
      <c r="A279">
        <f>'DISTINTA COMPLETA'!A279</f>
        <v/>
      </c>
      <c r="B279">
        <f>'DISTINTA COMPLETA'!B279</f>
        <v/>
      </c>
      <c r="C279">
        <f>'DISTINTA COMPLETA'!D279</f>
        <v/>
      </c>
      <c r="D279">
        <f>'DISTINTA COMPLETA'!E279</f>
        <v/>
      </c>
      <c r="E279">
        <f>'DISTINTA COMPLETA'!D279</f>
        <v/>
      </c>
      <c r="F279" t="inlineStr">
        <is>
          <t>EXCL</t>
        </is>
      </c>
      <c r="G279">
        <f>0</f>
        <v/>
      </c>
      <c r="H279">
        <f>$G279*0</f>
        <v/>
      </c>
      <c r="I279">
        <f>$G279*0</f>
        <v/>
      </c>
      <c r="J279">
        <f>$G279*0</f>
        <v/>
      </c>
      <c r="K279">
        <f>$G279*0</f>
        <v/>
      </c>
      <c r="L279">
        <f>$G279*0</f>
        <v/>
      </c>
      <c r="M279">
        <f>$G279*0</f>
        <v/>
      </c>
      <c r="N279">
        <f>Cfg_n12*H279+Cfg_n18*I279+Cfg_n20*J279+Cfg_n22*K279+Cfg_n36*L279+Cfg_n40*M279</f>
        <v/>
      </c>
      <c r="O279" s="16">
        <f>IFERROR(VLOOKUP($E279,LISTINO!$B:$G,6,FALSE),0)</f>
        <v/>
      </c>
      <c r="P279" s="16">
        <f>$N279*$O279</f>
        <v/>
      </c>
      <c r="Q279">
        <f>IF($N279&gt;0,"SI","")</f>
        <v/>
      </c>
    </row>
    <row r="280">
      <c r="A280">
        <f>'DISTINTA COMPLETA'!A280</f>
        <v/>
      </c>
      <c r="B280">
        <f>'DISTINTA COMPLETA'!B280</f>
        <v/>
      </c>
      <c r="C280">
        <f>'DISTINTA COMPLETA'!D280</f>
        <v/>
      </c>
      <c r="D280">
        <f>'DISTINTA COMPLETA'!E280</f>
        <v/>
      </c>
      <c r="E280">
        <f>'DISTINTA COMPLETA'!D280</f>
        <v/>
      </c>
      <c r="F280" t="inlineStr">
        <is>
          <t>EXCL</t>
        </is>
      </c>
      <c r="G280">
        <f>0</f>
        <v/>
      </c>
      <c r="H280">
        <f>$G280*0</f>
        <v/>
      </c>
      <c r="I280">
        <f>$G280*0</f>
        <v/>
      </c>
      <c r="J280">
        <f>$G280*0</f>
        <v/>
      </c>
      <c r="K280">
        <f>$G280*0</f>
        <v/>
      </c>
      <c r="L280">
        <f>$G280*0</f>
        <v/>
      </c>
      <c r="M280">
        <f>$G280*0</f>
        <v/>
      </c>
      <c r="N280">
        <f>Cfg_n12*H280+Cfg_n18*I280+Cfg_n20*J280+Cfg_n22*K280+Cfg_n36*L280+Cfg_n40*M280</f>
        <v/>
      </c>
      <c r="O280" s="16">
        <f>IFERROR(VLOOKUP($E280,LISTINO!$B:$G,6,FALSE),0)</f>
        <v/>
      </c>
      <c r="P280" s="16">
        <f>$N280*$O280</f>
        <v/>
      </c>
      <c r="Q280">
        <f>IF($N280&gt;0,"SI","")</f>
        <v/>
      </c>
    </row>
    <row r="281">
      <c r="A281">
        <f>'DISTINTA COMPLETA'!A281</f>
        <v/>
      </c>
      <c r="B281">
        <f>'DISTINTA COMPLETA'!B281</f>
        <v/>
      </c>
      <c r="C281">
        <f>'DISTINTA COMPLETA'!D281</f>
        <v/>
      </c>
      <c r="D281">
        <f>'DISTINTA COMPLETA'!E281</f>
        <v/>
      </c>
      <c r="E281">
        <f>'DISTINTA COMPLETA'!D281</f>
        <v/>
      </c>
      <c r="F281" t="inlineStr">
        <is>
          <t>EXCL</t>
        </is>
      </c>
      <c r="G281">
        <f>0</f>
        <v/>
      </c>
      <c r="H281">
        <f>$G281*0</f>
        <v/>
      </c>
      <c r="I281">
        <f>$G281*0</f>
        <v/>
      </c>
      <c r="J281">
        <f>$G281*0</f>
        <v/>
      </c>
      <c r="K281">
        <f>$G281*0</f>
        <v/>
      </c>
      <c r="L281">
        <f>$G281*0</f>
        <v/>
      </c>
      <c r="M281">
        <f>$G281*0</f>
        <v/>
      </c>
      <c r="N281">
        <f>Cfg_n12*H281+Cfg_n18*I281+Cfg_n20*J281+Cfg_n22*K281+Cfg_n36*L281+Cfg_n40*M281</f>
        <v/>
      </c>
      <c r="O281" s="16">
        <f>IFERROR(VLOOKUP($E281,LISTINO!$B:$G,6,FALSE),0)</f>
        <v/>
      </c>
      <c r="P281" s="16">
        <f>$N281*$O281</f>
        <v/>
      </c>
      <c r="Q281">
        <f>IF($N281&gt;0,"SI","")</f>
        <v/>
      </c>
    </row>
    <row r="282">
      <c r="A282">
        <f>'DISTINTA COMPLETA'!A282</f>
        <v/>
      </c>
      <c r="B282">
        <f>'DISTINTA COMPLETA'!B282</f>
        <v/>
      </c>
      <c r="C282">
        <f>'DISTINTA COMPLETA'!D282</f>
        <v/>
      </c>
      <c r="D282">
        <f>'DISTINTA COMPLETA'!E282</f>
        <v/>
      </c>
      <c r="E282">
        <f>'DISTINTA COMPLETA'!D282</f>
        <v/>
      </c>
      <c r="F282" t="inlineStr">
        <is>
          <t>EXCL</t>
        </is>
      </c>
      <c r="G282">
        <f>0</f>
        <v/>
      </c>
      <c r="H282">
        <f>$G282*0</f>
        <v/>
      </c>
      <c r="I282">
        <f>$G282*0</f>
        <v/>
      </c>
      <c r="J282">
        <f>$G282*0</f>
        <v/>
      </c>
      <c r="K282">
        <f>$G282*0</f>
        <v/>
      </c>
      <c r="L282">
        <f>$G282*0</f>
        <v/>
      </c>
      <c r="M282">
        <f>$G282*0</f>
        <v/>
      </c>
      <c r="N282">
        <f>Cfg_n12*H282+Cfg_n18*I282+Cfg_n20*J282+Cfg_n22*K282+Cfg_n36*L282+Cfg_n40*M282</f>
        <v/>
      </c>
      <c r="O282" s="16">
        <f>IFERROR(VLOOKUP($E282,LISTINO!$B:$G,6,FALSE),0)</f>
        <v/>
      </c>
      <c r="P282" s="16">
        <f>$N282*$O282</f>
        <v/>
      </c>
      <c r="Q282">
        <f>IF($N282&gt;0,"SI","")</f>
        <v/>
      </c>
    </row>
    <row r="283">
      <c r="A283">
        <f>'DISTINTA COMPLETA'!A283</f>
        <v/>
      </c>
      <c r="B283">
        <f>'DISTINTA COMPLETA'!B283</f>
        <v/>
      </c>
      <c r="C283">
        <f>'DISTINTA COMPLETA'!D283</f>
        <v/>
      </c>
      <c r="D283">
        <f>'DISTINTA COMPLETA'!E283</f>
        <v/>
      </c>
      <c r="E283">
        <f>'DISTINTA COMPLETA'!D283</f>
        <v/>
      </c>
      <c r="F283" t="inlineStr">
        <is>
          <t>EXCL</t>
        </is>
      </c>
      <c r="G283">
        <f>0</f>
        <v/>
      </c>
      <c r="H283">
        <f>$G283*0</f>
        <v/>
      </c>
      <c r="I283">
        <f>$G283*0</f>
        <v/>
      </c>
      <c r="J283">
        <f>$G283*0</f>
        <v/>
      </c>
      <c r="K283">
        <f>$G283*0</f>
        <v/>
      </c>
      <c r="L283">
        <f>$G283*0</f>
        <v/>
      </c>
      <c r="M283">
        <f>$G283*0</f>
        <v/>
      </c>
      <c r="N283">
        <f>Cfg_n12*H283+Cfg_n18*I283+Cfg_n20*J283+Cfg_n22*K283+Cfg_n36*L283+Cfg_n40*M283</f>
        <v/>
      </c>
      <c r="O283" s="16">
        <f>IFERROR(VLOOKUP($E283,LISTINO!$B:$G,6,FALSE),0)</f>
        <v/>
      </c>
      <c r="P283" s="16">
        <f>$N283*$O283</f>
        <v/>
      </c>
      <c r="Q283">
        <f>IF($N283&gt;0,"SI","")</f>
        <v/>
      </c>
    </row>
    <row r="284">
      <c r="A284">
        <f>'DISTINTA COMPLETA'!A284</f>
        <v/>
      </c>
      <c r="B284">
        <f>'DISTINTA COMPLETA'!B284</f>
        <v/>
      </c>
      <c r="C284">
        <f>'DISTINTA COMPLETA'!D284</f>
        <v/>
      </c>
      <c r="D284">
        <f>'DISTINTA COMPLETA'!E284</f>
        <v/>
      </c>
      <c r="E284">
        <f>'DISTINTA COMPLETA'!D284</f>
        <v/>
      </c>
      <c r="F284" t="inlineStr">
        <is>
          <t>EXCL</t>
        </is>
      </c>
      <c r="G284">
        <f>0</f>
        <v/>
      </c>
      <c r="H284">
        <f>$G284*0</f>
        <v/>
      </c>
      <c r="I284">
        <f>$G284*0</f>
        <v/>
      </c>
      <c r="J284">
        <f>$G284*0</f>
        <v/>
      </c>
      <c r="K284">
        <f>$G284*0</f>
        <v/>
      </c>
      <c r="L284">
        <f>$G284*0</f>
        <v/>
      </c>
      <c r="M284">
        <f>$G284*0</f>
        <v/>
      </c>
      <c r="N284">
        <f>Cfg_n12*H284+Cfg_n18*I284+Cfg_n20*J284+Cfg_n22*K284+Cfg_n36*L284+Cfg_n40*M284</f>
        <v/>
      </c>
      <c r="O284" s="16">
        <f>IFERROR(VLOOKUP($E284,LISTINO!$B:$G,6,FALSE),0)</f>
        <v/>
      </c>
      <c r="P284" s="16">
        <f>$N284*$O284</f>
        <v/>
      </c>
      <c r="Q284">
        <f>IF($N284&gt;0,"SI","")</f>
        <v/>
      </c>
    </row>
    <row r="285">
      <c r="A285">
        <f>'DISTINTA COMPLETA'!A285</f>
        <v/>
      </c>
      <c r="B285">
        <f>'DISTINTA COMPLETA'!B285</f>
        <v/>
      </c>
      <c r="C285">
        <f>'DISTINTA COMPLETA'!D285</f>
        <v/>
      </c>
      <c r="D285">
        <f>'DISTINTA COMPLETA'!E285</f>
        <v/>
      </c>
      <c r="E285">
        <f>'DISTINTA COMPLETA'!D285</f>
        <v/>
      </c>
      <c r="F285" t="inlineStr">
        <is>
          <t>EXCL</t>
        </is>
      </c>
      <c r="G285">
        <f>0</f>
        <v/>
      </c>
      <c r="H285">
        <f>$G285*0</f>
        <v/>
      </c>
      <c r="I285">
        <f>$G285*0</f>
        <v/>
      </c>
      <c r="J285">
        <f>$G285*0</f>
        <v/>
      </c>
      <c r="K285">
        <f>$G285*0</f>
        <v/>
      </c>
      <c r="L285">
        <f>$G285*0</f>
        <v/>
      </c>
      <c r="M285">
        <f>$G285*0</f>
        <v/>
      </c>
      <c r="N285">
        <f>Cfg_n12*H285+Cfg_n18*I285+Cfg_n20*J285+Cfg_n22*K285+Cfg_n36*L285+Cfg_n40*M285</f>
        <v/>
      </c>
      <c r="O285" s="16">
        <f>IFERROR(VLOOKUP($E285,LISTINO!$B:$G,6,FALSE),0)</f>
        <v/>
      </c>
      <c r="P285" s="16">
        <f>$N285*$O285</f>
        <v/>
      </c>
      <c r="Q285">
        <f>IF($N285&gt;0,"SI","")</f>
        <v/>
      </c>
    </row>
    <row r="286">
      <c r="A286">
        <f>'DISTINTA COMPLETA'!A286</f>
        <v/>
      </c>
      <c r="B286">
        <f>'DISTINTA COMPLETA'!B286</f>
        <v/>
      </c>
      <c r="C286">
        <f>'DISTINTA COMPLETA'!D286</f>
        <v/>
      </c>
      <c r="D286">
        <f>'DISTINTA COMPLETA'!E286</f>
        <v/>
      </c>
      <c r="E286">
        <f>'DISTINTA COMPLETA'!D286</f>
        <v/>
      </c>
      <c r="F286" t="inlineStr">
        <is>
          <t>EXCL</t>
        </is>
      </c>
      <c r="G286">
        <f>0</f>
        <v/>
      </c>
      <c r="H286">
        <f>$G286*0</f>
        <v/>
      </c>
      <c r="I286">
        <f>$G286*0</f>
        <v/>
      </c>
      <c r="J286">
        <f>$G286*0</f>
        <v/>
      </c>
      <c r="K286">
        <f>$G286*0</f>
        <v/>
      </c>
      <c r="L286">
        <f>$G286*0</f>
        <v/>
      </c>
      <c r="M286">
        <f>$G286*0</f>
        <v/>
      </c>
      <c r="N286">
        <f>Cfg_n12*H286+Cfg_n18*I286+Cfg_n20*J286+Cfg_n22*K286+Cfg_n36*L286+Cfg_n40*M286</f>
        <v/>
      </c>
      <c r="O286" s="16">
        <f>IFERROR(VLOOKUP($E286,LISTINO!$B:$G,6,FALSE),0)</f>
        <v/>
      </c>
      <c r="P286" s="16">
        <f>$N286*$O286</f>
        <v/>
      </c>
      <c r="Q286">
        <f>IF($N286&gt;0,"SI","")</f>
        <v/>
      </c>
    </row>
    <row r="287">
      <c r="A287">
        <f>'DISTINTA COMPLETA'!A287</f>
        <v/>
      </c>
      <c r="B287">
        <f>'DISTINTA COMPLETA'!B287</f>
        <v/>
      </c>
      <c r="C287">
        <f>'DISTINTA COMPLETA'!D287</f>
        <v/>
      </c>
      <c r="D287">
        <f>'DISTINTA COMPLETA'!E287</f>
        <v/>
      </c>
      <c r="E287">
        <f>'DISTINTA COMPLETA'!D287</f>
        <v/>
      </c>
      <c r="F287" t="inlineStr">
        <is>
          <t>EXCL</t>
        </is>
      </c>
      <c r="G287">
        <f>0</f>
        <v/>
      </c>
      <c r="H287">
        <f>$G287*0</f>
        <v/>
      </c>
      <c r="I287">
        <f>$G287*0</f>
        <v/>
      </c>
      <c r="J287">
        <f>$G287*0</f>
        <v/>
      </c>
      <c r="K287">
        <f>$G287*0</f>
        <v/>
      </c>
      <c r="L287">
        <f>$G287*0</f>
        <v/>
      </c>
      <c r="M287">
        <f>$G287*0</f>
        <v/>
      </c>
      <c r="N287">
        <f>Cfg_n12*H287+Cfg_n18*I287+Cfg_n20*J287+Cfg_n22*K287+Cfg_n36*L287+Cfg_n40*M287</f>
        <v/>
      </c>
      <c r="O287" s="16">
        <f>IFERROR(VLOOKUP($E287,LISTINO!$B:$G,6,FALSE),0)</f>
        <v/>
      </c>
      <c r="P287" s="16">
        <f>$N287*$O287</f>
        <v/>
      </c>
      <c r="Q287">
        <f>IF($N287&gt;0,"SI","")</f>
        <v/>
      </c>
    </row>
    <row r="288">
      <c r="A288">
        <f>'DISTINTA COMPLETA'!A288</f>
        <v/>
      </c>
      <c r="B288">
        <f>'DISTINTA COMPLETA'!B288</f>
        <v/>
      </c>
      <c r="C288">
        <f>'DISTINTA COMPLETA'!D288</f>
        <v/>
      </c>
      <c r="D288">
        <f>'DISTINTA COMPLETA'!E288</f>
        <v/>
      </c>
      <c r="E288">
        <f>'DISTINTA COMPLETA'!D288</f>
        <v/>
      </c>
      <c r="F288" t="inlineStr">
        <is>
          <t>EXCL</t>
        </is>
      </c>
      <c r="G288">
        <f>0</f>
        <v/>
      </c>
      <c r="H288">
        <f>$G288*0</f>
        <v/>
      </c>
      <c r="I288">
        <f>$G288*0</f>
        <v/>
      </c>
      <c r="J288">
        <f>$G288*0</f>
        <v/>
      </c>
      <c r="K288">
        <f>$G288*0</f>
        <v/>
      </c>
      <c r="L288">
        <f>$G288*0</f>
        <v/>
      </c>
      <c r="M288">
        <f>$G288*0</f>
        <v/>
      </c>
      <c r="N288">
        <f>Cfg_n12*H288+Cfg_n18*I288+Cfg_n20*J288+Cfg_n22*K288+Cfg_n36*L288+Cfg_n40*M288</f>
        <v/>
      </c>
      <c r="O288" s="16">
        <f>IFERROR(VLOOKUP($E288,LISTINO!$B:$G,6,FALSE),0)</f>
        <v/>
      </c>
      <c r="P288" s="16">
        <f>$N288*$O288</f>
        <v/>
      </c>
      <c r="Q288">
        <f>IF($N288&gt;0,"SI","")</f>
        <v/>
      </c>
    </row>
    <row r="289">
      <c r="A289">
        <f>'DISTINTA COMPLETA'!A289</f>
        <v/>
      </c>
      <c r="B289">
        <f>'DISTINTA COMPLETA'!B289</f>
        <v/>
      </c>
      <c r="C289">
        <f>'DISTINTA COMPLETA'!D289</f>
        <v/>
      </c>
      <c r="D289">
        <f>'DISTINTA COMPLETA'!E289</f>
        <v/>
      </c>
      <c r="E289">
        <f>'DISTINTA COMPLETA'!D289</f>
        <v/>
      </c>
      <c r="F289" t="inlineStr">
        <is>
          <t>EXCL</t>
        </is>
      </c>
      <c r="G289">
        <f>0</f>
        <v/>
      </c>
      <c r="H289">
        <f>$G289*0</f>
        <v/>
      </c>
      <c r="I289">
        <f>$G289*0</f>
        <v/>
      </c>
      <c r="J289">
        <f>$G289*0</f>
        <v/>
      </c>
      <c r="K289">
        <f>$G289*0</f>
        <v/>
      </c>
      <c r="L289">
        <f>$G289*0</f>
        <v/>
      </c>
      <c r="M289">
        <f>$G289*0</f>
        <v/>
      </c>
      <c r="N289">
        <f>Cfg_n12*H289+Cfg_n18*I289+Cfg_n20*J289+Cfg_n22*K289+Cfg_n36*L289+Cfg_n40*M289</f>
        <v/>
      </c>
      <c r="O289" s="16">
        <f>IFERROR(VLOOKUP($E289,LISTINO!$B:$G,6,FALSE),0)</f>
        <v/>
      </c>
      <c r="P289" s="16">
        <f>$N289*$O289</f>
        <v/>
      </c>
      <c r="Q289">
        <f>IF($N289&gt;0,"SI","")</f>
        <v/>
      </c>
    </row>
    <row r="290">
      <c r="A290">
        <f>'DISTINTA COMPLETA'!A290</f>
        <v/>
      </c>
      <c r="B290">
        <f>'DISTINTA COMPLETA'!B290</f>
        <v/>
      </c>
      <c r="C290">
        <f>'DISTINTA COMPLETA'!D290</f>
        <v/>
      </c>
      <c r="D290">
        <f>'DISTINTA COMPLETA'!E290</f>
        <v/>
      </c>
      <c r="E290">
        <f>'DISTINTA COMPLETA'!D290</f>
        <v/>
      </c>
      <c r="F290" t="inlineStr">
        <is>
          <t>EXCL</t>
        </is>
      </c>
      <c r="G290">
        <f>0</f>
        <v/>
      </c>
      <c r="H290">
        <f>$G290*0</f>
        <v/>
      </c>
      <c r="I290">
        <f>$G290*0</f>
        <v/>
      </c>
      <c r="J290">
        <f>$G290*0</f>
        <v/>
      </c>
      <c r="K290">
        <f>$G290*0</f>
        <v/>
      </c>
      <c r="L290">
        <f>$G290*0</f>
        <v/>
      </c>
      <c r="M290">
        <f>$G290*0</f>
        <v/>
      </c>
      <c r="N290">
        <f>Cfg_n12*H290+Cfg_n18*I290+Cfg_n20*J290+Cfg_n22*K290+Cfg_n36*L290+Cfg_n40*M290</f>
        <v/>
      </c>
      <c r="O290" s="16">
        <f>IFERROR(VLOOKUP($E290,LISTINO!$B:$G,6,FALSE),0)</f>
        <v/>
      </c>
      <c r="P290" s="16">
        <f>$N290*$O290</f>
        <v/>
      </c>
      <c r="Q290">
        <f>IF($N290&gt;0,"SI","")</f>
        <v/>
      </c>
    </row>
    <row r="291">
      <c r="A291">
        <f>'DISTINTA COMPLETA'!A291</f>
        <v/>
      </c>
      <c r="B291">
        <f>'DISTINTA COMPLETA'!B291</f>
        <v/>
      </c>
      <c r="C291">
        <f>'DISTINTA COMPLETA'!D291</f>
        <v/>
      </c>
      <c r="D291">
        <f>'DISTINTA COMPLETA'!E291</f>
        <v/>
      </c>
      <c r="E291">
        <f>'DISTINTA COMPLETA'!D291</f>
        <v/>
      </c>
      <c r="F291" t="inlineStr">
        <is>
          <t>EXCL</t>
        </is>
      </c>
      <c r="G291">
        <f>0</f>
        <v/>
      </c>
      <c r="H291">
        <f>$G291*0</f>
        <v/>
      </c>
      <c r="I291">
        <f>$G291*0</f>
        <v/>
      </c>
      <c r="J291">
        <f>$G291*0</f>
        <v/>
      </c>
      <c r="K291">
        <f>$G291*0</f>
        <v/>
      </c>
      <c r="L291">
        <f>$G291*0</f>
        <v/>
      </c>
      <c r="M291">
        <f>$G291*0</f>
        <v/>
      </c>
      <c r="N291">
        <f>Cfg_n12*H291+Cfg_n18*I291+Cfg_n20*J291+Cfg_n22*K291+Cfg_n36*L291+Cfg_n40*M291</f>
        <v/>
      </c>
      <c r="O291" s="16">
        <f>IFERROR(VLOOKUP($E291,LISTINO!$B:$G,6,FALSE),0)</f>
        <v/>
      </c>
      <c r="P291" s="16">
        <f>$N291*$O291</f>
        <v/>
      </c>
      <c r="Q291">
        <f>IF($N291&gt;0,"SI","")</f>
        <v/>
      </c>
    </row>
    <row r="292">
      <c r="A292">
        <f>'DISTINTA COMPLETA'!A292</f>
        <v/>
      </c>
      <c r="B292">
        <f>'DISTINTA COMPLETA'!B292</f>
        <v/>
      </c>
      <c r="C292">
        <f>'DISTINTA COMPLETA'!D292</f>
        <v/>
      </c>
      <c r="D292">
        <f>'DISTINTA COMPLETA'!E292</f>
        <v/>
      </c>
      <c r="E292">
        <f>'DISTINTA COMPLETA'!D292</f>
        <v/>
      </c>
      <c r="F292" t="inlineStr">
        <is>
          <t>EXCL</t>
        </is>
      </c>
      <c r="G292">
        <f>0</f>
        <v/>
      </c>
      <c r="H292">
        <f>$G292*0</f>
        <v/>
      </c>
      <c r="I292">
        <f>$G292*0</f>
        <v/>
      </c>
      <c r="J292">
        <f>$G292*0</f>
        <v/>
      </c>
      <c r="K292">
        <f>$G292*0</f>
        <v/>
      </c>
      <c r="L292">
        <f>$G292*0</f>
        <v/>
      </c>
      <c r="M292">
        <f>$G292*0</f>
        <v/>
      </c>
      <c r="N292">
        <f>Cfg_n12*H292+Cfg_n18*I292+Cfg_n20*J292+Cfg_n22*K292+Cfg_n36*L292+Cfg_n40*M292</f>
        <v/>
      </c>
      <c r="O292" s="16">
        <f>IFERROR(VLOOKUP($E292,LISTINO!$B:$G,6,FALSE),0)</f>
        <v/>
      </c>
      <c r="P292" s="16">
        <f>$N292*$O292</f>
        <v/>
      </c>
      <c r="Q292">
        <f>IF($N292&gt;0,"SI","")</f>
        <v/>
      </c>
    </row>
    <row r="293">
      <c r="A293">
        <f>'DISTINTA COMPLETA'!A293</f>
        <v/>
      </c>
      <c r="B293">
        <f>'DISTINTA COMPLETA'!B293</f>
        <v/>
      </c>
      <c r="C293">
        <f>'DISTINTA COMPLETA'!D293</f>
        <v/>
      </c>
      <c r="D293">
        <f>'DISTINTA COMPLETA'!E293</f>
        <v/>
      </c>
      <c r="E293">
        <f>'DISTINTA COMPLETA'!D293</f>
        <v/>
      </c>
      <c r="F293" t="inlineStr">
        <is>
          <t>EXCL</t>
        </is>
      </c>
      <c r="G293">
        <f>0</f>
        <v/>
      </c>
      <c r="H293">
        <f>$G293*0</f>
        <v/>
      </c>
      <c r="I293">
        <f>$G293*0</f>
        <v/>
      </c>
      <c r="J293">
        <f>$G293*0</f>
        <v/>
      </c>
      <c r="K293">
        <f>$G293*0</f>
        <v/>
      </c>
      <c r="L293">
        <f>$G293*0</f>
        <v/>
      </c>
      <c r="M293">
        <f>$G293*0</f>
        <v/>
      </c>
      <c r="N293">
        <f>Cfg_n12*H293+Cfg_n18*I293+Cfg_n20*J293+Cfg_n22*K293+Cfg_n36*L293+Cfg_n40*M293</f>
        <v/>
      </c>
      <c r="O293" s="16">
        <f>IFERROR(VLOOKUP($E293,LISTINO!$B:$G,6,FALSE),0)</f>
        <v/>
      </c>
      <c r="P293" s="16">
        <f>$N293*$O293</f>
        <v/>
      </c>
      <c r="Q293">
        <f>IF($N293&gt;0,"SI","")</f>
        <v/>
      </c>
    </row>
    <row r="294">
      <c r="A294">
        <f>'DISTINTA COMPLETA'!A294</f>
        <v/>
      </c>
      <c r="B294">
        <f>'DISTINTA COMPLETA'!B294</f>
        <v/>
      </c>
      <c r="C294">
        <f>'DISTINTA COMPLETA'!D294</f>
        <v/>
      </c>
      <c r="D294">
        <f>'DISTINTA COMPLETA'!E294</f>
        <v/>
      </c>
      <c r="E294">
        <f>'DISTINTA COMPLETA'!D294</f>
        <v/>
      </c>
      <c r="F294" t="inlineStr">
        <is>
          <t>EXCL</t>
        </is>
      </c>
      <c r="G294">
        <f>0</f>
        <v/>
      </c>
      <c r="H294">
        <f>$G294*0</f>
        <v/>
      </c>
      <c r="I294">
        <f>$G294*0</f>
        <v/>
      </c>
      <c r="J294">
        <f>$G294*0</f>
        <v/>
      </c>
      <c r="K294">
        <f>$G294*0</f>
        <v/>
      </c>
      <c r="L294">
        <f>$G294*0</f>
        <v/>
      </c>
      <c r="M294">
        <f>$G294*0</f>
        <v/>
      </c>
      <c r="N294">
        <f>Cfg_n12*H294+Cfg_n18*I294+Cfg_n20*J294+Cfg_n22*K294+Cfg_n36*L294+Cfg_n40*M294</f>
        <v/>
      </c>
      <c r="O294" s="16">
        <f>IFERROR(VLOOKUP($E294,LISTINO!$B:$G,6,FALSE),0)</f>
        <v/>
      </c>
      <c r="P294" s="16">
        <f>$N294*$O294</f>
        <v/>
      </c>
      <c r="Q294">
        <f>IF($N294&gt;0,"SI","")</f>
        <v/>
      </c>
    </row>
    <row r="295">
      <c r="A295">
        <f>'DISTINTA COMPLETA'!A295</f>
        <v/>
      </c>
      <c r="B295">
        <f>'DISTINTA COMPLETA'!B295</f>
        <v/>
      </c>
      <c r="C295">
        <f>'DISTINTA COMPLETA'!D295</f>
        <v/>
      </c>
      <c r="D295">
        <f>'DISTINTA COMPLETA'!E295</f>
        <v/>
      </c>
      <c r="E295">
        <f>'DISTINTA COMPLETA'!D295</f>
        <v/>
      </c>
      <c r="F295" t="inlineStr">
        <is>
          <t>EXCL</t>
        </is>
      </c>
      <c r="G295">
        <f>0</f>
        <v/>
      </c>
      <c r="H295">
        <f>$G295*0</f>
        <v/>
      </c>
      <c r="I295">
        <f>$G295*0</f>
        <v/>
      </c>
      <c r="J295">
        <f>$G295*0</f>
        <v/>
      </c>
      <c r="K295">
        <f>$G295*0</f>
        <v/>
      </c>
      <c r="L295">
        <f>$G295*0</f>
        <v/>
      </c>
      <c r="M295">
        <f>$G295*0</f>
        <v/>
      </c>
      <c r="N295">
        <f>Cfg_n12*H295+Cfg_n18*I295+Cfg_n20*J295+Cfg_n22*K295+Cfg_n36*L295+Cfg_n40*M295</f>
        <v/>
      </c>
      <c r="O295" s="16">
        <f>IFERROR(VLOOKUP($E295,LISTINO!$B:$G,6,FALSE),0)</f>
        <v/>
      </c>
      <c r="P295" s="16">
        <f>$N295*$O295</f>
        <v/>
      </c>
      <c r="Q295">
        <f>IF($N295&gt;0,"SI","")</f>
        <v/>
      </c>
    </row>
    <row r="296">
      <c r="A296">
        <f>'DISTINTA COMPLETA'!A296</f>
        <v/>
      </c>
      <c r="B296">
        <f>'DISTINTA COMPLETA'!B296</f>
        <v/>
      </c>
      <c r="C296">
        <f>'DISTINTA COMPLETA'!D296</f>
        <v/>
      </c>
      <c r="D296">
        <f>'DISTINTA COMPLETA'!E296</f>
        <v/>
      </c>
      <c r="E296">
        <f>'DISTINTA COMPLETA'!D296</f>
        <v/>
      </c>
      <c r="F296" t="inlineStr">
        <is>
          <t>EXCL</t>
        </is>
      </c>
      <c r="G296">
        <f>0</f>
        <v/>
      </c>
      <c r="H296">
        <f>$G296*0</f>
        <v/>
      </c>
      <c r="I296">
        <f>$G296*0</f>
        <v/>
      </c>
      <c r="J296">
        <f>$G296*0</f>
        <v/>
      </c>
      <c r="K296">
        <f>$G296*0</f>
        <v/>
      </c>
      <c r="L296">
        <f>$G296*0</f>
        <v/>
      </c>
      <c r="M296">
        <f>$G296*0</f>
        <v/>
      </c>
      <c r="N296">
        <f>Cfg_n12*H296+Cfg_n18*I296+Cfg_n20*J296+Cfg_n22*K296+Cfg_n36*L296+Cfg_n40*M296</f>
        <v/>
      </c>
      <c r="O296" s="16">
        <f>IFERROR(VLOOKUP($E296,LISTINO!$B:$G,6,FALSE),0)</f>
        <v/>
      </c>
      <c r="P296" s="16">
        <f>$N296*$O296</f>
        <v/>
      </c>
      <c r="Q296">
        <f>IF($N296&gt;0,"SI","")</f>
        <v/>
      </c>
    </row>
    <row r="297">
      <c r="A297">
        <f>'DISTINTA COMPLETA'!A297</f>
        <v/>
      </c>
      <c r="B297">
        <f>'DISTINTA COMPLETA'!B297</f>
        <v/>
      </c>
      <c r="C297">
        <f>'DISTINTA COMPLETA'!D297</f>
        <v/>
      </c>
      <c r="D297">
        <f>'DISTINTA COMPLETA'!E297</f>
        <v/>
      </c>
      <c r="E297">
        <f>'DISTINTA COMPLETA'!D297</f>
        <v/>
      </c>
      <c r="F297" t="inlineStr">
        <is>
          <t>EXCL</t>
        </is>
      </c>
      <c r="G297">
        <f>0</f>
        <v/>
      </c>
      <c r="H297">
        <f>$G297*0</f>
        <v/>
      </c>
      <c r="I297">
        <f>$G297*0</f>
        <v/>
      </c>
      <c r="J297">
        <f>$G297*0</f>
        <v/>
      </c>
      <c r="K297">
        <f>$G297*0</f>
        <v/>
      </c>
      <c r="L297">
        <f>$G297*0</f>
        <v/>
      </c>
      <c r="M297">
        <f>$G297*0</f>
        <v/>
      </c>
      <c r="N297">
        <f>Cfg_n12*H297+Cfg_n18*I297+Cfg_n20*J297+Cfg_n22*K297+Cfg_n36*L297+Cfg_n40*M297</f>
        <v/>
      </c>
      <c r="O297" s="16">
        <f>IFERROR(VLOOKUP($E297,LISTINO!$B:$G,6,FALSE),0)</f>
        <v/>
      </c>
      <c r="P297" s="16">
        <f>$N297*$O297</f>
        <v/>
      </c>
      <c r="Q297">
        <f>IF($N297&gt;0,"SI","")</f>
        <v/>
      </c>
    </row>
    <row r="298">
      <c r="A298">
        <f>'DISTINTA COMPLETA'!A298</f>
        <v/>
      </c>
      <c r="B298">
        <f>'DISTINTA COMPLETA'!B298</f>
        <v/>
      </c>
      <c r="C298">
        <f>'DISTINTA COMPLETA'!D298</f>
        <v/>
      </c>
      <c r="D298">
        <f>'DISTINTA COMPLETA'!E298</f>
        <v/>
      </c>
      <c r="E298">
        <f>'DISTINTA COMPLETA'!D298</f>
        <v/>
      </c>
      <c r="F298" t="inlineStr">
        <is>
          <t>EXCL</t>
        </is>
      </c>
      <c r="G298">
        <f>0</f>
        <v/>
      </c>
      <c r="H298">
        <f>$G298*0</f>
        <v/>
      </c>
      <c r="I298">
        <f>$G298*0</f>
        <v/>
      </c>
      <c r="J298">
        <f>$G298*0</f>
        <v/>
      </c>
      <c r="K298">
        <f>$G298*0</f>
        <v/>
      </c>
      <c r="L298">
        <f>$G298*0</f>
        <v/>
      </c>
      <c r="M298">
        <f>$G298*0</f>
        <v/>
      </c>
      <c r="N298">
        <f>Cfg_n12*H298+Cfg_n18*I298+Cfg_n20*J298+Cfg_n22*K298+Cfg_n36*L298+Cfg_n40*M298</f>
        <v/>
      </c>
      <c r="O298" s="16">
        <f>IFERROR(VLOOKUP($E298,LISTINO!$B:$G,6,FALSE),0)</f>
        <v/>
      </c>
      <c r="P298" s="16">
        <f>$N298*$O298</f>
        <v/>
      </c>
      <c r="Q298">
        <f>IF($N298&gt;0,"SI","")</f>
        <v/>
      </c>
    </row>
    <row r="299">
      <c r="A299">
        <f>'DISTINTA COMPLETA'!A299</f>
        <v/>
      </c>
      <c r="B299">
        <f>'DISTINTA COMPLETA'!B299</f>
        <v/>
      </c>
      <c r="C299">
        <f>'DISTINTA COMPLETA'!D299</f>
        <v/>
      </c>
      <c r="D299">
        <f>'DISTINTA COMPLETA'!E299</f>
        <v/>
      </c>
      <c r="E299">
        <f>'DISTINTA COMPLETA'!D299</f>
        <v/>
      </c>
      <c r="F299" t="inlineStr">
        <is>
          <t>EXCL</t>
        </is>
      </c>
      <c r="G299">
        <f>0</f>
        <v/>
      </c>
      <c r="H299">
        <f>$G299*0</f>
        <v/>
      </c>
      <c r="I299">
        <f>$G299*0</f>
        <v/>
      </c>
      <c r="J299">
        <f>$G299*0</f>
        <v/>
      </c>
      <c r="K299">
        <f>$G299*0</f>
        <v/>
      </c>
      <c r="L299">
        <f>$G299*0</f>
        <v/>
      </c>
      <c r="M299">
        <f>$G299*0</f>
        <v/>
      </c>
      <c r="N299">
        <f>Cfg_n12*H299+Cfg_n18*I299+Cfg_n20*J299+Cfg_n22*K299+Cfg_n36*L299+Cfg_n40*M299</f>
        <v/>
      </c>
      <c r="O299" s="16">
        <f>IFERROR(VLOOKUP($E299,LISTINO!$B:$G,6,FALSE),0)</f>
        <v/>
      </c>
      <c r="P299" s="16">
        <f>$N299*$O299</f>
        <v/>
      </c>
      <c r="Q299">
        <f>IF($N299&gt;0,"SI","")</f>
        <v/>
      </c>
    </row>
    <row r="300">
      <c r="A300">
        <f>'DISTINTA COMPLETA'!A300</f>
        <v/>
      </c>
      <c r="B300">
        <f>'DISTINTA COMPLETA'!B300</f>
        <v/>
      </c>
      <c r="C300">
        <f>'DISTINTA COMPLETA'!D300</f>
        <v/>
      </c>
      <c r="D300">
        <f>'DISTINTA COMPLETA'!E300</f>
        <v/>
      </c>
      <c r="E300">
        <f>'DISTINTA COMPLETA'!D300</f>
        <v/>
      </c>
      <c r="F300" t="inlineStr">
        <is>
          <t>EXCL</t>
        </is>
      </c>
      <c r="G300">
        <f>0</f>
        <v/>
      </c>
      <c r="H300">
        <f>$G300*0</f>
        <v/>
      </c>
      <c r="I300">
        <f>$G300*0</f>
        <v/>
      </c>
      <c r="J300">
        <f>$G300*0</f>
        <v/>
      </c>
      <c r="K300">
        <f>$G300*0</f>
        <v/>
      </c>
      <c r="L300">
        <f>$G300*0</f>
        <v/>
      </c>
      <c r="M300">
        <f>$G300*0</f>
        <v/>
      </c>
      <c r="N300">
        <f>Cfg_n12*H300+Cfg_n18*I300+Cfg_n20*J300+Cfg_n22*K300+Cfg_n36*L300+Cfg_n40*M300</f>
        <v/>
      </c>
      <c r="O300" s="16">
        <f>IFERROR(VLOOKUP($E300,LISTINO!$B:$G,6,FALSE),0)</f>
        <v/>
      </c>
      <c r="P300" s="16">
        <f>$N300*$O300</f>
        <v/>
      </c>
      <c r="Q300">
        <f>IF($N300&gt;0,"SI","")</f>
        <v/>
      </c>
    </row>
    <row r="301">
      <c r="A301">
        <f>'DISTINTA COMPLETA'!A301</f>
        <v/>
      </c>
      <c r="B301">
        <f>'DISTINTA COMPLETA'!B301</f>
        <v/>
      </c>
      <c r="C301">
        <f>'DISTINTA COMPLETA'!D301</f>
        <v/>
      </c>
      <c r="D301">
        <f>'DISTINTA COMPLETA'!E301</f>
        <v/>
      </c>
      <c r="E301">
        <f>'DISTINTA COMPLETA'!D301</f>
        <v/>
      </c>
      <c r="F301" t="inlineStr">
        <is>
          <t>EXCL</t>
        </is>
      </c>
      <c r="G301">
        <f>0</f>
        <v/>
      </c>
      <c r="H301">
        <f>$G301*0</f>
        <v/>
      </c>
      <c r="I301">
        <f>$G301*0</f>
        <v/>
      </c>
      <c r="J301">
        <f>$G301*0</f>
        <v/>
      </c>
      <c r="K301">
        <f>$G301*0</f>
        <v/>
      </c>
      <c r="L301">
        <f>$G301*0</f>
        <v/>
      </c>
      <c r="M301">
        <f>$G301*0</f>
        <v/>
      </c>
      <c r="N301">
        <f>Cfg_n12*H301+Cfg_n18*I301+Cfg_n20*J301+Cfg_n22*K301+Cfg_n36*L301+Cfg_n40*M301</f>
        <v/>
      </c>
      <c r="O301" s="16">
        <f>IFERROR(VLOOKUP($E301,LISTINO!$B:$G,6,FALSE),0)</f>
        <v/>
      </c>
      <c r="P301" s="16">
        <f>$N301*$O301</f>
        <v/>
      </c>
      <c r="Q301">
        <f>IF($N301&gt;0,"SI","")</f>
        <v/>
      </c>
    </row>
    <row r="302">
      <c r="A302">
        <f>'DISTINTA COMPLETA'!A302</f>
        <v/>
      </c>
      <c r="B302">
        <f>'DISTINTA COMPLETA'!B302</f>
        <v/>
      </c>
      <c r="C302">
        <f>'DISTINTA COMPLETA'!D302</f>
        <v/>
      </c>
      <c r="D302">
        <f>'DISTINTA COMPLETA'!E302</f>
        <v/>
      </c>
      <c r="E302">
        <f>'DISTINTA COMPLETA'!D302</f>
        <v/>
      </c>
      <c r="F302" t="inlineStr">
        <is>
          <t>EXCL</t>
        </is>
      </c>
      <c r="G302">
        <f>0</f>
        <v/>
      </c>
      <c r="H302">
        <f>$G302*0</f>
        <v/>
      </c>
      <c r="I302">
        <f>$G302*0</f>
        <v/>
      </c>
      <c r="J302">
        <f>$G302*0</f>
        <v/>
      </c>
      <c r="K302">
        <f>$G302*0</f>
        <v/>
      </c>
      <c r="L302">
        <f>$G302*0</f>
        <v/>
      </c>
      <c r="M302">
        <f>$G302*0</f>
        <v/>
      </c>
      <c r="N302">
        <f>Cfg_n12*H302+Cfg_n18*I302+Cfg_n20*J302+Cfg_n22*K302+Cfg_n36*L302+Cfg_n40*M302</f>
        <v/>
      </c>
      <c r="O302" s="16">
        <f>IFERROR(VLOOKUP($E302,LISTINO!$B:$G,6,FALSE),0)</f>
        <v/>
      </c>
      <c r="P302" s="16">
        <f>$N302*$O302</f>
        <v/>
      </c>
      <c r="Q302">
        <f>IF($N302&gt;0,"SI","")</f>
        <v/>
      </c>
    </row>
    <row r="303">
      <c r="A303">
        <f>'DISTINTA COMPLETA'!A303</f>
        <v/>
      </c>
      <c r="B303">
        <f>'DISTINTA COMPLETA'!B303</f>
        <v/>
      </c>
      <c r="C303">
        <f>'DISTINTA COMPLETA'!D303</f>
        <v/>
      </c>
      <c r="D303">
        <f>'DISTINTA COMPLETA'!E303</f>
        <v/>
      </c>
      <c r="E303">
        <f>'DISTINTA COMPLETA'!D303</f>
        <v/>
      </c>
      <c r="F303" t="inlineStr">
        <is>
          <t>EXCL</t>
        </is>
      </c>
      <c r="G303">
        <f>0</f>
        <v/>
      </c>
      <c r="H303">
        <f>$G303*0</f>
        <v/>
      </c>
      <c r="I303">
        <f>$G303*0</f>
        <v/>
      </c>
      <c r="J303">
        <f>$G303*0</f>
        <v/>
      </c>
      <c r="K303">
        <f>$G303*0</f>
        <v/>
      </c>
      <c r="L303">
        <f>$G303*0</f>
        <v/>
      </c>
      <c r="M303">
        <f>$G303*0</f>
        <v/>
      </c>
      <c r="N303">
        <f>Cfg_n12*H303+Cfg_n18*I303+Cfg_n20*J303+Cfg_n22*K303+Cfg_n36*L303+Cfg_n40*M303</f>
        <v/>
      </c>
      <c r="O303" s="16">
        <f>IFERROR(VLOOKUP($E303,LISTINO!$B:$G,6,FALSE),0)</f>
        <v/>
      </c>
      <c r="P303" s="16">
        <f>$N303*$O303</f>
        <v/>
      </c>
      <c r="Q303">
        <f>IF($N303&gt;0,"SI","")</f>
        <v/>
      </c>
    </row>
    <row r="304">
      <c r="A304">
        <f>'DISTINTA COMPLETA'!A304</f>
        <v/>
      </c>
      <c r="B304">
        <f>'DISTINTA COMPLETA'!B304</f>
        <v/>
      </c>
      <c r="C304">
        <f>'DISTINTA COMPLETA'!D304</f>
        <v/>
      </c>
      <c r="D304">
        <f>'DISTINTA COMPLETA'!E304</f>
        <v/>
      </c>
      <c r="E304">
        <f>'DISTINTA COMPLETA'!D304</f>
        <v/>
      </c>
      <c r="F304" t="inlineStr">
        <is>
          <t>EXCL</t>
        </is>
      </c>
      <c r="G304">
        <f>0</f>
        <v/>
      </c>
      <c r="H304">
        <f>$G304*0</f>
        <v/>
      </c>
      <c r="I304">
        <f>$G304*0</f>
        <v/>
      </c>
      <c r="J304">
        <f>$G304*0</f>
        <v/>
      </c>
      <c r="K304">
        <f>$G304*0</f>
        <v/>
      </c>
      <c r="L304">
        <f>$G304*0</f>
        <v/>
      </c>
      <c r="M304">
        <f>$G304*0</f>
        <v/>
      </c>
      <c r="N304">
        <f>Cfg_n12*H304+Cfg_n18*I304+Cfg_n20*J304+Cfg_n22*K304+Cfg_n36*L304+Cfg_n40*M304</f>
        <v/>
      </c>
      <c r="O304" s="16">
        <f>IFERROR(VLOOKUP($E304,LISTINO!$B:$G,6,FALSE),0)</f>
        <v/>
      </c>
      <c r="P304" s="16">
        <f>$N304*$O304</f>
        <v/>
      </c>
      <c r="Q304">
        <f>IF($N304&gt;0,"SI","")</f>
        <v/>
      </c>
    </row>
    <row r="305">
      <c r="A305">
        <f>'DISTINTA COMPLETA'!A305</f>
        <v/>
      </c>
      <c r="B305">
        <f>'DISTINTA COMPLETA'!B305</f>
        <v/>
      </c>
      <c r="C305">
        <f>'DISTINTA COMPLETA'!D305</f>
        <v/>
      </c>
      <c r="D305">
        <f>'DISTINTA COMPLETA'!E305</f>
        <v/>
      </c>
      <c r="E305">
        <f>'DISTINTA COMPLETA'!D305</f>
        <v/>
      </c>
      <c r="F305" t="inlineStr">
        <is>
          <t>EXCL</t>
        </is>
      </c>
      <c r="G305">
        <f>0</f>
        <v/>
      </c>
      <c r="H305">
        <f>$G305*0</f>
        <v/>
      </c>
      <c r="I305">
        <f>$G305*0</f>
        <v/>
      </c>
      <c r="J305">
        <f>$G305*0</f>
        <v/>
      </c>
      <c r="K305">
        <f>$G305*0</f>
        <v/>
      </c>
      <c r="L305">
        <f>$G305*0</f>
        <v/>
      </c>
      <c r="M305">
        <f>$G305*0</f>
        <v/>
      </c>
      <c r="N305">
        <f>Cfg_n12*H305+Cfg_n18*I305+Cfg_n20*J305+Cfg_n22*K305+Cfg_n36*L305+Cfg_n40*M305</f>
        <v/>
      </c>
      <c r="O305" s="16">
        <f>IFERROR(VLOOKUP($E305,LISTINO!$B:$G,6,FALSE),0)</f>
        <v/>
      </c>
      <c r="P305" s="16">
        <f>$N305*$O305</f>
        <v/>
      </c>
      <c r="Q305">
        <f>IF($N305&gt;0,"SI","")</f>
        <v/>
      </c>
    </row>
    <row r="306">
      <c r="A306">
        <f>'DISTINTA COMPLETA'!A306</f>
        <v/>
      </c>
      <c r="B306">
        <f>'DISTINTA COMPLETA'!B306</f>
        <v/>
      </c>
      <c r="C306">
        <f>'DISTINTA COMPLETA'!D306</f>
        <v/>
      </c>
      <c r="D306">
        <f>'DISTINTA COMPLETA'!E306</f>
        <v/>
      </c>
      <c r="E306">
        <f>'DISTINTA COMPLETA'!D306</f>
        <v/>
      </c>
      <c r="F306" t="inlineStr">
        <is>
          <t>EXCL</t>
        </is>
      </c>
      <c r="G306">
        <f>0</f>
        <v/>
      </c>
      <c r="H306">
        <f>$G306*0</f>
        <v/>
      </c>
      <c r="I306">
        <f>$G306*0</f>
        <v/>
      </c>
      <c r="J306">
        <f>$G306*0</f>
        <v/>
      </c>
      <c r="K306">
        <f>$G306*0</f>
        <v/>
      </c>
      <c r="L306">
        <f>$G306*0</f>
        <v/>
      </c>
      <c r="M306">
        <f>$G306*0</f>
        <v/>
      </c>
      <c r="N306">
        <f>Cfg_n12*H306+Cfg_n18*I306+Cfg_n20*J306+Cfg_n22*K306+Cfg_n36*L306+Cfg_n40*M306</f>
        <v/>
      </c>
      <c r="O306" s="16">
        <f>IFERROR(VLOOKUP($E306,LISTINO!$B:$G,6,FALSE),0)</f>
        <v/>
      </c>
      <c r="P306" s="16">
        <f>$N306*$O306</f>
        <v/>
      </c>
      <c r="Q306">
        <f>IF($N306&gt;0,"SI","")</f>
        <v/>
      </c>
    </row>
    <row r="307">
      <c r="A307">
        <f>'DISTINTA COMPLETA'!A307</f>
        <v/>
      </c>
      <c r="B307">
        <f>'DISTINTA COMPLETA'!B307</f>
        <v/>
      </c>
      <c r="C307">
        <f>'DISTINTA COMPLETA'!D307</f>
        <v/>
      </c>
      <c r="D307">
        <f>'DISTINTA COMPLETA'!E307</f>
        <v/>
      </c>
      <c r="E307">
        <f>'DISTINTA COMPLETA'!D307</f>
        <v/>
      </c>
      <c r="F307" t="inlineStr">
        <is>
          <t>EXCL</t>
        </is>
      </c>
      <c r="G307">
        <f>0</f>
        <v/>
      </c>
      <c r="H307">
        <f>$G307*0</f>
        <v/>
      </c>
      <c r="I307">
        <f>$G307*0</f>
        <v/>
      </c>
      <c r="J307">
        <f>$G307*0</f>
        <v/>
      </c>
      <c r="K307">
        <f>$G307*0</f>
        <v/>
      </c>
      <c r="L307">
        <f>$G307*0</f>
        <v/>
      </c>
      <c r="M307">
        <f>$G307*0</f>
        <v/>
      </c>
      <c r="N307">
        <f>Cfg_n12*H307+Cfg_n18*I307+Cfg_n20*J307+Cfg_n22*K307+Cfg_n36*L307+Cfg_n40*M307</f>
        <v/>
      </c>
      <c r="O307" s="16">
        <f>IFERROR(VLOOKUP($E307,LISTINO!$B:$G,6,FALSE),0)</f>
        <v/>
      </c>
      <c r="P307" s="16">
        <f>$N307*$O307</f>
        <v/>
      </c>
      <c r="Q307">
        <f>IF($N307&gt;0,"SI","")</f>
        <v/>
      </c>
    </row>
    <row r="308">
      <c r="A308">
        <f>'DISTINTA COMPLETA'!A308</f>
        <v/>
      </c>
      <c r="B308">
        <f>'DISTINTA COMPLETA'!B308</f>
        <v/>
      </c>
      <c r="C308">
        <f>'DISTINTA COMPLETA'!D308</f>
        <v/>
      </c>
      <c r="D308">
        <f>'DISTINTA COMPLETA'!E308</f>
        <v/>
      </c>
      <c r="E308">
        <f>'DISTINTA COMPLETA'!D308</f>
        <v/>
      </c>
      <c r="F308" t="inlineStr">
        <is>
          <t>EXCL</t>
        </is>
      </c>
      <c r="G308">
        <f>0</f>
        <v/>
      </c>
      <c r="H308">
        <f>$G308*0</f>
        <v/>
      </c>
      <c r="I308">
        <f>$G308*0</f>
        <v/>
      </c>
      <c r="J308">
        <f>$G308*0</f>
        <v/>
      </c>
      <c r="K308">
        <f>$G308*0</f>
        <v/>
      </c>
      <c r="L308">
        <f>$G308*0</f>
        <v/>
      </c>
      <c r="M308">
        <f>$G308*0</f>
        <v/>
      </c>
      <c r="N308">
        <f>Cfg_n12*H308+Cfg_n18*I308+Cfg_n20*J308+Cfg_n22*K308+Cfg_n36*L308+Cfg_n40*M308</f>
        <v/>
      </c>
      <c r="O308" s="16">
        <f>IFERROR(VLOOKUP($E308,LISTINO!$B:$G,6,FALSE),0)</f>
        <v/>
      </c>
      <c r="P308" s="16">
        <f>$N308*$O308</f>
        <v/>
      </c>
      <c r="Q308">
        <f>IF($N308&gt;0,"SI","")</f>
        <v/>
      </c>
    </row>
    <row r="309">
      <c r="A309">
        <f>'DISTINTA COMPLETA'!A309</f>
        <v/>
      </c>
      <c r="B309">
        <f>'DISTINTA COMPLETA'!B309</f>
        <v/>
      </c>
      <c r="C309">
        <f>'DISTINTA COMPLETA'!D309</f>
        <v/>
      </c>
      <c r="D309">
        <f>'DISTINTA COMPLETA'!E309</f>
        <v/>
      </c>
      <c r="E309">
        <f>'DISTINTA COMPLETA'!D309</f>
        <v/>
      </c>
      <c r="F309" t="inlineStr">
        <is>
          <t>EXCL</t>
        </is>
      </c>
      <c r="G309">
        <f>0</f>
        <v/>
      </c>
      <c r="H309">
        <f>$G309*0</f>
        <v/>
      </c>
      <c r="I309">
        <f>$G309*0</f>
        <v/>
      </c>
      <c r="J309">
        <f>$G309*0</f>
        <v/>
      </c>
      <c r="K309">
        <f>$G309*0</f>
        <v/>
      </c>
      <c r="L309">
        <f>$G309*0</f>
        <v/>
      </c>
      <c r="M309">
        <f>$G309*0</f>
        <v/>
      </c>
      <c r="N309">
        <f>Cfg_n12*H309+Cfg_n18*I309+Cfg_n20*J309+Cfg_n22*K309+Cfg_n36*L309+Cfg_n40*M309</f>
        <v/>
      </c>
      <c r="O309" s="16">
        <f>IFERROR(VLOOKUP($E309,LISTINO!$B:$G,6,FALSE),0)</f>
        <v/>
      </c>
      <c r="P309" s="16">
        <f>$N309*$O309</f>
        <v/>
      </c>
      <c r="Q309">
        <f>IF($N309&gt;0,"SI","")</f>
        <v/>
      </c>
    </row>
    <row r="310">
      <c r="A310">
        <f>'DISTINTA COMPLETA'!A310</f>
        <v/>
      </c>
      <c r="B310">
        <f>'DISTINTA COMPLETA'!B310</f>
        <v/>
      </c>
      <c r="C310">
        <f>'DISTINTA COMPLETA'!D310</f>
        <v/>
      </c>
      <c r="D310">
        <f>'DISTINTA COMPLETA'!E310</f>
        <v/>
      </c>
      <c r="E310">
        <f>'DISTINTA COMPLETA'!D310</f>
        <v/>
      </c>
      <c r="F310" t="inlineStr">
        <is>
          <t>EXCL</t>
        </is>
      </c>
      <c r="G310">
        <f>0</f>
        <v/>
      </c>
      <c r="H310">
        <f>$G310*0</f>
        <v/>
      </c>
      <c r="I310">
        <f>$G310*0</f>
        <v/>
      </c>
      <c r="J310">
        <f>$G310*0</f>
        <v/>
      </c>
      <c r="K310">
        <f>$G310*0</f>
        <v/>
      </c>
      <c r="L310">
        <f>$G310*0</f>
        <v/>
      </c>
      <c r="M310">
        <f>$G310*0</f>
        <v/>
      </c>
      <c r="N310">
        <f>Cfg_n12*H310+Cfg_n18*I310+Cfg_n20*J310+Cfg_n22*K310+Cfg_n36*L310+Cfg_n40*M310</f>
        <v/>
      </c>
      <c r="O310" s="16">
        <f>IFERROR(VLOOKUP($E310,LISTINO!$B:$G,6,FALSE),0)</f>
        <v/>
      </c>
      <c r="P310" s="16">
        <f>$N310*$O310</f>
        <v/>
      </c>
      <c r="Q310">
        <f>IF($N310&gt;0,"SI","")</f>
        <v/>
      </c>
    </row>
    <row r="311">
      <c r="A311">
        <f>'DISTINTA COMPLETA'!A311</f>
        <v/>
      </c>
      <c r="B311">
        <f>'DISTINTA COMPLETA'!B311</f>
        <v/>
      </c>
      <c r="C311">
        <f>'DISTINTA COMPLETA'!D311</f>
        <v/>
      </c>
      <c r="D311">
        <f>'DISTINTA COMPLETA'!E311</f>
        <v/>
      </c>
      <c r="E311">
        <f>'DISTINTA COMPLETA'!D311</f>
        <v/>
      </c>
      <c r="F311" t="inlineStr">
        <is>
          <t>EXCL</t>
        </is>
      </c>
      <c r="G311">
        <f>0</f>
        <v/>
      </c>
      <c r="H311">
        <f>$G311*0</f>
        <v/>
      </c>
      <c r="I311">
        <f>$G311*0</f>
        <v/>
      </c>
      <c r="J311">
        <f>$G311*0</f>
        <v/>
      </c>
      <c r="K311">
        <f>$G311*0</f>
        <v/>
      </c>
      <c r="L311">
        <f>$G311*0</f>
        <v/>
      </c>
      <c r="M311">
        <f>$G311*0</f>
        <v/>
      </c>
      <c r="N311">
        <f>Cfg_n12*H311+Cfg_n18*I311+Cfg_n20*J311+Cfg_n22*K311+Cfg_n36*L311+Cfg_n40*M311</f>
        <v/>
      </c>
      <c r="O311" s="16">
        <f>IFERROR(VLOOKUP($E311,LISTINO!$B:$G,6,FALSE),0)</f>
        <v/>
      </c>
      <c r="P311" s="16">
        <f>$N311*$O311</f>
        <v/>
      </c>
      <c r="Q311">
        <f>IF($N311&gt;0,"SI","")</f>
        <v/>
      </c>
    </row>
    <row r="312">
      <c r="A312">
        <f>'DISTINTA COMPLETA'!A312</f>
        <v/>
      </c>
      <c r="B312">
        <f>'DISTINTA COMPLETA'!B312</f>
        <v/>
      </c>
      <c r="C312">
        <f>'DISTINTA COMPLETA'!D312</f>
        <v/>
      </c>
      <c r="D312">
        <f>'DISTINTA COMPLETA'!E312</f>
        <v/>
      </c>
      <c r="E312">
        <f>'DISTINTA COMPLETA'!D312</f>
        <v/>
      </c>
      <c r="F312" t="inlineStr">
        <is>
          <t>EXCL</t>
        </is>
      </c>
      <c r="G312">
        <f>0</f>
        <v/>
      </c>
      <c r="H312">
        <f>$G312*0</f>
        <v/>
      </c>
      <c r="I312">
        <f>$G312*0</f>
        <v/>
      </c>
      <c r="J312">
        <f>$G312*0</f>
        <v/>
      </c>
      <c r="K312">
        <f>$G312*0</f>
        <v/>
      </c>
      <c r="L312">
        <f>$G312*0</f>
        <v/>
      </c>
      <c r="M312">
        <f>$G312*0</f>
        <v/>
      </c>
      <c r="N312">
        <f>Cfg_n12*H312+Cfg_n18*I312+Cfg_n20*J312+Cfg_n22*K312+Cfg_n36*L312+Cfg_n40*M312</f>
        <v/>
      </c>
      <c r="O312" s="16">
        <f>IFERROR(VLOOKUP($E312,LISTINO!$B:$G,6,FALSE),0)</f>
        <v/>
      </c>
      <c r="P312" s="16">
        <f>$N312*$O312</f>
        <v/>
      </c>
      <c r="Q312">
        <f>IF($N312&gt;0,"SI","")</f>
        <v/>
      </c>
    </row>
    <row r="313">
      <c r="A313">
        <f>'DISTINTA COMPLETA'!A313</f>
        <v/>
      </c>
      <c r="B313">
        <f>'DISTINTA COMPLETA'!B313</f>
        <v/>
      </c>
      <c r="C313">
        <f>'DISTINTA COMPLETA'!D313</f>
        <v/>
      </c>
      <c r="D313">
        <f>'DISTINTA COMPLETA'!E313</f>
        <v/>
      </c>
      <c r="E313">
        <f>'DISTINTA COMPLETA'!D313</f>
        <v/>
      </c>
      <c r="F313" t="inlineStr">
        <is>
          <t>EXCL</t>
        </is>
      </c>
      <c r="G313">
        <f>0</f>
        <v/>
      </c>
      <c r="H313">
        <f>$G313*0</f>
        <v/>
      </c>
      <c r="I313">
        <f>$G313*0</f>
        <v/>
      </c>
      <c r="J313">
        <f>$G313*0</f>
        <v/>
      </c>
      <c r="K313">
        <f>$G313*0</f>
        <v/>
      </c>
      <c r="L313">
        <f>$G313*0</f>
        <v/>
      </c>
      <c r="M313">
        <f>$G313*0</f>
        <v/>
      </c>
      <c r="N313">
        <f>Cfg_n12*H313+Cfg_n18*I313+Cfg_n20*J313+Cfg_n22*K313+Cfg_n36*L313+Cfg_n40*M313</f>
        <v/>
      </c>
      <c r="O313" s="16">
        <f>IFERROR(VLOOKUP($E313,LISTINO!$B:$G,6,FALSE),0)</f>
        <v/>
      </c>
      <c r="P313" s="16">
        <f>$N313*$O313</f>
        <v/>
      </c>
      <c r="Q313">
        <f>IF($N313&gt;0,"SI","")</f>
        <v/>
      </c>
    </row>
    <row r="314">
      <c r="A314">
        <f>'DISTINTA COMPLETA'!A314</f>
        <v/>
      </c>
      <c r="B314">
        <f>'DISTINTA COMPLETA'!B314</f>
        <v/>
      </c>
      <c r="C314">
        <f>'DISTINTA COMPLETA'!D314</f>
        <v/>
      </c>
      <c r="D314">
        <f>'DISTINTA COMPLETA'!E314</f>
        <v/>
      </c>
      <c r="E314">
        <f>'DISTINTA COMPLETA'!D314</f>
        <v/>
      </c>
      <c r="F314" t="inlineStr">
        <is>
          <t>EXCL</t>
        </is>
      </c>
      <c r="G314">
        <f>0</f>
        <v/>
      </c>
      <c r="H314">
        <f>$G314*0</f>
        <v/>
      </c>
      <c r="I314">
        <f>$G314*0</f>
        <v/>
      </c>
      <c r="J314">
        <f>$G314*0</f>
        <v/>
      </c>
      <c r="K314">
        <f>$G314*0</f>
        <v/>
      </c>
      <c r="L314">
        <f>$G314*0</f>
        <v/>
      </c>
      <c r="M314">
        <f>$G314*0</f>
        <v/>
      </c>
      <c r="N314">
        <f>Cfg_n12*H314+Cfg_n18*I314+Cfg_n20*J314+Cfg_n22*K314+Cfg_n36*L314+Cfg_n40*M314</f>
        <v/>
      </c>
      <c r="O314" s="16">
        <f>IFERROR(VLOOKUP($E314,LISTINO!$B:$G,6,FALSE),0)</f>
        <v/>
      </c>
      <c r="P314" s="16">
        <f>$N314*$O314</f>
        <v/>
      </c>
      <c r="Q314">
        <f>IF($N314&gt;0,"SI","")</f>
        <v/>
      </c>
    </row>
    <row r="315">
      <c r="A315">
        <f>'DISTINTA COMPLETA'!A315</f>
        <v/>
      </c>
      <c r="B315">
        <f>'DISTINTA COMPLETA'!B315</f>
        <v/>
      </c>
      <c r="C315">
        <f>'DISTINTA COMPLETA'!D315</f>
        <v/>
      </c>
      <c r="D315">
        <f>'DISTINTA COMPLETA'!E315</f>
        <v/>
      </c>
      <c r="E315">
        <f>'DISTINTA COMPLETA'!D315</f>
        <v/>
      </c>
      <c r="F315" t="inlineStr">
        <is>
          <t>EXCL</t>
        </is>
      </c>
      <c r="G315">
        <f>0</f>
        <v/>
      </c>
      <c r="H315">
        <f>$G315*0</f>
        <v/>
      </c>
      <c r="I315">
        <f>$G315*0</f>
        <v/>
      </c>
      <c r="J315">
        <f>$G315*0</f>
        <v/>
      </c>
      <c r="K315">
        <f>$G315*0</f>
        <v/>
      </c>
      <c r="L315">
        <f>$G315*0</f>
        <v/>
      </c>
      <c r="M315">
        <f>$G315*0</f>
        <v/>
      </c>
      <c r="N315">
        <f>Cfg_n12*H315+Cfg_n18*I315+Cfg_n20*J315+Cfg_n22*K315+Cfg_n36*L315+Cfg_n40*M315</f>
        <v/>
      </c>
      <c r="O315" s="16">
        <f>IFERROR(VLOOKUP($E315,LISTINO!$B:$G,6,FALSE),0)</f>
        <v/>
      </c>
      <c r="P315" s="16">
        <f>$N315*$O315</f>
        <v/>
      </c>
      <c r="Q315">
        <f>IF($N315&gt;0,"SI","")</f>
        <v/>
      </c>
    </row>
    <row r="316">
      <c r="A316">
        <f>'DISTINTA COMPLETA'!A316</f>
        <v/>
      </c>
      <c r="B316">
        <f>'DISTINTA COMPLETA'!B316</f>
        <v/>
      </c>
      <c r="C316">
        <f>'DISTINTA COMPLETA'!D316</f>
        <v/>
      </c>
      <c r="D316">
        <f>'DISTINTA COMPLETA'!E316</f>
        <v/>
      </c>
      <c r="E316">
        <f>'DISTINTA COMPLETA'!D316</f>
        <v/>
      </c>
      <c r="F316" t="inlineStr">
        <is>
          <t>EXCL</t>
        </is>
      </c>
      <c r="G316">
        <f>0</f>
        <v/>
      </c>
      <c r="H316">
        <f>$G316*0</f>
        <v/>
      </c>
      <c r="I316">
        <f>$G316*0</f>
        <v/>
      </c>
      <c r="J316">
        <f>$G316*0</f>
        <v/>
      </c>
      <c r="K316">
        <f>$G316*0</f>
        <v/>
      </c>
      <c r="L316">
        <f>$G316*0</f>
        <v/>
      </c>
      <c r="M316">
        <f>$G316*0</f>
        <v/>
      </c>
      <c r="N316">
        <f>Cfg_n12*H316+Cfg_n18*I316+Cfg_n20*J316+Cfg_n22*K316+Cfg_n36*L316+Cfg_n40*M316</f>
        <v/>
      </c>
      <c r="O316" s="16">
        <f>IFERROR(VLOOKUP($E316,LISTINO!$B:$G,6,FALSE),0)</f>
        <v/>
      </c>
      <c r="P316" s="16">
        <f>$N316*$O316</f>
        <v/>
      </c>
      <c r="Q316">
        <f>IF($N316&gt;0,"SI","")</f>
        <v/>
      </c>
    </row>
    <row r="317">
      <c r="A317">
        <f>'DISTINTA COMPLETA'!A317</f>
        <v/>
      </c>
      <c r="B317">
        <f>'DISTINTA COMPLETA'!B317</f>
        <v/>
      </c>
      <c r="C317">
        <f>'DISTINTA COMPLETA'!D317</f>
        <v/>
      </c>
      <c r="D317">
        <f>'DISTINTA COMPLETA'!E317</f>
        <v/>
      </c>
      <c r="E317">
        <f>'DISTINTA COMPLETA'!D317</f>
        <v/>
      </c>
      <c r="F317" t="inlineStr">
        <is>
          <t>EXCL</t>
        </is>
      </c>
      <c r="G317">
        <f>0</f>
        <v/>
      </c>
      <c r="H317">
        <f>$G317*0</f>
        <v/>
      </c>
      <c r="I317">
        <f>$G317*0</f>
        <v/>
      </c>
      <c r="J317">
        <f>$G317*0</f>
        <v/>
      </c>
      <c r="K317">
        <f>$G317*0</f>
        <v/>
      </c>
      <c r="L317">
        <f>$G317*0</f>
        <v/>
      </c>
      <c r="M317">
        <f>$G317*0</f>
        <v/>
      </c>
      <c r="N317">
        <f>Cfg_n12*H317+Cfg_n18*I317+Cfg_n20*J317+Cfg_n22*K317+Cfg_n36*L317+Cfg_n40*M317</f>
        <v/>
      </c>
      <c r="O317" s="16">
        <f>IFERROR(VLOOKUP($E317,LISTINO!$B:$G,6,FALSE),0)</f>
        <v/>
      </c>
      <c r="P317" s="16">
        <f>$N317*$O317</f>
        <v/>
      </c>
      <c r="Q317">
        <f>IF($N317&gt;0,"SI","")</f>
        <v/>
      </c>
    </row>
    <row r="318">
      <c r="A318">
        <f>'DISTINTA COMPLETA'!A318</f>
        <v/>
      </c>
      <c r="B318">
        <f>'DISTINTA COMPLETA'!B318</f>
        <v/>
      </c>
      <c r="C318">
        <f>'DISTINTA COMPLETA'!D318</f>
        <v/>
      </c>
      <c r="D318">
        <f>'DISTINTA COMPLETA'!E318</f>
        <v/>
      </c>
      <c r="E318">
        <f>'DISTINTA COMPLETA'!D318</f>
        <v/>
      </c>
      <c r="F318" t="inlineStr">
        <is>
          <t>EXCL</t>
        </is>
      </c>
      <c r="G318">
        <f>0</f>
        <v/>
      </c>
      <c r="H318">
        <f>$G318*0</f>
        <v/>
      </c>
      <c r="I318">
        <f>$G318*0</f>
        <v/>
      </c>
      <c r="J318">
        <f>$G318*0</f>
        <v/>
      </c>
      <c r="K318">
        <f>$G318*0</f>
        <v/>
      </c>
      <c r="L318">
        <f>$G318*0</f>
        <v/>
      </c>
      <c r="M318">
        <f>$G318*0</f>
        <v/>
      </c>
      <c r="N318">
        <f>Cfg_n12*H318+Cfg_n18*I318+Cfg_n20*J318+Cfg_n22*K318+Cfg_n36*L318+Cfg_n40*M318</f>
        <v/>
      </c>
      <c r="O318" s="16">
        <f>IFERROR(VLOOKUP($E318,LISTINO!$B:$G,6,FALSE),0)</f>
        <v/>
      </c>
      <c r="P318" s="16">
        <f>$N318*$O318</f>
        <v/>
      </c>
      <c r="Q318">
        <f>IF($N318&gt;0,"SI","")</f>
        <v/>
      </c>
    </row>
    <row r="319">
      <c r="A319">
        <f>'DISTINTA COMPLETA'!A319</f>
        <v/>
      </c>
      <c r="B319">
        <f>'DISTINTA COMPLETA'!B319</f>
        <v/>
      </c>
      <c r="C319">
        <f>'DISTINTA COMPLETA'!D319</f>
        <v/>
      </c>
      <c r="D319">
        <f>'DISTINTA COMPLETA'!E319</f>
        <v/>
      </c>
      <c r="E319">
        <f>'DISTINTA COMPLETA'!D319</f>
        <v/>
      </c>
      <c r="F319" t="inlineStr">
        <is>
          <t>EXCL</t>
        </is>
      </c>
      <c r="G319">
        <f>0</f>
        <v/>
      </c>
      <c r="H319">
        <f>$G319*0</f>
        <v/>
      </c>
      <c r="I319">
        <f>$G319*0</f>
        <v/>
      </c>
      <c r="J319">
        <f>$G319*0</f>
        <v/>
      </c>
      <c r="K319">
        <f>$G319*0</f>
        <v/>
      </c>
      <c r="L319">
        <f>$G319*0</f>
        <v/>
      </c>
      <c r="M319">
        <f>$G319*0</f>
        <v/>
      </c>
      <c r="N319">
        <f>Cfg_n12*H319+Cfg_n18*I319+Cfg_n20*J319+Cfg_n22*K319+Cfg_n36*L319+Cfg_n40*M319</f>
        <v/>
      </c>
      <c r="O319" s="16">
        <f>IFERROR(VLOOKUP($E319,LISTINO!$B:$G,6,FALSE),0)</f>
        <v/>
      </c>
      <c r="P319" s="16">
        <f>$N319*$O319</f>
        <v/>
      </c>
      <c r="Q319">
        <f>IF($N319&gt;0,"SI","")</f>
        <v/>
      </c>
    </row>
    <row r="320">
      <c r="A320">
        <f>'DISTINTA COMPLETA'!A320</f>
        <v/>
      </c>
      <c r="B320">
        <f>'DISTINTA COMPLETA'!B320</f>
        <v/>
      </c>
      <c r="C320">
        <f>'DISTINTA COMPLETA'!D320</f>
        <v/>
      </c>
      <c r="D320">
        <f>'DISTINTA COMPLETA'!E320</f>
        <v/>
      </c>
      <c r="E320">
        <f>'DISTINTA COMPLETA'!D320</f>
        <v/>
      </c>
      <c r="F320" t="inlineStr">
        <is>
          <t>EXCL</t>
        </is>
      </c>
      <c r="G320">
        <f>0</f>
        <v/>
      </c>
      <c r="H320">
        <f>$G320*0</f>
        <v/>
      </c>
      <c r="I320">
        <f>$G320*0</f>
        <v/>
      </c>
      <c r="J320">
        <f>$G320*0</f>
        <v/>
      </c>
      <c r="K320">
        <f>$G320*0</f>
        <v/>
      </c>
      <c r="L320">
        <f>$G320*0</f>
        <v/>
      </c>
      <c r="M320">
        <f>$G320*0</f>
        <v/>
      </c>
      <c r="N320">
        <f>Cfg_n12*H320+Cfg_n18*I320+Cfg_n20*J320+Cfg_n22*K320+Cfg_n36*L320+Cfg_n40*M320</f>
        <v/>
      </c>
      <c r="O320" s="16">
        <f>IFERROR(VLOOKUP($E320,LISTINO!$B:$G,6,FALSE),0)</f>
        <v/>
      </c>
      <c r="P320" s="16">
        <f>$N320*$O320</f>
        <v/>
      </c>
      <c r="Q320">
        <f>IF($N320&gt;0,"SI","")</f>
        <v/>
      </c>
    </row>
    <row r="321">
      <c r="A321">
        <f>'DISTINTA COMPLETA'!A321</f>
        <v/>
      </c>
      <c r="B321">
        <f>'DISTINTA COMPLETA'!B321</f>
        <v/>
      </c>
      <c r="C321">
        <f>'DISTINTA COMPLETA'!D321</f>
        <v/>
      </c>
      <c r="D321">
        <f>'DISTINTA COMPLETA'!E321</f>
        <v/>
      </c>
      <c r="E321">
        <f>'DISTINTA COMPLETA'!D321</f>
        <v/>
      </c>
      <c r="F321" t="inlineStr">
        <is>
          <t>EXCL</t>
        </is>
      </c>
      <c r="G321">
        <f>0</f>
        <v/>
      </c>
      <c r="H321">
        <f>$G321*0</f>
        <v/>
      </c>
      <c r="I321">
        <f>$G321*0</f>
        <v/>
      </c>
      <c r="J321">
        <f>$G321*0</f>
        <v/>
      </c>
      <c r="K321">
        <f>$G321*0</f>
        <v/>
      </c>
      <c r="L321">
        <f>$G321*0</f>
        <v/>
      </c>
      <c r="M321">
        <f>$G321*0</f>
        <v/>
      </c>
      <c r="N321">
        <f>Cfg_n12*H321+Cfg_n18*I321+Cfg_n20*J321+Cfg_n22*K321+Cfg_n36*L321+Cfg_n40*M321</f>
        <v/>
      </c>
      <c r="O321" s="16">
        <f>IFERROR(VLOOKUP($E321,LISTINO!$B:$G,6,FALSE),0)</f>
        <v/>
      </c>
      <c r="P321" s="16">
        <f>$N321*$O321</f>
        <v/>
      </c>
      <c r="Q321">
        <f>IF($N321&gt;0,"SI","")</f>
        <v/>
      </c>
    </row>
    <row r="322">
      <c r="A322">
        <f>'DISTINTA COMPLETA'!A322</f>
        <v/>
      </c>
      <c r="B322">
        <f>'DISTINTA COMPLETA'!B322</f>
        <v/>
      </c>
      <c r="C322">
        <f>'DISTINTA COMPLETA'!D322</f>
        <v/>
      </c>
      <c r="D322">
        <f>'DISTINTA COMPLETA'!E322</f>
        <v/>
      </c>
      <c r="E322">
        <f>'DISTINTA COMPLETA'!D322</f>
        <v/>
      </c>
      <c r="F322" t="inlineStr">
        <is>
          <t>EXCL</t>
        </is>
      </c>
      <c r="G322">
        <f>0</f>
        <v/>
      </c>
      <c r="H322">
        <f>$G322*0</f>
        <v/>
      </c>
      <c r="I322">
        <f>$G322*0</f>
        <v/>
      </c>
      <c r="J322">
        <f>$G322*0</f>
        <v/>
      </c>
      <c r="K322">
        <f>$G322*0</f>
        <v/>
      </c>
      <c r="L322">
        <f>$G322*0</f>
        <v/>
      </c>
      <c r="M322">
        <f>$G322*0</f>
        <v/>
      </c>
      <c r="N322">
        <f>Cfg_n12*H322+Cfg_n18*I322+Cfg_n20*J322+Cfg_n22*K322+Cfg_n36*L322+Cfg_n40*M322</f>
        <v/>
      </c>
      <c r="O322" s="16">
        <f>IFERROR(VLOOKUP($E322,LISTINO!$B:$G,6,FALSE),0)</f>
        <v/>
      </c>
      <c r="P322" s="16">
        <f>$N322*$O322</f>
        <v/>
      </c>
      <c r="Q322">
        <f>IF($N322&gt;0,"SI","")</f>
        <v/>
      </c>
    </row>
    <row r="323">
      <c r="A323">
        <f>'DISTINTA COMPLETA'!A323</f>
        <v/>
      </c>
      <c r="B323">
        <f>'DISTINTA COMPLETA'!B323</f>
        <v/>
      </c>
      <c r="C323">
        <f>'DISTINTA COMPLETA'!D323</f>
        <v/>
      </c>
      <c r="D323">
        <f>'DISTINTA COMPLETA'!E323</f>
        <v/>
      </c>
      <c r="E323">
        <f>'DISTINTA COMPLETA'!D323</f>
        <v/>
      </c>
      <c r="F323" t="inlineStr">
        <is>
          <t>EXCL</t>
        </is>
      </c>
      <c r="G323">
        <f>0</f>
        <v/>
      </c>
      <c r="H323">
        <f>$G323*0</f>
        <v/>
      </c>
      <c r="I323">
        <f>$G323*0</f>
        <v/>
      </c>
      <c r="J323">
        <f>$G323*0</f>
        <v/>
      </c>
      <c r="K323">
        <f>$G323*0</f>
        <v/>
      </c>
      <c r="L323">
        <f>$G323*0</f>
        <v/>
      </c>
      <c r="M323">
        <f>$G323*0</f>
        <v/>
      </c>
      <c r="N323">
        <f>Cfg_n12*H323+Cfg_n18*I323+Cfg_n20*J323+Cfg_n22*K323+Cfg_n36*L323+Cfg_n40*M323</f>
        <v/>
      </c>
      <c r="O323" s="16">
        <f>IFERROR(VLOOKUP($E323,LISTINO!$B:$G,6,FALSE),0)</f>
        <v/>
      </c>
      <c r="P323" s="16">
        <f>$N323*$O323</f>
        <v/>
      </c>
      <c r="Q323">
        <f>IF($N323&gt;0,"SI","")</f>
        <v/>
      </c>
    </row>
    <row r="324">
      <c r="A324">
        <f>'DISTINTA COMPLETA'!A324</f>
        <v/>
      </c>
      <c r="B324">
        <f>'DISTINTA COMPLETA'!B324</f>
        <v/>
      </c>
      <c r="C324">
        <f>'DISTINTA COMPLETA'!D324</f>
        <v/>
      </c>
      <c r="D324">
        <f>'DISTINTA COMPLETA'!E324</f>
        <v/>
      </c>
      <c r="E324">
        <f>'DISTINTA COMPLETA'!D324</f>
        <v/>
      </c>
      <c r="F324" t="inlineStr">
        <is>
          <t>EXCL</t>
        </is>
      </c>
      <c r="G324">
        <f>0</f>
        <v/>
      </c>
      <c r="H324">
        <f>$G324*0</f>
        <v/>
      </c>
      <c r="I324">
        <f>$G324*0</f>
        <v/>
      </c>
      <c r="J324">
        <f>$G324*0</f>
        <v/>
      </c>
      <c r="K324">
        <f>$G324*0</f>
        <v/>
      </c>
      <c r="L324">
        <f>$G324*0</f>
        <v/>
      </c>
      <c r="M324">
        <f>$G324*0</f>
        <v/>
      </c>
      <c r="N324">
        <f>Cfg_n12*H324+Cfg_n18*I324+Cfg_n20*J324+Cfg_n22*K324+Cfg_n36*L324+Cfg_n40*M324</f>
        <v/>
      </c>
      <c r="O324" s="16">
        <f>IFERROR(VLOOKUP($E324,LISTINO!$B:$G,6,FALSE),0)</f>
        <v/>
      </c>
      <c r="P324" s="16">
        <f>$N324*$O324</f>
        <v/>
      </c>
      <c r="Q324">
        <f>IF($N324&gt;0,"SI","")</f>
        <v/>
      </c>
    </row>
    <row r="325">
      <c r="A325">
        <f>'DISTINTA COMPLETA'!A325</f>
        <v/>
      </c>
      <c r="B325">
        <f>'DISTINTA COMPLETA'!B325</f>
        <v/>
      </c>
      <c r="C325">
        <f>'DISTINTA COMPLETA'!D325</f>
        <v/>
      </c>
      <c r="D325">
        <f>'DISTINTA COMPLETA'!E325</f>
        <v/>
      </c>
      <c r="E325">
        <f>'DISTINTA COMPLETA'!D325</f>
        <v/>
      </c>
      <c r="F325" t="inlineStr">
        <is>
          <t>EXCL</t>
        </is>
      </c>
      <c r="G325">
        <f>0</f>
        <v/>
      </c>
      <c r="H325">
        <f>$G325*0</f>
        <v/>
      </c>
      <c r="I325">
        <f>$G325*0</f>
        <v/>
      </c>
      <c r="J325">
        <f>$G325*0</f>
        <v/>
      </c>
      <c r="K325">
        <f>$G325*0</f>
        <v/>
      </c>
      <c r="L325">
        <f>$G325*0</f>
        <v/>
      </c>
      <c r="M325">
        <f>$G325*0</f>
        <v/>
      </c>
      <c r="N325">
        <f>Cfg_n12*H325+Cfg_n18*I325+Cfg_n20*J325+Cfg_n22*K325+Cfg_n36*L325+Cfg_n40*M325</f>
        <v/>
      </c>
      <c r="O325" s="16">
        <f>IFERROR(VLOOKUP($E325,LISTINO!$B:$G,6,FALSE),0)</f>
        <v/>
      </c>
      <c r="P325" s="16">
        <f>$N325*$O325</f>
        <v/>
      </c>
      <c r="Q325">
        <f>IF($N325&gt;0,"SI","")</f>
        <v/>
      </c>
    </row>
    <row r="326">
      <c r="A326">
        <f>'DISTINTA COMPLETA'!A326</f>
        <v/>
      </c>
      <c r="B326">
        <f>'DISTINTA COMPLETA'!B326</f>
        <v/>
      </c>
      <c r="C326">
        <f>'DISTINTA COMPLETA'!D326</f>
        <v/>
      </c>
      <c r="D326">
        <f>'DISTINTA COMPLETA'!E326</f>
        <v/>
      </c>
      <c r="E326">
        <f>'DISTINTA COMPLETA'!D326</f>
        <v/>
      </c>
      <c r="F326" t="inlineStr">
        <is>
          <t>EXCL</t>
        </is>
      </c>
      <c r="G326">
        <f>0</f>
        <v/>
      </c>
      <c r="H326">
        <f>$G326*0</f>
        <v/>
      </c>
      <c r="I326">
        <f>$G326*0</f>
        <v/>
      </c>
      <c r="J326">
        <f>$G326*0</f>
        <v/>
      </c>
      <c r="K326">
        <f>$G326*0</f>
        <v/>
      </c>
      <c r="L326">
        <f>$G326*0</f>
        <v/>
      </c>
      <c r="M326">
        <f>$G326*0</f>
        <v/>
      </c>
      <c r="N326">
        <f>Cfg_n12*H326+Cfg_n18*I326+Cfg_n20*J326+Cfg_n22*K326+Cfg_n36*L326+Cfg_n40*M326</f>
        <v/>
      </c>
      <c r="O326" s="16">
        <f>IFERROR(VLOOKUP($E326,LISTINO!$B:$G,6,FALSE),0)</f>
        <v/>
      </c>
      <c r="P326" s="16">
        <f>$N326*$O326</f>
        <v/>
      </c>
      <c r="Q326">
        <f>IF($N326&gt;0,"SI","")</f>
        <v/>
      </c>
    </row>
    <row r="327">
      <c r="A327">
        <f>'DISTINTA COMPLETA'!A327</f>
        <v/>
      </c>
      <c r="B327">
        <f>'DISTINTA COMPLETA'!B327</f>
        <v/>
      </c>
      <c r="C327">
        <f>'DISTINTA COMPLETA'!D327</f>
        <v/>
      </c>
      <c r="D327">
        <f>'DISTINTA COMPLETA'!E327</f>
        <v/>
      </c>
      <c r="E327">
        <f>'DISTINTA COMPLETA'!D327</f>
        <v/>
      </c>
      <c r="F327" t="inlineStr">
        <is>
          <t>EXCL</t>
        </is>
      </c>
      <c r="G327">
        <f>0</f>
        <v/>
      </c>
      <c r="H327">
        <f>$G327*0</f>
        <v/>
      </c>
      <c r="I327">
        <f>$G327*0</f>
        <v/>
      </c>
      <c r="J327">
        <f>$G327*0</f>
        <v/>
      </c>
      <c r="K327">
        <f>$G327*0</f>
        <v/>
      </c>
      <c r="L327">
        <f>$G327*0</f>
        <v/>
      </c>
      <c r="M327">
        <f>$G327*0</f>
        <v/>
      </c>
      <c r="N327">
        <f>Cfg_n12*H327+Cfg_n18*I327+Cfg_n20*J327+Cfg_n22*K327+Cfg_n36*L327+Cfg_n40*M327</f>
        <v/>
      </c>
      <c r="O327" s="16">
        <f>IFERROR(VLOOKUP($E327,LISTINO!$B:$G,6,FALSE),0)</f>
        <v/>
      </c>
      <c r="P327" s="16">
        <f>$N327*$O327</f>
        <v/>
      </c>
      <c r="Q327">
        <f>IF($N327&gt;0,"SI","")</f>
        <v/>
      </c>
    </row>
    <row r="328">
      <c r="A328">
        <f>'DISTINTA COMPLETA'!A328</f>
        <v/>
      </c>
      <c r="B328">
        <f>'DISTINTA COMPLETA'!B328</f>
        <v/>
      </c>
      <c r="C328">
        <f>'DISTINTA COMPLETA'!D328</f>
        <v/>
      </c>
      <c r="D328">
        <f>'DISTINTA COMPLETA'!E328</f>
        <v/>
      </c>
      <c r="E328">
        <f>'DISTINTA COMPLETA'!D328</f>
        <v/>
      </c>
      <c r="F328" t="inlineStr">
        <is>
          <t>EXCL</t>
        </is>
      </c>
      <c r="G328">
        <f>0</f>
        <v/>
      </c>
      <c r="H328">
        <f>$G328*0</f>
        <v/>
      </c>
      <c r="I328">
        <f>$G328*0</f>
        <v/>
      </c>
      <c r="J328">
        <f>$G328*0</f>
        <v/>
      </c>
      <c r="K328">
        <f>$G328*0</f>
        <v/>
      </c>
      <c r="L328">
        <f>$G328*0</f>
        <v/>
      </c>
      <c r="M328">
        <f>$G328*0</f>
        <v/>
      </c>
      <c r="N328">
        <f>Cfg_n12*H328+Cfg_n18*I328+Cfg_n20*J328+Cfg_n22*K328+Cfg_n36*L328+Cfg_n40*M328</f>
        <v/>
      </c>
      <c r="O328" s="16">
        <f>IFERROR(VLOOKUP($E328,LISTINO!$B:$G,6,FALSE),0)</f>
        <v/>
      </c>
      <c r="P328" s="16">
        <f>$N328*$O328</f>
        <v/>
      </c>
      <c r="Q328">
        <f>IF($N328&gt;0,"SI","")</f>
        <v/>
      </c>
    </row>
    <row r="329">
      <c r="A329">
        <f>'DISTINTA COMPLETA'!A329</f>
        <v/>
      </c>
      <c r="B329">
        <f>'DISTINTA COMPLETA'!B329</f>
        <v/>
      </c>
      <c r="C329">
        <f>'DISTINTA COMPLETA'!D329</f>
        <v/>
      </c>
      <c r="D329">
        <f>'DISTINTA COMPLETA'!E329</f>
        <v/>
      </c>
      <c r="E329">
        <f>'DISTINTA COMPLETA'!D329</f>
        <v/>
      </c>
      <c r="F329" t="inlineStr">
        <is>
          <t>EXCL</t>
        </is>
      </c>
      <c r="G329">
        <f>0</f>
        <v/>
      </c>
      <c r="H329">
        <f>$G329*0</f>
        <v/>
      </c>
      <c r="I329">
        <f>$G329*0</f>
        <v/>
      </c>
      <c r="J329">
        <f>$G329*0</f>
        <v/>
      </c>
      <c r="K329">
        <f>$G329*0</f>
        <v/>
      </c>
      <c r="L329">
        <f>$G329*0</f>
        <v/>
      </c>
      <c r="M329">
        <f>$G329*0</f>
        <v/>
      </c>
      <c r="N329">
        <f>Cfg_n12*H329+Cfg_n18*I329+Cfg_n20*J329+Cfg_n22*K329+Cfg_n36*L329+Cfg_n40*M329</f>
        <v/>
      </c>
      <c r="O329" s="16">
        <f>IFERROR(VLOOKUP($E329,LISTINO!$B:$G,6,FALSE),0)</f>
        <v/>
      </c>
      <c r="P329" s="16">
        <f>$N329*$O329</f>
        <v/>
      </c>
      <c r="Q329">
        <f>IF($N329&gt;0,"SI","")</f>
        <v/>
      </c>
    </row>
    <row r="330">
      <c r="A330">
        <f>'DISTINTA COMPLETA'!A330</f>
        <v/>
      </c>
      <c r="B330">
        <f>'DISTINTA COMPLETA'!B330</f>
        <v/>
      </c>
      <c r="C330">
        <f>'DISTINTA COMPLETA'!D330</f>
        <v/>
      </c>
      <c r="D330">
        <f>'DISTINTA COMPLETA'!E330</f>
        <v/>
      </c>
      <c r="E330">
        <f>'DISTINTA COMPLETA'!D330</f>
        <v/>
      </c>
      <c r="F330" t="inlineStr">
        <is>
          <t>EXCL</t>
        </is>
      </c>
      <c r="G330">
        <f>0</f>
        <v/>
      </c>
      <c r="H330">
        <f>$G330*0</f>
        <v/>
      </c>
      <c r="I330">
        <f>$G330*0</f>
        <v/>
      </c>
      <c r="J330">
        <f>$G330*0</f>
        <v/>
      </c>
      <c r="K330">
        <f>$G330*0</f>
        <v/>
      </c>
      <c r="L330">
        <f>$G330*0</f>
        <v/>
      </c>
      <c r="M330">
        <f>$G330*0</f>
        <v/>
      </c>
      <c r="N330">
        <f>Cfg_n12*H330+Cfg_n18*I330+Cfg_n20*J330+Cfg_n22*K330+Cfg_n36*L330+Cfg_n40*M330</f>
        <v/>
      </c>
      <c r="O330" s="16">
        <f>IFERROR(VLOOKUP($E330,LISTINO!$B:$G,6,FALSE),0)</f>
        <v/>
      </c>
      <c r="P330" s="16">
        <f>$N330*$O330</f>
        <v/>
      </c>
      <c r="Q330">
        <f>IF($N330&gt;0,"SI","")</f>
        <v/>
      </c>
    </row>
    <row r="331">
      <c r="A331">
        <f>'DISTINTA COMPLETA'!A331</f>
        <v/>
      </c>
      <c r="B331">
        <f>'DISTINTA COMPLETA'!B331</f>
        <v/>
      </c>
      <c r="C331">
        <f>'DISTINTA COMPLETA'!D331</f>
        <v/>
      </c>
      <c r="D331">
        <f>'DISTINTA COMPLETA'!E331</f>
        <v/>
      </c>
      <c r="E331">
        <f>'DISTINTA COMPLETA'!D331</f>
        <v/>
      </c>
      <c r="F331" t="inlineStr">
        <is>
          <t>EXCL</t>
        </is>
      </c>
      <c r="G331">
        <f>0</f>
        <v/>
      </c>
      <c r="H331">
        <f>$G331*0</f>
        <v/>
      </c>
      <c r="I331">
        <f>$G331*0</f>
        <v/>
      </c>
      <c r="J331">
        <f>$G331*0</f>
        <v/>
      </c>
      <c r="K331">
        <f>$G331*0</f>
        <v/>
      </c>
      <c r="L331">
        <f>$G331*0</f>
        <v/>
      </c>
      <c r="M331">
        <f>$G331*0</f>
        <v/>
      </c>
      <c r="N331">
        <f>Cfg_n12*H331+Cfg_n18*I331+Cfg_n20*J331+Cfg_n22*K331+Cfg_n36*L331+Cfg_n40*M331</f>
        <v/>
      </c>
      <c r="O331" s="16">
        <f>IFERROR(VLOOKUP($E331,LISTINO!$B:$G,6,FALSE),0)</f>
        <v/>
      </c>
      <c r="P331" s="16">
        <f>$N331*$O331</f>
        <v/>
      </c>
      <c r="Q331">
        <f>IF($N331&gt;0,"SI","")</f>
        <v/>
      </c>
    </row>
    <row r="332">
      <c r="A332">
        <f>'DISTINTA COMPLETA'!A332</f>
        <v/>
      </c>
      <c r="B332">
        <f>'DISTINTA COMPLETA'!B332</f>
        <v/>
      </c>
      <c r="C332">
        <f>'DISTINTA COMPLETA'!D332</f>
        <v/>
      </c>
      <c r="D332">
        <f>'DISTINTA COMPLETA'!E332</f>
        <v/>
      </c>
      <c r="E332">
        <f>'DISTINTA COMPLETA'!D332</f>
        <v/>
      </c>
      <c r="F332" t="inlineStr">
        <is>
          <t>EXCL</t>
        </is>
      </c>
      <c r="G332">
        <f>0</f>
        <v/>
      </c>
      <c r="H332">
        <f>$G332*0</f>
        <v/>
      </c>
      <c r="I332">
        <f>$G332*0</f>
        <v/>
      </c>
      <c r="J332">
        <f>$G332*0</f>
        <v/>
      </c>
      <c r="K332">
        <f>$G332*0</f>
        <v/>
      </c>
      <c r="L332">
        <f>$G332*0</f>
        <v/>
      </c>
      <c r="M332">
        <f>$G332*0</f>
        <v/>
      </c>
      <c r="N332">
        <f>Cfg_n12*H332+Cfg_n18*I332+Cfg_n20*J332+Cfg_n22*K332+Cfg_n36*L332+Cfg_n40*M332</f>
        <v/>
      </c>
      <c r="O332" s="16">
        <f>IFERROR(VLOOKUP($E332,LISTINO!$B:$G,6,FALSE),0)</f>
        <v/>
      </c>
      <c r="P332" s="16">
        <f>$N332*$O332</f>
        <v/>
      </c>
      <c r="Q332">
        <f>IF($N332&gt;0,"SI","")</f>
        <v/>
      </c>
    </row>
    <row r="333">
      <c r="A333">
        <f>'DISTINTA COMPLETA'!A333</f>
        <v/>
      </c>
      <c r="B333">
        <f>'DISTINTA COMPLETA'!B333</f>
        <v/>
      </c>
      <c r="C333">
        <f>'DISTINTA COMPLETA'!D333</f>
        <v/>
      </c>
      <c r="D333">
        <f>'DISTINTA COMPLETA'!E333</f>
        <v/>
      </c>
      <c r="E333">
        <f>'DISTINTA COMPLETA'!D333</f>
        <v/>
      </c>
      <c r="F333" t="inlineStr">
        <is>
          <t>EXCL</t>
        </is>
      </c>
      <c r="G333">
        <f>0</f>
        <v/>
      </c>
      <c r="H333">
        <f>$G333*0</f>
        <v/>
      </c>
      <c r="I333">
        <f>$G333*0</f>
        <v/>
      </c>
      <c r="J333">
        <f>$G333*0</f>
        <v/>
      </c>
      <c r="K333">
        <f>$G333*0</f>
        <v/>
      </c>
      <c r="L333">
        <f>$G333*0</f>
        <v/>
      </c>
      <c r="M333">
        <f>$G333*0</f>
        <v/>
      </c>
      <c r="N333">
        <f>Cfg_n12*H333+Cfg_n18*I333+Cfg_n20*J333+Cfg_n22*K333+Cfg_n36*L333+Cfg_n40*M333</f>
        <v/>
      </c>
      <c r="O333" s="16">
        <f>IFERROR(VLOOKUP($E333,LISTINO!$B:$G,6,FALSE),0)</f>
        <v/>
      </c>
      <c r="P333" s="16">
        <f>$N333*$O333</f>
        <v/>
      </c>
      <c r="Q333">
        <f>IF($N333&gt;0,"SI","")</f>
        <v/>
      </c>
    </row>
    <row r="334">
      <c r="A334">
        <f>'DISTINTA COMPLETA'!A334</f>
        <v/>
      </c>
      <c r="B334">
        <f>'DISTINTA COMPLETA'!B334</f>
        <v/>
      </c>
      <c r="C334">
        <f>'DISTINTA COMPLETA'!D334</f>
        <v/>
      </c>
      <c r="D334">
        <f>'DISTINTA COMPLETA'!E334</f>
        <v/>
      </c>
      <c r="E334">
        <f>'DISTINTA COMPLETA'!D334</f>
        <v/>
      </c>
      <c r="F334" t="inlineStr">
        <is>
          <t>EXCL</t>
        </is>
      </c>
      <c r="G334">
        <f>0</f>
        <v/>
      </c>
      <c r="H334">
        <f>$G334*0</f>
        <v/>
      </c>
      <c r="I334">
        <f>$G334*0</f>
        <v/>
      </c>
      <c r="J334">
        <f>$G334*0</f>
        <v/>
      </c>
      <c r="K334">
        <f>$G334*0</f>
        <v/>
      </c>
      <c r="L334">
        <f>$G334*0</f>
        <v/>
      </c>
      <c r="M334">
        <f>$G334*0</f>
        <v/>
      </c>
      <c r="N334">
        <f>Cfg_n12*H334+Cfg_n18*I334+Cfg_n20*J334+Cfg_n22*K334+Cfg_n36*L334+Cfg_n40*M334</f>
        <v/>
      </c>
      <c r="O334" s="16">
        <f>IFERROR(VLOOKUP($E334,LISTINO!$B:$G,6,FALSE),0)</f>
        <v/>
      </c>
      <c r="P334" s="16">
        <f>$N334*$O334</f>
        <v/>
      </c>
      <c r="Q334">
        <f>IF($N334&gt;0,"SI","")</f>
        <v/>
      </c>
    </row>
    <row r="335">
      <c r="A335">
        <f>'DISTINTA COMPLETA'!A335</f>
        <v/>
      </c>
      <c r="B335">
        <f>'DISTINTA COMPLETA'!B335</f>
        <v/>
      </c>
      <c r="C335">
        <f>'DISTINTA COMPLETA'!D335</f>
        <v/>
      </c>
      <c r="D335">
        <f>'DISTINTA COMPLETA'!E335</f>
        <v/>
      </c>
      <c r="E335">
        <f>'DISTINTA COMPLETA'!D335</f>
        <v/>
      </c>
      <c r="F335" t="inlineStr">
        <is>
          <t>EXCL</t>
        </is>
      </c>
      <c r="G335">
        <f>0</f>
        <v/>
      </c>
      <c r="H335">
        <f>$G335*0</f>
        <v/>
      </c>
      <c r="I335">
        <f>$G335*0</f>
        <v/>
      </c>
      <c r="J335">
        <f>$G335*0</f>
        <v/>
      </c>
      <c r="K335">
        <f>$G335*0</f>
        <v/>
      </c>
      <c r="L335">
        <f>$G335*0</f>
        <v/>
      </c>
      <c r="M335">
        <f>$G335*0</f>
        <v/>
      </c>
      <c r="N335">
        <f>Cfg_n12*H335+Cfg_n18*I335+Cfg_n20*J335+Cfg_n22*K335+Cfg_n36*L335+Cfg_n40*M335</f>
        <v/>
      </c>
      <c r="O335" s="16">
        <f>IFERROR(VLOOKUP($E335,LISTINO!$B:$G,6,FALSE),0)</f>
        <v/>
      </c>
      <c r="P335" s="16">
        <f>$N335*$O335</f>
        <v/>
      </c>
      <c r="Q335">
        <f>IF($N335&gt;0,"SI","")</f>
        <v/>
      </c>
    </row>
    <row r="336">
      <c r="A336">
        <f>'DISTINTA COMPLETA'!A336</f>
        <v/>
      </c>
      <c r="B336">
        <f>'DISTINTA COMPLETA'!B336</f>
        <v/>
      </c>
      <c r="C336">
        <f>'DISTINTA COMPLETA'!D336</f>
        <v/>
      </c>
      <c r="D336">
        <f>'DISTINTA COMPLETA'!E336</f>
        <v/>
      </c>
      <c r="E336">
        <f>'DISTINTA COMPLETA'!D336</f>
        <v/>
      </c>
      <c r="F336" t="inlineStr">
        <is>
          <t>EXCL</t>
        </is>
      </c>
      <c r="G336">
        <f>0</f>
        <v/>
      </c>
      <c r="H336">
        <f>$G336*0</f>
        <v/>
      </c>
      <c r="I336">
        <f>$G336*0</f>
        <v/>
      </c>
      <c r="J336">
        <f>$G336*0</f>
        <v/>
      </c>
      <c r="K336">
        <f>$G336*0</f>
        <v/>
      </c>
      <c r="L336">
        <f>$G336*0</f>
        <v/>
      </c>
      <c r="M336">
        <f>$G336*0</f>
        <v/>
      </c>
      <c r="N336">
        <f>Cfg_n12*H336+Cfg_n18*I336+Cfg_n20*J336+Cfg_n22*K336+Cfg_n36*L336+Cfg_n40*M336</f>
        <v/>
      </c>
      <c r="O336" s="16">
        <f>IFERROR(VLOOKUP($E336,LISTINO!$B:$G,6,FALSE),0)</f>
        <v/>
      </c>
      <c r="P336" s="16">
        <f>$N336*$O336</f>
        <v/>
      </c>
      <c r="Q336">
        <f>IF($N336&gt;0,"SI","")</f>
        <v/>
      </c>
    </row>
    <row r="337">
      <c r="A337">
        <f>'DISTINTA COMPLETA'!A337</f>
        <v/>
      </c>
      <c r="B337">
        <f>'DISTINTA COMPLETA'!B337</f>
        <v/>
      </c>
      <c r="C337">
        <f>'DISTINTA COMPLETA'!D337</f>
        <v/>
      </c>
      <c r="D337">
        <f>'DISTINTA COMPLETA'!E337</f>
        <v/>
      </c>
      <c r="E337">
        <f>'DISTINTA COMPLETA'!D337</f>
        <v/>
      </c>
      <c r="F337" t="inlineStr">
        <is>
          <t>EXCL</t>
        </is>
      </c>
      <c r="G337">
        <f>0</f>
        <v/>
      </c>
      <c r="H337">
        <f>$G337*0</f>
        <v/>
      </c>
      <c r="I337">
        <f>$G337*0</f>
        <v/>
      </c>
      <c r="J337">
        <f>$G337*0</f>
        <v/>
      </c>
      <c r="K337">
        <f>$G337*0</f>
        <v/>
      </c>
      <c r="L337">
        <f>$G337*0</f>
        <v/>
      </c>
      <c r="M337">
        <f>$G337*0</f>
        <v/>
      </c>
      <c r="N337">
        <f>Cfg_n12*H337+Cfg_n18*I337+Cfg_n20*J337+Cfg_n22*K337+Cfg_n36*L337+Cfg_n40*M337</f>
        <v/>
      </c>
      <c r="O337" s="16">
        <f>IFERROR(VLOOKUP($E337,LISTINO!$B:$G,6,FALSE),0)</f>
        <v/>
      </c>
      <c r="P337" s="16">
        <f>$N337*$O337</f>
        <v/>
      </c>
      <c r="Q337">
        <f>IF($N337&gt;0,"SI","")</f>
        <v/>
      </c>
    </row>
    <row r="338">
      <c r="A338">
        <f>'DISTINTA COMPLETA'!A338</f>
        <v/>
      </c>
      <c r="B338">
        <f>'DISTINTA COMPLETA'!B338</f>
        <v/>
      </c>
      <c r="C338">
        <f>'DISTINTA COMPLETA'!D338</f>
        <v/>
      </c>
      <c r="D338">
        <f>'DISTINTA COMPLETA'!E338</f>
        <v/>
      </c>
      <c r="E338">
        <f>'DISTINTA COMPLETA'!D338</f>
        <v/>
      </c>
      <c r="F338" t="inlineStr">
        <is>
          <t>EXCL</t>
        </is>
      </c>
      <c r="G338">
        <f>0</f>
        <v/>
      </c>
      <c r="H338">
        <f>$G338*0</f>
        <v/>
      </c>
      <c r="I338">
        <f>$G338*0</f>
        <v/>
      </c>
      <c r="J338">
        <f>$G338*0</f>
        <v/>
      </c>
      <c r="K338">
        <f>$G338*0</f>
        <v/>
      </c>
      <c r="L338">
        <f>$G338*0</f>
        <v/>
      </c>
      <c r="M338">
        <f>$G338*0</f>
        <v/>
      </c>
      <c r="N338">
        <f>Cfg_n12*H338+Cfg_n18*I338+Cfg_n20*J338+Cfg_n22*K338+Cfg_n36*L338+Cfg_n40*M338</f>
        <v/>
      </c>
      <c r="O338" s="16">
        <f>IFERROR(VLOOKUP($E338,LISTINO!$B:$G,6,FALSE),0)</f>
        <v/>
      </c>
      <c r="P338" s="16">
        <f>$N338*$O338</f>
        <v/>
      </c>
      <c r="Q338">
        <f>IF($N338&gt;0,"SI","")</f>
        <v/>
      </c>
    </row>
    <row r="339">
      <c r="A339">
        <f>'DISTINTA COMPLETA'!A339</f>
        <v/>
      </c>
      <c r="B339">
        <f>'DISTINTA COMPLETA'!B339</f>
        <v/>
      </c>
      <c r="C339">
        <f>'DISTINTA COMPLETA'!D339</f>
        <v/>
      </c>
      <c r="D339">
        <f>'DISTINTA COMPLETA'!E339</f>
        <v/>
      </c>
      <c r="E339">
        <f>'DISTINTA COMPLETA'!D339</f>
        <v/>
      </c>
      <c r="F339" t="inlineStr">
        <is>
          <t>EXCL</t>
        </is>
      </c>
      <c r="G339">
        <f>0</f>
        <v/>
      </c>
      <c r="H339">
        <f>$G339*0</f>
        <v/>
      </c>
      <c r="I339">
        <f>$G339*0</f>
        <v/>
      </c>
      <c r="J339">
        <f>$G339*0</f>
        <v/>
      </c>
      <c r="K339">
        <f>$G339*0</f>
        <v/>
      </c>
      <c r="L339">
        <f>$G339*0</f>
        <v/>
      </c>
      <c r="M339">
        <f>$G339*0</f>
        <v/>
      </c>
      <c r="N339">
        <f>Cfg_n12*H339+Cfg_n18*I339+Cfg_n20*J339+Cfg_n22*K339+Cfg_n36*L339+Cfg_n40*M339</f>
        <v/>
      </c>
      <c r="O339" s="16">
        <f>IFERROR(VLOOKUP($E339,LISTINO!$B:$G,6,FALSE),0)</f>
        <v/>
      </c>
      <c r="P339" s="16">
        <f>$N339*$O339</f>
        <v/>
      </c>
      <c r="Q339">
        <f>IF($N339&gt;0,"SI","")</f>
        <v/>
      </c>
    </row>
    <row r="340">
      <c r="A340">
        <f>'DISTINTA COMPLETA'!A340</f>
        <v/>
      </c>
      <c r="B340">
        <f>'DISTINTA COMPLETA'!B340</f>
        <v/>
      </c>
      <c r="C340">
        <f>'DISTINTA COMPLETA'!D340</f>
        <v/>
      </c>
      <c r="D340">
        <f>'DISTINTA COMPLETA'!E340</f>
        <v/>
      </c>
      <c r="E340">
        <f>'DISTINTA COMPLETA'!D340</f>
        <v/>
      </c>
      <c r="F340" t="inlineStr">
        <is>
          <t>EXCL</t>
        </is>
      </c>
      <c r="G340">
        <f>0</f>
        <v/>
      </c>
      <c r="H340">
        <f>$G340*0</f>
        <v/>
      </c>
      <c r="I340">
        <f>$G340*0</f>
        <v/>
      </c>
      <c r="J340">
        <f>$G340*0</f>
        <v/>
      </c>
      <c r="K340">
        <f>$G340*0</f>
        <v/>
      </c>
      <c r="L340">
        <f>$G340*0</f>
        <v/>
      </c>
      <c r="M340">
        <f>$G340*0</f>
        <v/>
      </c>
      <c r="N340">
        <f>Cfg_n12*H340+Cfg_n18*I340+Cfg_n20*J340+Cfg_n22*K340+Cfg_n36*L340+Cfg_n40*M340</f>
        <v/>
      </c>
      <c r="O340" s="16">
        <f>IFERROR(VLOOKUP($E340,LISTINO!$B:$G,6,FALSE),0)</f>
        <v/>
      </c>
      <c r="P340" s="16">
        <f>$N340*$O340</f>
        <v/>
      </c>
      <c r="Q340">
        <f>IF($N340&gt;0,"SI","")</f>
        <v/>
      </c>
    </row>
    <row r="341">
      <c r="A341">
        <f>'DISTINTA COMPLETA'!A341</f>
        <v/>
      </c>
      <c r="B341">
        <f>'DISTINTA COMPLETA'!B341</f>
        <v/>
      </c>
      <c r="C341">
        <f>'DISTINTA COMPLETA'!D341</f>
        <v/>
      </c>
      <c r="D341">
        <f>'DISTINTA COMPLETA'!E341</f>
        <v/>
      </c>
      <c r="E341">
        <f>'DISTINTA COMPLETA'!D341</f>
        <v/>
      </c>
      <c r="F341" t="inlineStr">
        <is>
          <t>EXCL</t>
        </is>
      </c>
      <c r="G341">
        <f>0</f>
        <v/>
      </c>
      <c r="H341">
        <f>$G341*0</f>
        <v/>
      </c>
      <c r="I341">
        <f>$G341*0</f>
        <v/>
      </c>
      <c r="J341">
        <f>$G341*0</f>
        <v/>
      </c>
      <c r="K341">
        <f>$G341*0</f>
        <v/>
      </c>
      <c r="L341">
        <f>$G341*0</f>
        <v/>
      </c>
      <c r="M341">
        <f>$G341*0</f>
        <v/>
      </c>
      <c r="N341">
        <f>Cfg_n12*H341+Cfg_n18*I341+Cfg_n20*J341+Cfg_n22*K341+Cfg_n36*L341+Cfg_n40*M341</f>
        <v/>
      </c>
      <c r="O341" s="16">
        <f>IFERROR(VLOOKUP($E341,LISTINO!$B:$G,6,FALSE),0)</f>
        <v/>
      </c>
      <c r="P341" s="16">
        <f>$N341*$O341</f>
        <v/>
      </c>
      <c r="Q341">
        <f>IF($N341&gt;0,"SI","")</f>
        <v/>
      </c>
    </row>
    <row r="342">
      <c r="A342">
        <f>'DISTINTA COMPLETA'!A342</f>
        <v/>
      </c>
      <c r="B342">
        <f>'DISTINTA COMPLETA'!B342</f>
        <v/>
      </c>
      <c r="C342">
        <f>'DISTINTA COMPLETA'!D342</f>
        <v/>
      </c>
      <c r="D342">
        <f>'DISTINTA COMPLETA'!E342</f>
        <v/>
      </c>
      <c r="E342">
        <f>'DISTINTA COMPLETA'!D342</f>
        <v/>
      </c>
      <c r="F342" t="inlineStr">
        <is>
          <t>EXCL</t>
        </is>
      </c>
      <c r="G342">
        <f>0</f>
        <v/>
      </c>
      <c r="H342">
        <f>$G342*0</f>
        <v/>
      </c>
      <c r="I342">
        <f>$G342*0</f>
        <v/>
      </c>
      <c r="J342">
        <f>$G342*0</f>
        <v/>
      </c>
      <c r="K342">
        <f>$G342*0</f>
        <v/>
      </c>
      <c r="L342">
        <f>$G342*0</f>
        <v/>
      </c>
      <c r="M342">
        <f>$G342*0</f>
        <v/>
      </c>
      <c r="N342">
        <f>Cfg_n12*H342+Cfg_n18*I342+Cfg_n20*J342+Cfg_n22*K342+Cfg_n36*L342+Cfg_n40*M342</f>
        <v/>
      </c>
      <c r="O342" s="16">
        <f>IFERROR(VLOOKUP($E342,LISTINO!$B:$G,6,FALSE),0)</f>
        <v/>
      </c>
      <c r="P342" s="16">
        <f>$N342*$O342</f>
        <v/>
      </c>
      <c r="Q342">
        <f>IF($N342&gt;0,"SI","")</f>
        <v/>
      </c>
    </row>
    <row r="343">
      <c r="A343">
        <f>'DISTINTA COMPLETA'!A343</f>
        <v/>
      </c>
      <c r="B343">
        <f>'DISTINTA COMPLETA'!B343</f>
        <v/>
      </c>
      <c r="C343">
        <f>'DISTINTA COMPLETA'!D343</f>
        <v/>
      </c>
      <c r="D343">
        <f>'DISTINTA COMPLETA'!E343</f>
        <v/>
      </c>
      <c r="E343">
        <f>'DISTINTA COMPLETA'!D343</f>
        <v/>
      </c>
      <c r="F343" t="inlineStr">
        <is>
          <t>EXCL</t>
        </is>
      </c>
      <c r="G343">
        <f>0</f>
        <v/>
      </c>
      <c r="H343">
        <f>$G343*0</f>
        <v/>
      </c>
      <c r="I343">
        <f>$G343*0</f>
        <v/>
      </c>
      <c r="J343">
        <f>$G343*0</f>
        <v/>
      </c>
      <c r="K343">
        <f>$G343*0</f>
        <v/>
      </c>
      <c r="L343">
        <f>$G343*0</f>
        <v/>
      </c>
      <c r="M343">
        <f>$G343*0</f>
        <v/>
      </c>
      <c r="N343">
        <f>Cfg_n12*H343+Cfg_n18*I343+Cfg_n20*J343+Cfg_n22*K343+Cfg_n36*L343+Cfg_n40*M343</f>
        <v/>
      </c>
      <c r="O343" s="16">
        <f>IFERROR(VLOOKUP($E343,LISTINO!$B:$G,6,FALSE),0)</f>
        <v/>
      </c>
      <c r="P343" s="16">
        <f>$N343*$O343</f>
        <v/>
      </c>
      <c r="Q343">
        <f>IF($N343&gt;0,"SI","")</f>
        <v/>
      </c>
    </row>
    <row r="344">
      <c r="A344">
        <f>'DISTINTA COMPLETA'!A344</f>
        <v/>
      </c>
      <c r="B344">
        <f>'DISTINTA COMPLETA'!B344</f>
        <v/>
      </c>
      <c r="C344">
        <f>'DISTINTA COMPLETA'!D344</f>
        <v/>
      </c>
      <c r="D344">
        <f>'DISTINTA COMPLETA'!E344</f>
        <v/>
      </c>
      <c r="E344">
        <f>'DISTINTA COMPLETA'!D344</f>
        <v/>
      </c>
      <c r="F344" t="inlineStr">
        <is>
          <t>EXCL</t>
        </is>
      </c>
      <c r="G344">
        <f>0</f>
        <v/>
      </c>
      <c r="H344">
        <f>$G344*0</f>
        <v/>
      </c>
      <c r="I344">
        <f>$G344*0</f>
        <v/>
      </c>
      <c r="J344">
        <f>$G344*0</f>
        <v/>
      </c>
      <c r="K344">
        <f>$G344*0</f>
        <v/>
      </c>
      <c r="L344">
        <f>$G344*0</f>
        <v/>
      </c>
      <c r="M344">
        <f>$G344*0</f>
        <v/>
      </c>
      <c r="N344">
        <f>Cfg_n12*H344+Cfg_n18*I344+Cfg_n20*J344+Cfg_n22*K344+Cfg_n36*L344+Cfg_n40*M344</f>
        <v/>
      </c>
      <c r="O344" s="16">
        <f>IFERROR(VLOOKUP($E344,LISTINO!$B:$G,6,FALSE),0)</f>
        <v/>
      </c>
      <c r="P344" s="16">
        <f>$N344*$O344</f>
        <v/>
      </c>
      <c r="Q344">
        <f>IF($N344&gt;0,"SI","")</f>
        <v/>
      </c>
    </row>
  </sheetData>
  <autoFilter ref="A1:Q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6" topLeftCell="A35" activePane="bottomLeft" state="frozen"/>
      <selection pane="bottomLeft" activeCell="F15" sqref="F15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IPE/IPEA, assi di rotazione, omega, staffe supporto pannello (supporto a L/V, gaffa) e gaffa giunzione asse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pali MAX, aste) sono nel foglio 'SCHEDA PEZZI SPECIALI'. L'omega supporto pannello e le sue staffe (supporto a L/V, gaffa) sono in fondo all'Elenco qui sotto, con profilo dedicato nel blocco 'Profili'.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>
        <v>0.025</v>
      </c>
      <c r="D5" s="18">
        <f>IF(ISNUMBER($B5),$B5*(1+IF(ISNUMBER($C5),$C5,0)),"")</f>
        <v/>
      </c>
      <c r="E5" s="21" t="n">
        <v>0.95</v>
      </c>
      <c r="F5" s="21" t="n">
        <v>0.5</v>
      </c>
    </row>
    <row r="6">
      <c r="A6" t="inlineStr">
        <is>
          <t>IPEA 140</t>
        </is>
      </c>
      <c r="B6" s="16" t="n">
        <v>10.9</v>
      </c>
      <c r="C6" s="17" t="n">
        <v>0.025</v>
      </c>
      <c r="D6" s="18">
        <f>IF(ISNUMBER($B6),$B6*(1+IF(ISNUMBER($C6),$C6,0)),"")</f>
        <v/>
      </c>
      <c r="E6" s="21" t="n">
        <v>1.05</v>
      </c>
      <c r="F6" s="21" t="n">
        <v>0.5</v>
      </c>
    </row>
    <row r="7">
      <c r="A7" t="inlineStr">
        <is>
          <t>ASSE 120x120x3</t>
        </is>
      </c>
      <c r="B7" s="16" t="n">
        <v>11.8</v>
      </c>
      <c r="C7" s="17" t="n">
        <v>0.025</v>
      </c>
      <c r="D7" s="18">
        <f>IF(ISNUMBER($B7),$B7*(1+IF(ISNUMBER($C7),$C7,0)),"")</f>
        <v/>
      </c>
      <c r="E7" s="21" t="n">
        <v>1.25</v>
      </c>
      <c r="F7" s="21" t="n"/>
    </row>
    <row r="8">
      <c r="A8" t="inlineStr">
        <is>
          <t>ASSE 120x120x2,5</t>
        </is>
      </c>
      <c r="B8" s="16" t="n">
        <v>9.199999999999999</v>
      </c>
      <c r="C8" s="17" t="n">
        <v>0.025</v>
      </c>
      <c r="D8" s="18">
        <f>IF(ISNUMBER($B8),$B8*(1+IF(ISNUMBER($C8),$C8,0)),"")</f>
        <v/>
      </c>
      <c r="E8" s="21" t="n">
        <v>1.25</v>
      </c>
      <c r="F8" s="21" t="n"/>
    </row>
    <row r="9">
      <c r="A9" t="inlineStr">
        <is>
          <t>OMEGA 2,0</t>
        </is>
      </c>
      <c r="B9" s="16" t="n">
        <v>3.9</v>
      </c>
      <c r="C9" s="17" t="n">
        <v>0.025</v>
      </c>
      <c r="D9" s="18">
        <f>IF(ISNUMBER($B9),$B9*(1+IF(ISNUMBER($C9),$C9,0)),"")</f>
        <v/>
      </c>
      <c r="E9" s="21" t="n">
        <v>0.95</v>
      </c>
      <c r="F9" s="21" t="n"/>
    </row>
    <row r="10">
      <c r="A10" t="inlineStr">
        <is>
          <t>OMEGA 1,8</t>
        </is>
      </c>
      <c r="B10" s="16" t="n">
        <v>3.51</v>
      </c>
      <c r="C10" s="17" t="n">
        <v>0.025</v>
      </c>
      <c r="D10" s="18">
        <f>IF(ISNUMBER($B10),$B10*(1+IF(ISNUMBER($C10),$C10,0)),"")</f>
        <v/>
      </c>
      <c r="E10" s="21" t="n">
        <v>0.95</v>
      </c>
      <c r="F10" s="21" t="n"/>
    </row>
    <row r="11">
      <c r="A11" t="inlineStr">
        <is>
          <t>SUPPORTO L</t>
        </is>
      </c>
      <c r="B11" s="16" t="n">
        <v>1.36</v>
      </c>
      <c r="C11" s="17" t="n">
        <v>0.025</v>
      </c>
      <c r="D11" s="18">
        <f>IF(ISNUMBER($B11),$B11*(1+IF(ISNUMBER($C11),$C11,0)),"")</f>
        <v/>
      </c>
      <c r="E11" s="21" t="n">
        <v>1.18</v>
      </c>
      <c r="F11" s="21" t="n"/>
    </row>
    <row r="12">
      <c r="A12" t="inlineStr">
        <is>
          <t>SUPPORTO V</t>
        </is>
      </c>
      <c r="B12" s="16" t="n">
        <v>0.41</v>
      </c>
      <c r="C12" s="17" t="n">
        <v>0.025</v>
      </c>
      <c r="D12" s="18">
        <f>IF(ISNUMBER($B12),$B12*(1+IF(ISNUMBER($C12),$C12,0)),"")</f>
        <v/>
      </c>
      <c r="E12" s="21" t="n">
        <v>1.1</v>
      </c>
      <c r="F12" s="21" t="n"/>
    </row>
    <row r="13">
      <c r="A13" t="inlineStr">
        <is>
          <t>GAFFA</t>
        </is>
      </c>
      <c r="B13" s="16" t="n">
        <v>1.28</v>
      </c>
      <c r="C13" s="17" t="n">
        <v>0.025</v>
      </c>
      <c r="D13" s="18">
        <f>IF(ISNUMBER($B13),$B13*(1+IF(ISNUMBER($C13),$C13,0)),"")</f>
        <v/>
      </c>
      <c r="E13" s="21" t="n">
        <v>0.85</v>
      </c>
      <c r="F13" s="21" t="n">
        <v>0.8</v>
      </c>
    </row>
    <row r="14">
      <c r="A14" t="inlineStr">
        <is>
          <t>GAFFA GIUNZIONE ASSE</t>
        </is>
      </c>
      <c r="B14" s="16" t="n">
        <v>5.07</v>
      </c>
      <c r="C14" s="17" t="n">
        <v>0.025</v>
      </c>
      <c r="D14" s="18">
        <f>IF(ISNUMBER($B14),$B14*(1+IF(ISNUMBER($C14),$C14,0)),"")</f>
        <v/>
      </c>
      <c r="E14" s="21" t="n">
        <v>0.85</v>
      </c>
      <c r="F14" s="21" t="n">
        <v>0.8</v>
      </c>
    </row>
    <row r="15">
      <c r="B15" s="18" t="n"/>
      <c r="C15" s="17" t="n"/>
      <c r="D15" s="18" t="n"/>
      <c r="E15" s="21" t="n"/>
      <c r="F15" s="21" t="n"/>
    </row>
    <row r="16">
      <c r="A16" s="10" t="inlineStr">
        <is>
          <t>Codice</t>
        </is>
      </c>
      <c r="B16" s="10" t="inlineStr">
        <is>
          <t>Descrizione</t>
        </is>
      </c>
      <c r="C16" s="10" t="inlineStr">
        <is>
          <t>Profilo</t>
        </is>
      </c>
      <c r="D16" s="10" t="inlineStr">
        <is>
          <t>Lunghezza (m)</t>
        </is>
      </c>
      <c r="E16" s="10" t="inlineStr">
        <is>
          <t>Peso elemento (kg)</t>
        </is>
      </c>
      <c r="F16" s="10" t="inlineStr">
        <is>
          <t>Costo acquisto (€)</t>
        </is>
      </c>
      <c r="G16" s="10" t="inlineStr">
        <is>
          <t>Costo zincatura (€)</t>
        </is>
      </c>
    </row>
    <row r="17">
      <c r="A17" t="inlineStr">
        <is>
          <t>TTS.PC.001.IPE140.23</t>
        </is>
      </c>
      <c r="B17" t="inlineStr">
        <is>
          <t>Pilastro cuscinetto trave IPE 140 mt.2,30</t>
        </is>
      </c>
      <c r="C17" s="13" t="inlineStr">
        <is>
          <t>IPE 140</t>
        </is>
      </c>
      <c r="D17" s="19" t="n">
        <v>2.3</v>
      </c>
      <c r="E17" s="20">
        <f>IF(AND(ISNUMBER($D17),ISNUMBER(VLOOKUP($C17,$A$5:$F$14,4,FALSE))),$D17*VLOOKUP($C17,$A$5:$F$14,4,FALSE),"")</f>
        <v/>
      </c>
      <c r="F17" s="12">
        <f>IF(AND(ISNUMBER($D17),ISNUMBER(VLOOKUP($C17,$A$5:$F$14,2,FALSE)),ISNUMBER(VLOOKUP($C17,$A$5:$F$14,5,FALSE))),$D17*VLOOKUP($C17,$A$5:$F$14,2,FALSE)*VLOOKUP($C17,$A$5:$F$14,5,FALSE),"")</f>
        <v/>
      </c>
      <c r="G17" s="12">
        <f>IF(AND(ISNUMBER($D17),ISNUMBER(VLOOKUP($C17,$A$5:$F$14,2,FALSE)),ISNUMBER(VLOOKUP($C17,$A$5:$F$14,3,FALSE)),VLOOKUP($C17,$A$5:$F$14,3,FALSE)&gt;0,ISNUMBER(VLOOKUP($C17,$A$5:$F$14,6,FALSE))),$D17*VLOOKUP($C17,$A$5:$F$14,2,FALSE)*(1+VLOOKUP($C17,$A$5:$F$14,3,FALSE))*VLOOKUP($C17,$A$5:$F$14,6,FALSE),"")</f>
        <v/>
      </c>
    </row>
    <row r="18">
      <c r="A18" t="inlineStr">
        <is>
          <t>TTS.PC.001.IPE140.23.FI</t>
        </is>
      </c>
      <c r="B18" t="inlineStr">
        <is>
          <t>Pilastro cuscinetto trave ipe140 x mt. 2,30 con foratura alloggiamento inverter</t>
        </is>
      </c>
      <c r="C18" s="13" t="inlineStr">
        <is>
          <t>IPE 140</t>
        </is>
      </c>
      <c r="D18" s="19" t="n">
        <v>2.3</v>
      </c>
      <c r="E18" s="20">
        <f>IF(AND(ISNUMBER($D18),ISNUMBER(VLOOKUP($C18,$A$5:$F$14,4,FALSE))),$D18*VLOOKUP($C18,$A$5:$F$14,4,FALSE),"")</f>
        <v/>
      </c>
      <c r="F18" s="12">
        <f>IF(AND(ISNUMBER($D18),ISNUMBER(VLOOKUP($C18,$A$5:$F$14,2,FALSE)),ISNUMBER(VLOOKUP($C18,$A$5:$F$14,5,FALSE))),$D18*VLOOKUP($C18,$A$5:$F$14,2,FALSE)*VLOOKUP($C18,$A$5:$F$14,5,FALSE),"")</f>
        <v/>
      </c>
      <c r="G18" s="12">
        <f>IF(AND(ISNUMBER($D18),ISNUMBER(VLOOKUP($C18,$A$5:$F$14,2,FALSE)),ISNUMBER(VLOOKUP($C18,$A$5:$F$14,3,FALSE)),VLOOKUP($C18,$A$5:$F$14,3,FALSE)&gt;0,ISNUMBER(VLOOKUP($C18,$A$5:$F$14,6,FALSE))),$D18*VLOOKUP($C18,$A$5:$F$14,2,FALSE)*(1+VLOOKUP($C18,$A$5:$F$14,3,FALSE))*VLOOKUP($C18,$A$5:$F$14,6,FALSE),"")</f>
        <v/>
      </c>
    </row>
    <row r="19">
      <c r="A19" t="inlineStr">
        <is>
          <t>TTS.PC.001.IPE140.23.FQA</t>
        </is>
      </c>
      <c r="B19" t="inlineStr">
        <is>
          <t>Pilastro cuscinetto trave ipe140 x mt. 2,30 con foratura alloggiamento quadro area</t>
        </is>
      </c>
      <c r="C19" s="13" t="inlineStr">
        <is>
          <t>IPE 140</t>
        </is>
      </c>
      <c r="D19" s="19" t="n">
        <v>2.3</v>
      </c>
      <c r="E19" s="20">
        <f>IF(AND(ISNUMBER($D19),ISNUMBER(VLOOKUP($C19,$A$5:$F$14,4,FALSE))),$D19*VLOOKUP($C19,$A$5:$F$14,4,FALSE),"")</f>
        <v/>
      </c>
      <c r="F19" s="12">
        <f>IF(AND(ISNUMBER($D19),ISNUMBER(VLOOKUP($C19,$A$5:$F$14,2,FALSE)),ISNUMBER(VLOOKUP($C19,$A$5:$F$14,5,FALSE))),$D19*VLOOKUP($C19,$A$5:$F$14,2,FALSE)*VLOOKUP($C19,$A$5:$F$14,5,FALSE),"")</f>
        <v/>
      </c>
      <c r="G19" s="12">
        <f>IF(AND(ISNUMBER($D19),ISNUMBER(VLOOKUP($C19,$A$5:$F$14,2,FALSE)),ISNUMBER(VLOOKUP($C19,$A$5:$F$14,3,FALSE)),VLOOKUP($C19,$A$5:$F$14,3,FALSE)&gt;0,ISNUMBER(VLOOKUP($C19,$A$5:$F$14,6,FALSE))),$D19*VLOOKUP($C19,$A$5:$F$14,2,FALSE)*(1+VLOOKUP($C19,$A$5:$F$14,3,FALSE))*VLOOKUP($C19,$A$5:$F$14,6,FALSE),"")</f>
        <v/>
      </c>
    </row>
    <row r="20">
      <c r="A20" t="inlineStr">
        <is>
          <t>TTS.PC.001.IPE140.28</t>
        </is>
      </c>
      <c r="B20" t="inlineStr">
        <is>
          <t>Pilastro cuscinetto trave IPE 140 mt.2,80</t>
        </is>
      </c>
      <c r="C20" s="13" t="inlineStr">
        <is>
          <t>IPE 140</t>
        </is>
      </c>
      <c r="D20" s="19" t="n">
        <v>2.8</v>
      </c>
      <c r="E20" s="20">
        <f>IF(AND(ISNUMBER($D20),ISNUMBER(VLOOKUP($C20,$A$5:$F$14,4,FALSE))),$D20*VLOOKUP($C20,$A$5:$F$14,4,FALSE),"")</f>
        <v/>
      </c>
      <c r="F20" s="12">
        <f>IF(AND(ISNUMBER($D20),ISNUMBER(VLOOKUP($C20,$A$5:$F$14,2,FALSE)),ISNUMBER(VLOOKUP($C20,$A$5:$F$14,5,FALSE))),$D20*VLOOKUP($C20,$A$5:$F$14,2,FALSE)*VLOOKUP($C20,$A$5:$F$14,5,FALSE),"")</f>
        <v/>
      </c>
      <c r="G20" s="12">
        <f>IF(AND(ISNUMBER($D20),ISNUMBER(VLOOKUP($C20,$A$5:$F$14,2,FALSE)),ISNUMBER(VLOOKUP($C20,$A$5:$F$14,3,FALSE)),VLOOKUP($C20,$A$5:$F$14,3,FALSE)&gt;0,ISNUMBER(VLOOKUP($C20,$A$5:$F$14,6,FALSE))),$D20*VLOOKUP($C20,$A$5:$F$14,2,FALSE)*(1+VLOOKUP($C20,$A$5:$F$14,3,FALSE))*VLOOKUP($C20,$A$5:$F$14,6,FALSE),"")</f>
        <v/>
      </c>
    </row>
    <row r="21">
      <c r="A21" t="inlineStr">
        <is>
          <t>TTS.PC.001.IPE140.29</t>
        </is>
      </c>
      <c r="B21" t="inlineStr">
        <is>
          <t>Pilastro cuscinetto trave IPE 140 mt.2,90</t>
        </is>
      </c>
      <c r="C21" s="13" t="inlineStr">
        <is>
          <t>IPE 140</t>
        </is>
      </c>
      <c r="D21" s="19" t="n">
        <v>2.9</v>
      </c>
      <c r="E21" s="20">
        <f>IF(AND(ISNUMBER($D21),ISNUMBER(VLOOKUP($C21,$A$5:$F$14,4,FALSE))),$D21*VLOOKUP($C21,$A$5:$F$14,4,FALSE),"")</f>
        <v/>
      </c>
      <c r="F21" s="12">
        <f>IF(AND(ISNUMBER($D21),ISNUMBER(VLOOKUP($C21,$A$5:$F$14,2,FALSE)),ISNUMBER(VLOOKUP($C21,$A$5:$F$14,5,FALSE))),$D21*VLOOKUP($C21,$A$5:$F$14,2,FALSE)*VLOOKUP($C21,$A$5:$F$14,5,FALSE),"")</f>
        <v/>
      </c>
      <c r="G21" s="12">
        <f>IF(AND(ISNUMBER($D21),ISNUMBER(VLOOKUP($C21,$A$5:$F$14,2,FALSE)),ISNUMBER(VLOOKUP($C21,$A$5:$F$14,3,FALSE)),VLOOKUP($C21,$A$5:$F$14,3,FALSE)&gt;0,ISNUMBER(VLOOKUP($C21,$A$5:$F$14,6,FALSE))),$D21*VLOOKUP($C21,$A$5:$F$14,2,FALSE)*(1+VLOOKUP($C21,$A$5:$F$14,3,FALSE))*VLOOKUP($C21,$A$5:$F$14,6,FALSE),"")</f>
        <v/>
      </c>
    </row>
    <row r="22">
      <c r="A22" t="inlineStr">
        <is>
          <t>TTS.PC.001.IPE140.30</t>
        </is>
      </c>
      <c r="B22" t="inlineStr">
        <is>
          <t>Pilastro cuscinetto trave IPE 140 mt.3,00</t>
        </is>
      </c>
      <c r="C22" s="13" t="inlineStr">
        <is>
          <t>IPE 140</t>
        </is>
      </c>
      <c r="D22" s="19" t="n">
        <v>3</v>
      </c>
      <c r="E22" s="20">
        <f>IF(AND(ISNUMBER($D22),ISNUMBER(VLOOKUP($C22,$A$5:$F$14,4,FALSE))),$D22*VLOOKUP($C22,$A$5:$F$14,4,FALSE),"")</f>
        <v/>
      </c>
      <c r="F22" s="12">
        <f>IF(AND(ISNUMBER($D22),ISNUMBER(VLOOKUP($C22,$A$5:$F$14,2,FALSE)),ISNUMBER(VLOOKUP($C22,$A$5:$F$14,5,FALSE))),$D22*VLOOKUP($C22,$A$5:$F$14,2,FALSE)*VLOOKUP($C22,$A$5:$F$14,5,FALSE),"")</f>
        <v/>
      </c>
      <c r="G22" s="12">
        <f>IF(AND(ISNUMBER($D22),ISNUMBER(VLOOKUP($C22,$A$5:$F$14,2,FALSE)),ISNUMBER(VLOOKUP($C22,$A$5:$F$14,3,FALSE)),VLOOKUP($C22,$A$5:$F$14,3,FALSE)&gt;0,ISNUMBER(VLOOKUP($C22,$A$5:$F$14,6,FALSE))),$D22*VLOOKUP($C22,$A$5:$F$14,2,FALSE)*(1+VLOOKUP($C22,$A$5:$F$14,3,FALSE))*VLOOKUP($C22,$A$5:$F$14,6,FALSE),"")</f>
        <v/>
      </c>
    </row>
    <row r="23">
      <c r="A23" t="inlineStr">
        <is>
          <t>TTS.PC.001.IPE140.31</t>
        </is>
      </c>
      <c r="B23" t="inlineStr">
        <is>
          <t>Pilastro cuscinetto trave IPE 140 mt.3,10</t>
        </is>
      </c>
      <c r="C23" s="13" t="inlineStr">
        <is>
          <t>IPE 140</t>
        </is>
      </c>
      <c r="D23" s="19" t="n">
        <v>3.1</v>
      </c>
      <c r="E23" s="20">
        <f>IF(AND(ISNUMBER($D23),ISNUMBER(VLOOKUP($C23,$A$5:$F$14,4,FALSE))),$D23*VLOOKUP($C23,$A$5:$F$14,4,FALSE),"")</f>
        <v/>
      </c>
      <c r="F23" s="12">
        <f>IF(AND(ISNUMBER($D23),ISNUMBER(VLOOKUP($C23,$A$5:$F$14,2,FALSE)),ISNUMBER(VLOOKUP($C23,$A$5:$F$14,5,FALSE))),$D23*VLOOKUP($C23,$A$5:$F$14,2,FALSE)*VLOOKUP($C23,$A$5:$F$14,5,FALSE),"")</f>
        <v/>
      </c>
      <c r="G23" s="12">
        <f>IF(AND(ISNUMBER($D23),ISNUMBER(VLOOKUP($C23,$A$5:$F$14,2,FALSE)),ISNUMBER(VLOOKUP($C23,$A$5:$F$14,3,FALSE)),VLOOKUP($C23,$A$5:$F$14,3,FALSE)&gt;0,ISNUMBER(VLOOKUP($C23,$A$5:$F$14,6,FALSE))),$D23*VLOOKUP($C23,$A$5:$F$14,2,FALSE)*(1+VLOOKUP($C23,$A$5:$F$14,3,FALSE))*VLOOKUP($C23,$A$5:$F$14,6,FALSE),"")</f>
        <v/>
      </c>
    </row>
    <row r="24">
      <c r="A24" t="inlineStr">
        <is>
          <t>TTS.PC.001.IPE140.32</t>
        </is>
      </c>
      <c r="B24" t="inlineStr">
        <is>
          <t>Pilastro cuscinetto trave IPE 140 mt.3,20</t>
        </is>
      </c>
      <c r="C24" s="13" t="inlineStr">
        <is>
          <t>IPE 140</t>
        </is>
      </c>
      <c r="D24" s="19" t="n">
        <v>3.2</v>
      </c>
      <c r="E24" s="20">
        <f>IF(AND(ISNUMBER($D24),ISNUMBER(VLOOKUP($C24,$A$5:$F$14,4,FALSE))),$D24*VLOOKUP($C24,$A$5:$F$14,4,FALSE),"")</f>
        <v/>
      </c>
      <c r="F24" s="12">
        <f>IF(AND(ISNUMBER($D24),ISNUMBER(VLOOKUP($C24,$A$5:$F$14,2,FALSE)),ISNUMBER(VLOOKUP($C24,$A$5:$F$14,5,FALSE))),$D24*VLOOKUP($C24,$A$5:$F$14,2,FALSE)*VLOOKUP($C24,$A$5:$F$14,5,FALSE),"")</f>
        <v/>
      </c>
      <c r="G24" s="12">
        <f>IF(AND(ISNUMBER($D24),ISNUMBER(VLOOKUP($C24,$A$5:$F$14,2,FALSE)),ISNUMBER(VLOOKUP($C24,$A$5:$F$14,3,FALSE)),VLOOKUP($C24,$A$5:$F$14,3,FALSE)&gt;0,ISNUMBER(VLOOKUP($C24,$A$5:$F$14,6,FALSE))),$D24*VLOOKUP($C24,$A$5:$F$14,2,FALSE)*(1+VLOOKUP($C24,$A$5:$F$14,3,FALSE))*VLOOKUP($C24,$A$5:$F$14,6,FALSE),"")</f>
        <v/>
      </c>
    </row>
    <row r="25">
      <c r="A25" t="inlineStr">
        <is>
          <t>TTS.PC.001.IPE140.33</t>
        </is>
      </c>
      <c r="B25" t="inlineStr">
        <is>
          <t>Pilastro cuscinetto trave IPE 140 mt.3,30</t>
        </is>
      </c>
      <c r="C25" s="13" t="inlineStr">
        <is>
          <t>IPE 140</t>
        </is>
      </c>
      <c r="D25" s="19" t="n">
        <v>3.3</v>
      </c>
      <c r="E25" s="20">
        <f>IF(AND(ISNUMBER($D25),ISNUMBER(VLOOKUP($C25,$A$5:$F$14,4,FALSE))),$D25*VLOOKUP($C25,$A$5:$F$14,4,FALSE),"")</f>
        <v/>
      </c>
      <c r="F25" s="12">
        <f>IF(AND(ISNUMBER($D25),ISNUMBER(VLOOKUP($C25,$A$5:$F$14,2,FALSE)),ISNUMBER(VLOOKUP($C25,$A$5:$F$14,5,FALSE))),$D25*VLOOKUP($C25,$A$5:$F$14,2,FALSE)*VLOOKUP($C25,$A$5:$F$14,5,FALSE),"")</f>
        <v/>
      </c>
      <c r="G25" s="12">
        <f>IF(AND(ISNUMBER($D25),ISNUMBER(VLOOKUP($C25,$A$5:$F$14,2,FALSE)),ISNUMBER(VLOOKUP($C25,$A$5:$F$14,3,FALSE)),VLOOKUP($C25,$A$5:$F$14,3,FALSE)&gt;0,ISNUMBER(VLOOKUP($C25,$A$5:$F$14,6,FALSE))),$D25*VLOOKUP($C25,$A$5:$F$14,2,FALSE)*(1+VLOOKUP($C25,$A$5:$F$14,3,FALSE))*VLOOKUP($C25,$A$5:$F$14,6,FALSE),"")</f>
        <v/>
      </c>
    </row>
    <row r="26">
      <c r="A26" t="inlineStr">
        <is>
          <t>TTS.PC.001.IPE140.34</t>
        </is>
      </c>
      <c r="B26" t="inlineStr">
        <is>
          <t>Pilastro cuscinetto trave IPE 140 mt.3,40</t>
        </is>
      </c>
      <c r="C26" s="13" t="inlineStr">
        <is>
          <t>IPE 140</t>
        </is>
      </c>
      <c r="D26" s="19" t="n">
        <v>3.4</v>
      </c>
      <c r="E26" s="20">
        <f>IF(AND(ISNUMBER($D26),ISNUMBER(VLOOKUP($C26,$A$5:$F$14,4,FALSE))),$D26*VLOOKUP($C26,$A$5:$F$14,4,FALSE),"")</f>
        <v/>
      </c>
      <c r="F26" s="12">
        <f>IF(AND(ISNUMBER($D26),ISNUMBER(VLOOKUP($C26,$A$5:$F$14,2,FALSE)),ISNUMBER(VLOOKUP($C26,$A$5:$F$14,5,FALSE))),$D26*VLOOKUP($C26,$A$5:$F$14,2,FALSE)*VLOOKUP($C26,$A$5:$F$14,5,FALSE),"")</f>
        <v/>
      </c>
      <c r="G26" s="12">
        <f>IF(AND(ISNUMBER($D26),ISNUMBER(VLOOKUP($C26,$A$5:$F$14,2,FALSE)),ISNUMBER(VLOOKUP($C26,$A$5:$F$14,3,FALSE)),VLOOKUP($C26,$A$5:$F$14,3,FALSE)&gt;0,ISNUMBER(VLOOKUP($C26,$A$5:$F$14,6,FALSE))),$D26*VLOOKUP($C26,$A$5:$F$14,2,FALSE)*(1+VLOOKUP($C26,$A$5:$F$14,3,FALSE))*VLOOKUP($C26,$A$5:$F$14,6,FALSE),"")</f>
        <v/>
      </c>
    </row>
    <row r="27">
      <c r="A27" t="inlineStr">
        <is>
          <t>TTS.PC.001.IPE140.35</t>
        </is>
      </c>
      <c r="B27" t="inlineStr">
        <is>
          <t>Pilastro cuscinetto trave IPE 140 mt.3,50</t>
        </is>
      </c>
      <c r="C27" s="13" t="inlineStr">
        <is>
          <t>IPE 140</t>
        </is>
      </c>
      <c r="D27" s="19" t="n">
        <v>3.5</v>
      </c>
      <c r="E27" s="20">
        <f>IF(AND(ISNUMBER($D27),ISNUMBER(VLOOKUP($C27,$A$5:$F$14,4,FALSE))),$D27*VLOOKUP($C27,$A$5:$F$14,4,FALSE),"")</f>
        <v/>
      </c>
      <c r="F27" s="12">
        <f>IF(AND(ISNUMBER($D27),ISNUMBER(VLOOKUP($C27,$A$5:$F$14,2,FALSE)),ISNUMBER(VLOOKUP($C27,$A$5:$F$14,5,FALSE))),$D27*VLOOKUP($C27,$A$5:$F$14,2,FALSE)*VLOOKUP($C27,$A$5:$F$14,5,FALSE),"")</f>
        <v/>
      </c>
      <c r="G27" s="12">
        <f>IF(AND(ISNUMBER($D27),ISNUMBER(VLOOKUP($C27,$A$5:$F$14,2,FALSE)),ISNUMBER(VLOOKUP($C27,$A$5:$F$14,3,FALSE)),VLOOKUP($C27,$A$5:$F$14,3,FALSE)&gt;0,ISNUMBER(VLOOKUP($C27,$A$5:$F$14,6,FALSE))),$D27*VLOOKUP($C27,$A$5:$F$14,2,FALSE)*(1+VLOOKUP($C27,$A$5:$F$14,3,FALSE))*VLOOKUP($C27,$A$5:$F$14,6,FALSE),"")</f>
        <v/>
      </c>
    </row>
    <row r="28">
      <c r="A28" t="inlineStr">
        <is>
          <t>TTS.PC.001.IPE140.36</t>
        </is>
      </c>
      <c r="B28" t="inlineStr">
        <is>
          <t>Pilastro cuscinetto trave IPE 140 mt.3,60</t>
        </is>
      </c>
      <c r="C28" s="13" t="inlineStr">
        <is>
          <t>IPE 140</t>
        </is>
      </c>
      <c r="D28" s="19" t="n">
        <v>3.6</v>
      </c>
      <c r="E28" s="20">
        <f>IF(AND(ISNUMBER($D28),ISNUMBER(VLOOKUP($C28,$A$5:$F$14,4,FALSE))),$D28*VLOOKUP($C28,$A$5:$F$14,4,FALSE),"")</f>
        <v/>
      </c>
      <c r="F28" s="12">
        <f>IF(AND(ISNUMBER($D28),ISNUMBER(VLOOKUP($C28,$A$5:$F$14,2,FALSE)),ISNUMBER(VLOOKUP($C28,$A$5:$F$14,5,FALSE))),$D28*VLOOKUP($C28,$A$5:$F$14,2,FALSE)*VLOOKUP($C28,$A$5:$F$14,5,FALSE),"")</f>
        <v/>
      </c>
      <c r="G28" s="12">
        <f>IF(AND(ISNUMBER($D28),ISNUMBER(VLOOKUP($C28,$A$5:$F$14,2,FALSE)),ISNUMBER(VLOOKUP($C28,$A$5:$F$14,3,FALSE)),VLOOKUP($C28,$A$5:$F$14,3,FALSE)&gt;0,ISNUMBER(VLOOKUP($C28,$A$5:$F$14,6,FALSE))),$D28*VLOOKUP($C28,$A$5:$F$14,2,FALSE)*(1+VLOOKUP($C28,$A$5:$F$14,3,FALSE))*VLOOKUP($C28,$A$5:$F$14,6,FALSE),"")</f>
        <v/>
      </c>
    </row>
    <row r="29">
      <c r="A29" t="inlineStr">
        <is>
          <t>TTS.PC.001.IPE140.37</t>
        </is>
      </c>
      <c r="B29" t="inlineStr">
        <is>
          <t>Pilastro cuscinetto trave IPE 140 mt.3,70</t>
        </is>
      </c>
      <c r="C29" s="13" t="inlineStr">
        <is>
          <t>IPE 140</t>
        </is>
      </c>
      <c r="D29" s="19" t="n">
        <v>3.7</v>
      </c>
      <c r="E29" s="20">
        <f>IF(AND(ISNUMBER($D29),ISNUMBER(VLOOKUP($C29,$A$5:$F$14,4,FALSE))),$D29*VLOOKUP($C29,$A$5:$F$14,4,FALSE),"")</f>
        <v/>
      </c>
      <c r="F29" s="12">
        <f>IF(AND(ISNUMBER($D29),ISNUMBER(VLOOKUP($C29,$A$5:$F$14,2,FALSE)),ISNUMBER(VLOOKUP($C29,$A$5:$F$14,5,FALSE))),$D29*VLOOKUP($C29,$A$5:$F$14,2,FALSE)*VLOOKUP($C29,$A$5:$F$14,5,FALSE),"")</f>
        <v/>
      </c>
      <c r="G29" s="12">
        <f>IF(AND(ISNUMBER($D29),ISNUMBER(VLOOKUP($C29,$A$5:$F$14,2,FALSE)),ISNUMBER(VLOOKUP($C29,$A$5:$F$14,3,FALSE)),VLOOKUP($C29,$A$5:$F$14,3,FALSE)&gt;0,ISNUMBER(VLOOKUP($C29,$A$5:$F$14,6,FALSE))),$D29*VLOOKUP($C29,$A$5:$F$14,2,FALSE)*(1+VLOOKUP($C29,$A$5:$F$14,3,FALSE))*VLOOKUP($C29,$A$5:$F$14,6,FALSE),"")</f>
        <v/>
      </c>
    </row>
    <row r="30">
      <c r="A30" t="inlineStr">
        <is>
          <t>TTS.PC.001.IPE140.38</t>
        </is>
      </c>
      <c r="B30" t="inlineStr">
        <is>
          <t>Pilastro cuscinetto trave IPE 140 mt.3,80</t>
        </is>
      </c>
      <c r="C30" s="13" t="inlineStr">
        <is>
          <t>IPE 140</t>
        </is>
      </c>
      <c r="D30" s="19" t="n">
        <v>3.8</v>
      </c>
      <c r="E30" s="20">
        <f>IF(AND(ISNUMBER($D30),ISNUMBER(VLOOKUP($C30,$A$5:$F$14,4,FALSE))),$D30*VLOOKUP($C30,$A$5:$F$14,4,FALSE),"")</f>
        <v/>
      </c>
      <c r="F30" s="12">
        <f>IF(AND(ISNUMBER($D30),ISNUMBER(VLOOKUP($C30,$A$5:$F$14,2,FALSE)),ISNUMBER(VLOOKUP($C30,$A$5:$F$14,5,FALSE))),$D30*VLOOKUP($C30,$A$5:$F$14,2,FALSE)*VLOOKUP($C30,$A$5:$F$14,5,FALSE),"")</f>
        <v/>
      </c>
      <c r="G30" s="12">
        <f>IF(AND(ISNUMBER($D30),ISNUMBER(VLOOKUP($C30,$A$5:$F$14,2,FALSE)),ISNUMBER(VLOOKUP($C30,$A$5:$F$14,3,FALSE)),VLOOKUP($C30,$A$5:$F$14,3,FALSE)&gt;0,ISNUMBER(VLOOKUP($C30,$A$5:$F$14,6,FALSE))),$D30*VLOOKUP($C30,$A$5:$F$14,2,FALSE)*(1+VLOOKUP($C30,$A$5:$F$14,3,FALSE))*VLOOKUP($C30,$A$5:$F$14,6,FALSE),"")</f>
        <v/>
      </c>
    </row>
    <row r="31">
      <c r="A31" t="inlineStr">
        <is>
          <t>TTS.PC.001.IPE140.39</t>
        </is>
      </c>
      <c r="B31" t="inlineStr">
        <is>
          <t>Pilastro cuscinetto trave IPE 140 mt.3,90</t>
        </is>
      </c>
      <c r="C31" s="13" t="inlineStr">
        <is>
          <t>IPE 140</t>
        </is>
      </c>
      <c r="D31" s="19" t="n">
        <v>3.9</v>
      </c>
      <c r="E31" s="20">
        <f>IF(AND(ISNUMBER($D31),ISNUMBER(VLOOKUP($C31,$A$5:$F$14,4,FALSE))),$D31*VLOOKUP($C31,$A$5:$F$14,4,FALSE),"")</f>
        <v/>
      </c>
      <c r="F31" s="12">
        <f>IF(AND(ISNUMBER($D31),ISNUMBER(VLOOKUP($C31,$A$5:$F$14,2,FALSE)),ISNUMBER(VLOOKUP($C31,$A$5:$F$14,5,FALSE))),$D31*VLOOKUP($C31,$A$5:$F$14,2,FALSE)*VLOOKUP($C31,$A$5:$F$14,5,FALSE),"")</f>
        <v/>
      </c>
      <c r="G31" s="12">
        <f>IF(AND(ISNUMBER($D31),ISNUMBER(VLOOKUP($C31,$A$5:$F$14,2,FALSE)),ISNUMBER(VLOOKUP($C31,$A$5:$F$14,3,FALSE)),VLOOKUP($C31,$A$5:$F$14,3,FALSE)&gt;0,ISNUMBER(VLOOKUP($C31,$A$5:$F$14,6,FALSE))),$D31*VLOOKUP($C31,$A$5:$F$14,2,FALSE)*(1+VLOOKUP($C31,$A$5:$F$14,3,FALSE))*VLOOKUP($C31,$A$5:$F$14,6,FALSE),"")</f>
        <v/>
      </c>
    </row>
    <row r="32">
      <c r="A32" t="inlineStr">
        <is>
          <t>TTS.PC.001.IPE140.40</t>
        </is>
      </c>
      <c r="B32" t="inlineStr">
        <is>
          <t>Pilastro cuscinetto trave IPE 140 mt.4,00</t>
        </is>
      </c>
      <c r="C32" s="13" t="inlineStr">
        <is>
          <t>IPE 140</t>
        </is>
      </c>
      <c r="D32" s="19" t="n">
        <v>4</v>
      </c>
      <c r="E32" s="20">
        <f>IF(AND(ISNUMBER($D32),ISNUMBER(VLOOKUP($C32,$A$5:$F$14,4,FALSE))),$D32*VLOOKUP($C32,$A$5:$F$14,4,FALSE),"")</f>
        <v/>
      </c>
      <c r="F32" s="12">
        <f>IF(AND(ISNUMBER($D32),ISNUMBER(VLOOKUP($C32,$A$5:$F$14,2,FALSE)),ISNUMBER(VLOOKUP($C32,$A$5:$F$14,5,FALSE))),$D32*VLOOKUP($C32,$A$5:$F$14,2,FALSE)*VLOOKUP($C32,$A$5:$F$14,5,FALSE),"")</f>
        <v/>
      </c>
      <c r="G32" s="12">
        <f>IF(AND(ISNUMBER($D32),ISNUMBER(VLOOKUP($C32,$A$5:$F$14,2,FALSE)),ISNUMBER(VLOOKUP($C32,$A$5:$F$14,3,FALSE)),VLOOKUP($C32,$A$5:$F$14,3,FALSE)&gt;0,ISNUMBER(VLOOKUP($C32,$A$5:$F$14,6,FALSE))),$D32*VLOOKUP($C32,$A$5:$F$14,2,FALSE)*(1+VLOOKUP($C32,$A$5:$F$14,3,FALSE))*VLOOKUP($C32,$A$5:$F$14,6,FALSE),"")</f>
        <v/>
      </c>
    </row>
    <row r="33">
      <c r="A33" t="inlineStr">
        <is>
          <t>TTS.PC.001.IPE140.41</t>
        </is>
      </c>
      <c r="B33" t="inlineStr">
        <is>
          <t>Pilastro cuscinetto trave IPE 140 mt.4,10</t>
        </is>
      </c>
      <c r="C33" s="13" t="inlineStr">
        <is>
          <t>IPE 140</t>
        </is>
      </c>
      <c r="D33" s="19" t="n">
        <v>4.1</v>
      </c>
      <c r="E33" s="20">
        <f>IF(AND(ISNUMBER($D33),ISNUMBER(VLOOKUP($C33,$A$5:$F$14,4,FALSE))),$D33*VLOOKUP($C33,$A$5:$F$14,4,FALSE),"")</f>
        <v/>
      </c>
      <c r="F33" s="12">
        <f>IF(AND(ISNUMBER($D33),ISNUMBER(VLOOKUP($C33,$A$5:$F$14,2,FALSE)),ISNUMBER(VLOOKUP($C33,$A$5:$F$14,5,FALSE))),$D33*VLOOKUP($C33,$A$5:$F$14,2,FALSE)*VLOOKUP($C33,$A$5:$F$14,5,FALSE),"")</f>
        <v/>
      </c>
      <c r="G33" s="12">
        <f>IF(AND(ISNUMBER($D33),ISNUMBER(VLOOKUP($C33,$A$5:$F$14,2,FALSE)),ISNUMBER(VLOOKUP($C33,$A$5:$F$14,3,FALSE)),VLOOKUP($C33,$A$5:$F$14,3,FALSE)&gt;0,ISNUMBER(VLOOKUP($C33,$A$5:$F$14,6,FALSE))),$D33*VLOOKUP($C33,$A$5:$F$14,2,FALSE)*(1+VLOOKUP($C33,$A$5:$F$14,3,FALSE))*VLOOKUP($C33,$A$5:$F$14,6,FALSE),"")</f>
        <v/>
      </c>
    </row>
    <row r="34">
      <c r="A34" t="inlineStr">
        <is>
          <t>TTS.PC.001.IPE140.42</t>
        </is>
      </c>
      <c r="B34" t="inlineStr">
        <is>
          <t>Pilastro cuscinetto trave IPE 140 mt.4,20</t>
        </is>
      </c>
      <c r="C34" s="13" t="inlineStr">
        <is>
          <t>IPE 140</t>
        </is>
      </c>
      <c r="D34" s="19" t="n">
        <v>4.2</v>
      </c>
      <c r="E34" s="20">
        <f>IF(AND(ISNUMBER($D34),ISNUMBER(VLOOKUP($C34,$A$5:$F$14,4,FALSE))),$D34*VLOOKUP($C34,$A$5:$F$14,4,FALSE),"")</f>
        <v/>
      </c>
      <c r="F34" s="12">
        <f>IF(AND(ISNUMBER($D34),ISNUMBER(VLOOKUP($C34,$A$5:$F$14,2,FALSE)),ISNUMBER(VLOOKUP($C34,$A$5:$F$14,5,FALSE))),$D34*VLOOKUP($C34,$A$5:$F$14,2,FALSE)*VLOOKUP($C34,$A$5:$F$14,5,FALSE),"")</f>
        <v/>
      </c>
      <c r="G34" s="12">
        <f>IF(AND(ISNUMBER($D34),ISNUMBER(VLOOKUP($C34,$A$5:$F$14,2,FALSE)),ISNUMBER(VLOOKUP($C34,$A$5:$F$14,3,FALSE)),VLOOKUP($C34,$A$5:$F$14,3,FALSE)&gt;0,ISNUMBER(VLOOKUP($C34,$A$5:$F$14,6,FALSE))),$D34*VLOOKUP($C34,$A$5:$F$14,2,FALSE)*(1+VLOOKUP($C34,$A$5:$F$14,3,FALSE))*VLOOKUP($C34,$A$5:$F$14,6,FALSE),"")</f>
        <v/>
      </c>
    </row>
    <row r="35">
      <c r="A35" t="inlineStr">
        <is>
          <t>TTS.PC.001.IPE140.43</t>
        </is>
      </c>
      <c r="B35" t="inlineStr">
        <is>
          <t>Pilastro cuscinetto trave IPE 140 mt.4,30</t>
        </is>
      </c>
      <c r="C35" s="13" t="inlineStr">
        <is>
          <t>IPE 140</t>
        </is>
      </c>
      <c r="D35" s="19" t="n">
        <v>4.3</v>
      </c>
      <c r="E35" s="20">
        <f>IF(AND(ISNUMBER($D35),ISNUMBER(VLOOKUP($C35,$A$5:$F$14,4,FALSE))),$D35*VLOOKUP($C35,$A$5:$F$14,4,FALSE),"")</f>
        <v/>
      </c>
      <c r="F35" s="12">
        <f>IF(AND(ISNUMBER($D35),ISNUMBER(VLOOKUP($C35,$A$5:$F$14,2,FALSE)),ISNUMBER(VLOOKUP($C35,$A$5:$F$14,5,FALSE))),$D35*VLOOKUP($C35,$A$5:$F$14,2,FALSE)*VLOOKUP($C35,$A$5:$F$14,5,FALSE),"")</f>
        <v/>
      </c>
      <c r="G35" s="12">
        <f>IF(AND(ISNUMBER($D35),ISNUMBER(VLOOKUP($C35,$A$5:$F$14,2,FALSE)),ISNUMBER(VLOOKUP($C35,$A$5:$F$14,3,FALSE)),VLOOKUP($C35,$A$5:$F$14,3,FALSE)&gt;0,ISNUMBER(VLOOKUP($C35,$A$5:$F$14,6,FALSE))),$D35*VLOOKUP($C35,$A$5:$F$14,2,FALSE)*(1+VLOOKUP($C35,$A$5:$F$14,3,FALSE))*VLOOKUP($C35,$A$5:$F$14,6,FALSE),"")</f>
        <v/>
      </c>
    </row>
    <row r="36">
      <c r="A36" t="inlineStr">
        <is>
          <t>TTS.PC.001.IPE140.44</t>
        </is>
      </c>
      <c r="B36" t="inlineStr">
        <is>
          <t>Pilastro cuscinetto trave IPE 140 mt.4,40</t>
        </is>
      </c>
      <c r="C36" s="13" t="inlineStr">
        <is>
          <t>IPE 140</t>
        </is>
      </c>
      <c r="D36" s="19" t="n">
        <v>4.4</v>
      </c>
      <c r="E36" s="20">
        <f>IF(AND(ISNUMBER($D36),ISNUMBER(VLOOKUP($C36,$A$5:$F$14,4,FALSE))),$D36*VLOOKUP($C36,$A$5:$F$14,4,FALSE),"")</f>
        <v/>
      </c>
      <c r="F36" s="12">
        <f>IF(AND(ISNUMBER($D36),ISNUMBER(VLOOKUP($C36,$A$5:$F$14,2,FALSE)),ISNUMBER(VLOOKUP($C36,$A$5:$F$14,5,FALSE))),$D36*VLOOKUP($C36,$A$5:$F$14,2,FALSE)*VLOOKUP($C36,$A$5:$F$14,5,FALSE),"")</f>
        <v/>
      </c>
      <c r="G36" s="12">
        <f>IF(AND(ISNUMBER($D36),ISNUMBER(VLOOKUP($C36,$A$5:$F$14,2,FALSE)),ISNUMBER(VLOOKUP($C36,$A$5:$F$14,3,FALSE)),VLOOKUP($C36,$A$5:$F$14,3,FALSE)&gt;0,ISNUMBER(VLOOKUP($C36,$A$5:$F$14,6,FALSE))),$D36*VLOOKUP($C36,$A$5:$F$14,2,FALSE)*(1+VLOOKUP($C36,$A$5:$F$14,3,FALSE))*VLOOKUP($C36,$A$5:$F$14,6,FALSE),"")</f>
        <v/>
      </c>
    </row>
    <row r="37">
      <c r="A37" t="inlineStr">
        <is>
          <t>TTS.PC.001.IPE140.45</t>
        </is>
      </c>
      <c r="B37" t="inlineStr">
        <is>
          <t>Pilastro cuscinetto trave IPE 140 mt.4,50</t>
        </is>
      </c>
      <c r="C37" s="13" t="inlineStr">
        <is>
          <t>IPE 140</t>
        </is>
      </c>
      <c r="D37" s="19" t="n">
        <v>4.5</v>
      </c>
      <c r="E37" s="20">
        <f>IF(AND(ISNUMBER($D37),ISNUMBER(VLOOKUP($C37,$A$5:$F$14,4,FALSE))),$D37*VLOOKUP($C37,$A$5:$F$14,4,FALSE),"")</f>
        <v/>
      </c>
      <c r="F37" s="12">
        <f>IF(AND(ISNUMBER($D37),ISNUMBER(VLOOKUP($C37,$A$5:$F$14,2,FALSE)),ISNUMBER(VLOOKUP($C37,$A$5:$F$14,5,FALSE))),$D37*VLOOKUP($C37,$A$5:$F$14,2,FALSE)*VLOOKUP($C37,$A$5:$F$14,5,FALSE),"")</f>
        <v/>
      </c>
      <c r="G37" s="12">
        <f>IF(AND(ISNUMBER($D37),ISNUMBER(VLOOKUP($C37,$A$5:$F$14,2,FALSE)),ISNUMBER(VLOOKUP($C37,$A$5:$F$14,3,FALSE)),VLOOKUP($C37,$A$5:$F$14,3,FALSE)&gt;0,ISNUMBER(VLOOKUP($C37,$A$5:$F$14,6,FALSE))),$D37*VLOOKUP($C37,$A$5:$F$14,2,FALSE)*(1+VLOOKUP($C37,$A$5:$F$14,3,FALSE))*VLOOKUP($C37,$A$5:$F$14,6,FALSE),"")</f>
        <v/>
      </c>
    </row>
    <row r="38">
      <c r="A38" t="inlineStr">
        <is>
          <t>TTS.PC.001.IPEA140.23</t>
        </is>
      </c>
      <c r="B38" t="inlineStr">
        <is>
          <t>Pilastro cuscinetto trave IPEA 140 mt.2,30 (alleggerita)</t>
        </is>
      </c>
      <c r="C38" s="13" t="inlineStr">
        <is>
          <t>IPEA 140</t>
        </is>
      </c>
      <c r="D38" s="19" t="n">
        <v>2.3</v>
      </c>
      <c r="E38" s="20">
        <f>IF(AND(ISNUMBER($D38),ISNUMBER(VLOOKUP($C38,$A$5:$F$14,4,FALSE))),$D38*VLOOKUP($C38,$A$5:$F$14,4,FALSE),"")</f>
        <v/>
      </c>
      <c r="F38" s="12">
        <f>IF(AND(ISNUMBER($D38),ISNUMBER(VLOOKUP($C38,$A$5:$F$14,2,FALSE)),ISNUMBER(VLOOKUP($C38,$A$5:$F$14,5,FALSE))),$D38*VLOOKUP($C38,$A$5:$F$14,2,FALSE)*VLOOKUP($C38,$A$5:$F$14,5,FALSE),"")</f>
        <v/>
      </c>
      <c r="G38" s="12">
        <f>IF(AND(ISNUMBER($D38),ISNUMBER(VLOOKUP($C38,$A$5:$F$14,2,FALSE)),ISNUMBER(VLOOKUP($C38,$A$5:$F$14,3,FALSE)),VLOOKUP($C38,$A$5:$F$14,3,FALSE)&gt;0,ISNUMBER(VLOOKUP($C38,$A$5:$F$14,6,FALSE))),$D38*VLOOKUP($C38,$A$5:$F$14,2,FALSE)*(1+VLOOKUP($C38,$A$5:$F$14,3,FALSE))*VLOOKUP($C38,$A$5:$F$14,6,FALSE),"")</f>
        <v/>
      </c>
    </row>
    <row r="39">
      <c r="A39" t="inlineStr">
        <is>
          <t>TTS.PC.001.IPEA140.23.FI</t>
        </is>
      </c>
      <c r="B39" t="inlineStr">
        <is>
          <t>Pilastro cuscinetto trave ipea140 x mt. 2,30 con foratura alloggiamento inverter (alleggerita)</t>
        </is>
      </c>
      <c r="C39" s="13" t="inlineStr">
        <is>
          <t>IPEA 140</t>
        </is>
      </c>
      <c r="D39" s="19" t="n">
        <v>2.3</v>
      </c>
      <c r="E39" s="20">
        <f>IF(AND(ISNUMBER($D39),ISNUMBER(VLOOKUP($C39,$A$5:$F$14,4,FALSE))),$D39*VLOOKUP($C39,$A$5:$F$14,4,FALSE),"")</f>
        <v/>
      </c>
      <c r="F39" s="12">
        <f>IF(AND(ISNUMBER($D39),ISNUMBER(VLOOKUP($C39,$A$5:$F$14,2,FALSE)),ISNUMBER(VLOOKUP($C39,$A$5:$F$14,5,FALSE))),$D39*VLOOKUP($C39,$A$5:$F$14,2,FALSE)*VLOOKUP($C39,$A$5:$F$14,5,FALSE),"")</f>
        <v/>
      </c>
      <c r="G39" s="12">
        <f>IF(AND(ISNUMBER($D39),ISNUMBER(VLOOKUP($C39,$A$5:$F$14,2,FALSE)),ISNUMBER(VLOOKUP($C39,$A$5:$F$14,3,FALSE)),VLOOKUP($C39,$A$5:$F$14,3,FALSE)&gt;0,ISNUMBER(VLOOKUP($C39,$A$5:$F$14,6,FALSE))),$D39*VLOOKUP($C39,$A$5:$F$14,2,FALSE)*(1+VLOOKUP($C39,$A$5:$F$14,3,FALSE))*VLOOKUP($C39,$A$5:$F$14,6,FALSE),"")</f>
        <v/>
      </c>
    </row>
    <row r="40">
      <c r="A40" t="inlineStr">
        <is>
          <t>TTS.PC.001.IPEA140.23.FQA</t>
        </is>
      </c>
      <c r="B40" t="inlineStr">
        <is>
          <t>Pilastro cuscinetto trave ipea140 x mt. 2,30 con foratura alloggiamento quadro area (alleggerita)</t>
        </is>
      </c>
      <c r="C40" s="13" t="inlineStr">
        <is>
          <t>IPEA 140</t>
        </is>
      </c>
      <c r="D40" s="19" t="n">
        <v>2.3</v>
      </c>
      <c r="E40" s="20">
        <f>IF(AND(ISNUMBER($D40),ISNUMBER(VLOOKUP($C40,$A$5:$F$14,4,FALSE))),$D40*VLOOKUP($C40,$A$5:$F$14,4,FALSE),"")</f>
        <v/>
      </c>
      <c r="F40" s="12">
        <f>IF(AND(ISNUMBER($D40),ISNUMBER(VLOOKUP($C40,$A$5:$F$14,2,FALSE)),ISNUMBER(VLOOKUP($C40,$A$5:$F$14,5,FALSE))),$D40*VLOOKUP($C40,$A$5:$F$14,2,FALSE)*VLOOKUP($C40,$A$5:$F$14,5,FALSE),"")</f>
        <v/>
      </c>
      <c r="G40" s="12">
        <f>IF(AND(ISNUMBER($D40),ISNUMBER(VLOOKUP($C40,$A$5:$F$14,2,FALSE)),ISNUMBER(VLOOKUP($C40,$A$5:$F$14,3,FALSE)),VLOOKUP($C40,$A$5:$F$14,3,FALSE)&gt;0,ISNUMBER(VLOOKUP($C40,$A$5:$F$14,6,FALSE))),$D40*VLOOKUP($C40,$A$5:$F$14,2,FALSE)*(1+VLOOKUP($C40,$A$5:$F$14,3,FALSE))*VLOOKUP($C40,$A$5:$F$14,6,FALSE),"")</f>
        <v/>
      </c>
    </row>
    <row r="41">
      <c r="A41" t="inlineStr">
        <is>
          <t>TTS.PC.001.IPEA140.28</t>
        </is>
      </c>
      <c r="B41" t="inlineStr">
        <is>
          <t>Pilastro cuscinetto trave IPEA 140 mt.2,80 (alleggerita)</t>
        </is>
      </c>
      <c r="C41" s="13" t="inlineStr">
        <is>
          <t>IPEA 140</t>
        </is>
      </c>
      <c r="D41" s="19" t="n">
        <v>2.8</v>
      </c>
      <c r="E41" s="20">
        <f>IF(AND(ISNUMBER($D41),ISNUMBER(VLOOKUP($C41,$A$5:$F$14,4,FALSE))),$D41*VLOOKUP($C41,$A$5:$F$14,4,FALSE),"")</f>
        <v/>
      </c>
      <c r="F41" s="12">
        <f>IF(AND(ISNUMBER($D41),ISNUMBER(VLOOKUP($C41,$A$5:$F$14,2,FALSE)),ISNUMBER(VLOOKUP($C41,$A$5:$F$14,5,FALSE))),$D41*VLOOKUP($C41,$A$5:$F$14,2,FALSE)*VLOOKUP($C41,$A$5:$F$14,5,FALSE),"")</f>
        <v/>
      </c>
      <c r="G41" s="12">
        <f>IF(AND(ISNUMBER($D41),ISNUMBER(VLOOKUP($C41,$A$5:$F$14,2,FALSE)),ISNUMBER(VLOOKUP($C41,$A$5:$F$14,3,FALSE)),VLOOKUP($C41,$A$5:$F$14,3,FALSE)&gt;0,ISNUMBER(VLOOKUP($C41,$A$5:$F$14,6,FALSE))),$D41*VLOOKUP($C41,$A$5:$F$14,2,FALSE)*(1+VLOOKUP($C41,$A$5:$F$14,3,FALSE))*VLOOKUP($C41,$A$5:$F$14,6,FALSE),"")</f>
        <v/>
      </c>
    </row>
    <row r="42">
      <c r="A42" t="inlineStr">
        <is>
          <t>TTS.PC.001.IPEA140.29</t>
        </is>
      </c>
      <c r="B42" t="inlineStr">
        <is>
          <t>Pilastro cuscinetto trave IPEA 140 mt.2,90 (alleggerita)</t>
        </is>
      </c>
      <c r="C42" s="13" t="inlineStr">
        <is>
          <t>IPEA 140</t>
        </is>
      </c>
      <c r="D42" s="19" t="n">
        <v>2.9</v>
      </c>
      <c r="E42" s="20">
        <f>IF(AND(ISNUMBER($D42),ISNUMBER(VLOOKUP($C42,$A$5:$F$14,4,FALSE))),$D42*VLOOKUP($C42,$A$5:$F$14,4,FALSE),"")</f>
        <v/>
      </c>
      <c r="F42" s="12">
        <f>IF(AND(ISNUMBER($D42),ISNUMBER(VLOOKUP($C42,$A$5:$F$14,2,FALSE)),ISNUMBER(VLOOKUP($C42,$A$5:$F$14,5,FALSE))),$D42*VLOOKUP($C42,$A$5:$F$14,2,FALSE)*VLOOKUP($C42,$A$5:$F$14,5,FALSE),"")</f>
        <v/>
      </c>
      <c r="G42" s="12">
        <f>IF(AND(ISNUMBER($D42),ISNUMBER(VLOOKUP($C42,$A$5:$F$14,2,FALSE)),ISNUMBER(VLOOKUP($C42,$A$5:$F$14,3,FALSE)),VLOOKUP($C42,$A$5:$F$14,3,FALSE)&gt;0,ISNUMBER(VLOOKUP($C42,$A$5:$F$14,6,FALSE))),$D42*VLOOKUP($C42,$A$5:$F$14,2,FALSE)*(1+VLOOKUP($C42,$A$5:$F$14,3,FALSE))*VLOOKUP($C42,$A$5:$F$14,6,FALSE),"")</f>
        <v/>
      </c>
    </row>
    <row r="43">
      <c r="A43" t="inlineStr">
        <is>
          <t>TTS.PC.001.IPEA140.30</t>
        </is>
      </c>
      <c r="B43" t="inlineStr">
        <is>
          <t>Pilastro cuscinetto trave IPEA 140 mt.3,00 (alleggerita)</t>
        </is>
      </c>
      <c r="C43" s="13" t="inlineStr">
        <is>
          <t>IPEA 140</t>
        </is>
      </c>
      <c r="D43" s="19" t="n">
        <v>3</v>
      </c>
      <c r="E43" s="20">
        <f>IF(AND(ISNUMBER($D43),ISNUMBER(VLOOKUP($C43,$A$5:$F$14,4,FALSE))),$D43*VLOOKUP($C43,$A$5:$F$14,4,FALSE),"")</f>
        <v/>
      </c>
      <c r="F43" s="12">
        <f>IF(AND(ISNUMBER($D43),ISNUMBER(VLOOKUP($C43,$A$5:$F$14,2,FALSE)),ISNUMBER(VLOOKUP($C43,$A$5:$F$14,5,FALSE))),$D43*VLOOKUP($C43,$A$5:$F$14,2,FALSE)*VLOOKUP($C43,$A$5:$F$14,5,FALSE),"")</f>
        <v/>
      </c>
      <c r="G43" s="12">
        <f>IF(AND(ISNUMBER($D43),ISNUMBER(VLOOKUP($C43,$A$5:$F$14,2,FALSE)),ISNUMBER(VLOOKUP($C43,$A$5:$F$14,3,FALSE)),VLOOKUP($C43,$A$5:$F$14,3,FALSE)&gt;0,ISNUMBER(VLOOKUP($C43,$A$5:$F$14,6,FALSE))),$D43*VLOOKUP($C43,$A$5:$F$14,2,FALSE)*(1+VLOOKUP($C43,$A$5:$F$14,3,FALSE))*VLOOKUP($C43,$A$5:$F$14,6,FALSE),"")</f>
        <v/>
      </c>
    </row>
    <row r="44">
      <c r="A44" t="inlineStr">
        <is>
          <t>TTS.PC.001.IPEA140.31</t>
        </is>
      </c>
      <c r="B44" t="inlineStr">
        <is>
          <t>Pilastro cuscinetto trave IPEA 140 mt.3,10 (alleggerita)</t>
        </is>
      </c>
      <c r="C44" s="13" t="inlineStr">
        <is>
          <t>IPEA 140</t>
        </is>
      </c>
      <c r="D44" s="19" t="n">
        <v>3.1</v>
      </c>
      <c r="E44" s="20">
        <f>IF(AND(ISNUMBER($D44),ISNUMBER(VLOOKUP($C44,$A$5:$F$14,4,FALSE))),$D44*VLOOKUP($C44,$A$5:$F$14,4,FALSE),"")</f>
        <v/>
      </c>
      <c r="F44" s="12">
        <f>IF(AND(ISNUMBER($D44),ISNUMBER(VLOOKUP($C44,$A$5:$F$14,2,FALSE)),ISNUMBER(VLOOKUP($C44,$A$5:$F$14,5,FALSE))),$D44*VLOOKUP($C44,$A$5:$F$14,2,FALSE)*VLOOKUP($C44,$A$5:$F$14,5,FALSE),"")</f>
        <v/>
      </c>
      <c r="G44" s="12">
        <f>IF(AND(ISNUMBER($D44),ISNUMBER(VLOOKUP($C44,$A$5:$F$14,2,FALSE)),ISNUMBER(VLOOKUP($C44,$A$5:$F$14,3,FALSE)),VLOOKUP($C44,$A$5:$F$14,3,FALSE)&gt;0,ISNUMBER(VLOOKUP($C44,$A$5:$F$14,6,FALSE))),$D44*VLOOKUP($C44,$A$5:$F$14,2,FALSE)*(1+VLOOKUP($C44,$A$5:$F$14,3,FALSE))*VLOOKUP($C44,$A$5:$F$14,6,FALSE),"")</f>
        <v/>
      </c>
    </row>
    <row r="45">
      <c r="A45" t="inlineStr">
        <is>
          <t>TTS.PC.001.IPEA140.32</t>
        </is>
      </c>
      <c r="B45" t="inlineStr">
        <is>
          <t>Pilastro cuscinetto trave IPEA 140 mt.3,20 (alleggerita)</t>
        </is>
      </c>
      <c r="C45" s="13" t="inlineStr">
        <is>
          <t>IPEA 140</t>
        </is>
      </c>
      <c r="D45" s="19" t="n">
        <v>3.2</v>
      </c>
      <c r="E45" s="20">
        <f>IF(AND(ISNUMBER($D45),ISNUMBER(VLOOKUP($C45,$A$5:$F$14,4,FALSE))),$D45*VLOOKUP($C45,$A$5:$F$14,4,FALSE),"")</f>
        <v/>
      </c>
      <c r="F45" s="12">
        <f>IF(AND(ISNUMBER($D45),ISNUMBER(VLOOKUP($C45,$A$5:$F$14,2,FALSE)),ISNUMBER(VLOOKUP($C45,$A$5:$F$14,5,FALSE))),$D45*VLOOKUP($C45,$A$5:$F$14,2,FALSE)*VLOOKUP($C45,$A$5:$F$14,5,FALSE),"")</f>
        <v/>
      </c>
      <c r="G45" s="12">
        <f>IF(AND(ISNUMBER($D45),ISNUMBER(VLOOKUP($C45,$A$5:$F$14,2,FALSE)),ISNUMBER(VLOOKUP($C45,$A$5:$F$14,3,FALSE)),VLOOKUP($C45,$A$5:$F$14,3,FALSE)&gt;0,ISNUMBER(VLOOKUP($C45,$A$5:$F$14,6,FALSE))),$D45*VLOOKUP($C45,$A$5:$F$14,2,FALSE)*(1+VLOOKUP($C45,$A$5:$F$14,3,FALSE))*VLOOKUP($C45,$A$5:$F$14,6,FALSE),"")</f>
        <v/>
      </c>
    </row>
    <row r="46">
      <c r="A46" t="inlineStr">
        <is>
          <t>TTS.PC.001.IPEA140.33</t>
        </is>
      </c>
      <c r="B46" t="inlineStr">
        <is>
          <t>Pilastro cuscinetto trave IPEA 140 mt.3,30 (alleggerita)</t>
        </is>
      </c>
      <c r="C46" s="13" t="inlineStr">
        <is>
          <t>IPEA 140</t>
        </is>
      </c>
      <c r="D46" s="19" t="n">
        <v>3.3</v>
      </c>
      <c r="E46" s="20">
        <f>IF(AND(ISNUMBER($D46),ISNUMBER(VLOOKUP($C46,$A$5:$F$14,4,FALSE))),$D46*VLOOKUP($C46,$A$5:$F$14,4,FALSE),"")</f>
        <v/>
      </c>
      <c r="F46" s="12">
        <f>IF(AND(ISNUMBER($D46),ISNUMBER(VLOOKUP($C46,$A$5:$F$14,2,FALSE)),ISNUMBER(VLOOKUP($C46,$A$5:$F$14,5,FALSE))),$D46*VLOOKUP($C46,$A$5:$F$14,2,FALSE)*VLOOKUP($C46,$A$5:$F$14,5,FALSE),"")</f>
        <v/>
      </c>
      <c r="G46" s="12">
        <f>IF(AND(ISNUMBER($D46),ISNUMBER(VLOOKUP($C46,$A$5:$F$14,2,FALSE)),ISNUMBER(VLOOKUP($C46,$A$5:$F$14,3,FALSE)),VLOOKUP($C46,$A$5:$F$14,3,FALSE)&gt;0,ISNUMBER(VLOOKUP($C46,$A$5:$F$14,6,FALSE))),$D46*VLOOKUP($C46,$A$5:$F$14,2,FALSE)*(1+VLOOKUP($C46,$A$5:$F$14,3,FALSE))*VLOOKUP($C46,$A$5:$F$14,6,FALSE),"")</f>
        <v/>
      </c>
    </row>
    <row r="47">
      <c r="A47" t="inlineStr">
        <is>
          <t>TTS.PC.001.IPEA140.34</t>
        </is>
      </c>
      <c r="B47" t="inlineStr">
        <is>
          <t>Pilastro cuscinetto trave IPEA 140 mt.3,40 (alleggerita)</t>
        </is>
      </c>
      <c r="C47" s="13" t="inlineStr">
        <is>
          <t>IPEA 140</t>
        </is>
      </c>
      <c r="D47" s="19" t="n">
        <v>3.4</v>
      </c>
      <c r="E47" s="20">
        <f>IF(AND(ISNUMBER($D47),ISNUMBER(VLOOKUP($C47,$A$5:$F$14,4,FALSE))),$D47*VLOOKUP($C47,$A$5:$F$14,4,FALSE),"")</f>
        <v/>
      </c>
      <c r="F47" s="12">
        <f>IF(AND(ISNUMBER($D47),ISNUMBER(VLOOKUP($C47,$A$5:$F$14,2,FALSE)),ISNUMBER(VLOOKUP($C47,$A$5:$F$14,5,FALSE))),$D47*VLOOKUP($C47,$A$5:$F$14,2,FALSE)*VLOOKUP($C47,$A$5:$F$14,5,FALSE),"")</f>
        <v/>
      </c>
      <c r="G47" s="12">
        <f>IF(AND(ISNUMBER($D47),ISNUMBER(VLOOKUP($C47,$A$5:$F$14,2,FALSE)),ISNUMBER(VLOOKUP($C47,$A$5:$F$14,3,FALSE)),VLOOKUP($C47,$A$5:$F$14,3,FALSE)&gt;0,ISNUMBER(VLOOKUP($C47,$A$5:$F$14,6,FALSE))),$D47*VLOOKUP($C47,$A$5:$F$14,2,FALSE)*(1+VLOOKUP($C47,$A$5:$F$14,3,FALSE))*VLOOKUP($C47,$A$5:$F$14,6,FALSE),"")</f>
        <v/>
      </c>
    </row>
    <row r="48">
      <c r="A48" t="inlineStr">
        <is>
          <t>TTS.PC.001.IPEA140.35</t>
        </is>
      </c>
      <c r="B48" t="inlineStr">
        <is>
          <t>Pilastro cuscinetto trave IPEA 140 mt.3,50 (alleggerita)</t>
        </is>
      </c>
      <c r="C48" s="13" t="inlineStr">
        <is>
          <t>IPEA 140</t>
        </is>
      </c>
      <c r="D48" s="19" t="n">
        <v>3.5</v>
      </c>
      <c r="E48" s="20">
        <f>IF(AND(ISNUMBER($D48),ISNUMBER(VLOOKUP($C48,$A$5:$F$14,4,FALSE))),$D48*VLOOKUP($C48,$A$5:$F$14,4,FALSE),"")</f>
        <v/>
      </c>
      <c r="F48" s="12">
        <f>IF(AND(ISNUMBER($D48),ISNUMBER(VLOOKUP($C48,$A$5:$F$14,2,FALSE)),ISNUMBER(VLOOKUP($C48,$A$5:$F$14,5,FALSE))),$D48*VLOOKUP($C48,$A$5:$F$14,2,FALSE)*VLOOKUP($C48,$A$5:$F$14,5,FALSE),"")</f>
        <v/>
      </c>
      <c r="G48" s="12">
        <f>IF(AND(ISNUMBER($D48),ISNUMBER(VLOOKUP($C48,$A$5:$F$14,2,FALSE)),ISNUMBER(VLOOKUP($C48,$A$5:$F$14,3,FALSE)),VLOOKUP($C48,$A$5:$F$14,3,FALSE)&gt;0,ISNUMBER(VLOOKUP($C48,$A$5:$F$14,6,FALSE))),$D48*VLOOKUP($C48,$A$5:$F$14,2,FALSE)*(1+VLOOKUP($C48,$A$5:$F$14,3,FALSE))*VLOOKUP($C48,$A$5:$F$14,6,FALSE),"")</f>
        <v/>
      </c>
    </row>
    <row r="49">
      <c r="A49" t="inlineStr">
        <is>
          <t>TTS.PC.001.IPEA140.36</t>
        </is>
      </c>
      <c r="B49" t="inlineStr">
        <is>
          <t>Pilastro cuscinetto trave IPEA 140 mt.3,60 (alleggerita)</t>
        </is>
      </c>
      <c r="C49" s="13" t="inlineStr">
        <is>
          <t>IPEA 140</t>
        </is>
      </c>
      <c r="D49" s="19" t="n">
        <v>3.6</v>
      </c>
      <c r="E49" s="20">
        <f>IF(AND(ISNUMBER($D49),ISNUMBER(VLOOKUP($C49,$A$5:$F$14,4,FALSE))),$D49*VLOOKUP($C49,$A$5:$F$14,4,FALSE),"")</f>
        <v/>
      </c>
      <c r="F49" s="12">
        <f>IF(AND(ISNUMBER($D49),ISNUMBER(VLOOKUP($C49,$A$5:$F$14,2,FALSE)),ISNUMBER(VLOOKUP($C49,$A$5:$F$14,5,FALSE))),$D49*VLOOKUP($C49,$A$5:$F$14,2,FALSE)*VLOOKUP($C49,$A$5:$F$14,5,FALSE),"")</f>
        <v/>
      </c>
      <c r="G49" s="12">
        <f>IF(AND(ISNUMBER($D49),ISNUMBER(VLOOKUP($C49,$A$5:$F$14,2,FALSE)),ISNUMBER(VLOOKUP($C49,$A$5:$F$14,3,FALSE)),VLOOKUP($C49,$A$5:$F$14,3,FALSE)&gt;0,ISNUMBER(VLOOKUP($C49,$A$5:$F$14,6,FALSE))),$D49*VLOOKUP($C49,$A$5:$F$14,2,FALSE)*(1+VLOOKUP($C49,$A$5:$F$14,3,FALSE))*VLOOKUP($C49,$A$5:$F$14,6,FALSE),"")</f>
        <v/>
      </c>
    </row>
    <row r="50">
      <c r="A50" t="inlineStr">
        <is>
          <t>TTS.PC.001.IPEA140.37</t>
        </is>
      </c>
      <c r="B50" t="inlineStr">
        <is>
          <t>Pilastro cuscinetto trave IPEA 140 mt.3,70 (alleggerita)</t>
        </is>
      </c>
      <c r="C50" s="13" t="inlineStr">
        <is>
          <t>IPEA 140</t>
        </is>
      </c>
      <c r="D50" s="19" t="n">
        <v>3.7</v>
      </c>
      <c r="E50" s="20">
        <f>IF(AND(ISNUMBER($D50),ISNUMBER(VLOOKUP($C50,$A$5:$F$14,4,FALSE))),$D50*VLOOKUP($C50,$A$5:$F$14,4,FALSE),"")</f>
        <v/>
      </c>
      <c r="F50" s="12">
        <f>IF(AND(ISNUMBER($D50),ISNUMBER(VLOOKUP($C50,$A$5:$F$14,2,FALSE)),ISNUMBER(VLOOKUP($C50,$A$5:$F$14,5,FALSE))),$D50*VLOOKUP($C50,$A$5:$F$14,2,FALSE)*VLOOKUP($C50,$A$5:$F$14,5,FALSE),"")</f>
        <v/>
      </c>
      <c r="G50" s="12">
        <f>IF(AND(ISNUMBER($D50),ISNUMBER(VLOOKUP($C50,$A$5:$F$14,2,FALSE)),ISNUMBER(VLOOKUP($C50,$A$5:$F$14,3,FALSE)),VLOOKUP($C50,$A$5:$F$14,3,FALSE)&gt;0,ISNUMBER(VLOOKUP($C50,$A$5:$F$14,6,FALSE))),$D50*VLOOKUP($C50,$A$5:$F$14,2,FALSE)*(1+VLOOKUP($C50,$A$5:$F$14,3,FALSE))*VLOOKUP($C50,$A$5:$F$14,6,FALSE),"")</f>
        <v/>
      </c>
    </row>
    <row r="51">
      <c r="A51" t="inlineStr">
        <is>
          <t>TTS.PC.001.IPEA140.38</t>
        </is>
      </c>
      <c r="B51" t="inlineStr">
        <is>
          <t>Pilastro cuscinetto trave IPEA 140 mt.3,80 (alleggerita)</t>
        </is>
      </c>
      <c r="C51" s="13" t="inlineStr">
        <is>
          <t>IPEA 140</t>
        </is>
      </c>
      <c r="D51" s="19" t="n">
        <v>3.8</v>
      </c>
      <c r="E51" s="20">
        <f>IF(AND(ISNUMBER($D51),ISNUMBER(VLOOKUP($C51,$A$5:$F$14,4,FALSE))),$D51*VLOOKUP($C51,$A$5:$F$14,4,FALSE),"")</f>
        <v/>
      </c>
      <c r="F51" s="12">
        <f>IF(AND(ISNUMBER($D51),ISNUMBER(VLOOKUP($C51,$A$5:$F$14,2,FALSE)),ISNUMBER(VLOOKUP($C51,$A$5:$F$14,5,FALSE))),$D51*VLOOKUP($C51,$A$5:$F$14,2,FALSE)*VLOOKUP($C51,$A$5:$F$14,5,FALSE),"")</f>
        <v/>
      </c>
      <c r="G51" s="12">
        <f>IF(AND(ISNUMBER($D51),ISNUMBER(VLOOKUP($C51,$A$5:$F$14,2,FALSE)),ISNUMBER(VLOOKUP($C51,$A$5:$F$14,3,FALSE)),VLOOKUP($C51,$A$5:$F$14,3,FALSE)&gt;0,ISNUMBER(VLOOKUP($C51,$A$5:$F$14,6,FALSE))),$D51*VLOOKUP($C51,$A$5:$F$14,2,FALSE)*(1+VLOOKUP($C51,$A$5:$F$14,3,FALSE))*VLOOKUP($C51,$A$5:$F$14,6,FALSE),"")</f>
        <v/>
      </c>
    </row>
    <row r="52">
      <c r="A52" t="inlineStr">
        <is>
          <t>TTS.PC.001.IPEA140.39</t>
        </is>
      </c>
      <c r="B52" t="inlineStr">
        <is>
          <t>Pilastro cuscinetto trave IPEA 140 mt.3,90 (alleggerita)</t>
        </is>
      </c>
      <c r="C52" s="13" t="inlineStr">
        <is>
          <t>IPEA 140</t>
        </is>
      </c>
      <c r="D52" s="19" t="n">
        <v>3.9</v>
      </c>
      <c r="E52" s="20">
        <f>IF(AND(ISNUMBER($D52),ISNUMBER(VLOOKUP($C52,$A$5:$F$14,4,FALSE))),$D52*VLOOKUP($C52,$A$5:$F$14,4,FALSE),"")</f>
        <v/>
      </c>
      <c r="F52" s="12">
        <f>IF(AND(ISNUMBER($D52),ISNUMBER(VLOOKUP($C52,$A$5:$F$14,2,FALSE)),ISNUMBER(VLOOKUP($C52,$A$5:$F$14,5,FALSE))),$D52*VLOOKUP($C52,$A$5:$F$14,2,FALSE)*VLOOKUP($C52,$A$5:$F$14,5,FALSE),"")</f>
        <v/>
      </c>
      <c r="G52" s="12">
        <f>IF(AND(ISNUMBER($D52),ISNUMBER(VLOOKUP($C52,$A$5:$F$14,2,FALSE)),ISNUMBER(VLOOKUP($C52,$A$5:$F$14,3,FALSE)),VLOOKUP($C52,$A$5:$F$14,3,FALSE)&gt;0,ISNUMBER(VLOOKUP($C52,$A$5:$F$14,6,FALSE))),$D52*VLOOKUP($C52,$A$5:$F$14,2,FALSE)*(1+VLOOKUP($C52,$A$5:$F$14,3,FALSE))*VLOOKUP($C52,$A$5:$F$14,6,FALSE),"")</f>
        <v/>
      </c>
    </row>
    <row r="53">
      <c r="A53" t="inlineStr">
        <is>
          <t>TTS.PC.001.IPEA140.40</t>
        </is>
      </c>
      <c r="B53" t="inlineStr">
        <is>
          <t>Pilastro cuscinetto trave IPEA 140 mt.4,00 (alleggerita)</t>
        </is>
      </c>
      <c r="C53" s="13" t="inlineStr">
        <is>
          <t>IPEA 140</t>
        </is>
      </c>
      <c r="D53" s="19" t="n">
        <v>4</v>
      </c>
      <c r="E53" s="20">
        <f>IF(AND(ISNUMBER($D53),ISNUMBER(VLOOKUP($C53,$A$5:$F$14,4,FALSE))),$D53*VLOOKUP($C53,$A$5:$F$14,4,FALSE),"")</f>
        <v/>
      </c>
      <c r="F53" s="12">
        <f>IF(AND(ISNUMBER($D53),ISNUMBER(VLOOKUP($C53,$A$5:$F$14,2,FALSE)),ISNUMBER(VLOOKUP($C53,$A$5:$F$14,5,FALSE))),$D53*VLOOKUP($C53,$A$5:$F$14,2,FALSE)*VLOOKUP($C53,$A$5:$F$14,5,FALSE),"")</f>
        <v/>
      </c>
      <c r="G53" s="12">
        <f>IF(AND(ISNUMBER($D53),ISNUMBER(VLOOKUP($C53,$A$5:$F$14,2,FALSE)),ISNUMBER(VLOOKUP($C53,$A$5:$F$14,3,FALSE)),VLOOKUP($C53,$A$5:$F$14,3,FALSE)&gt;0,ISNUMBER(VLOOKUP($C53,$A$5:$F$14,6,FALSE))),$D53*VLOOKUP($C53,$A$5:$F$14,2,FALSE)*(1+VLOOKUP($C53,$A$5:$F$14,3,FALSE))*VLOOKUP($C53,$A$5:$F$14,6,FALSE),"")</f>
        <v/>
      </c>
    </row>
    <row r="54">
      <c r="A54" t="inlineStr">
        <is>
          <t>TTS.PC.001.IPEA140.41</t>
        </is>
      </c>
      <c r="B54" t="inlineStr">
        <is>
          <t>Pilastro cuscinetto trave IPEA 140 mt.4,10 (alleggerita)</t>
        </is>
      </c>
      <c r="C54" s="13" t="inlineStr">
        <is>
          <t>IPEA 140</t>
        </is>
      </c>
      <c r="D54" s="19" t="n">
        <v>4.1</v>
      </c>
      <c r="E54" s="20">
        <f>IF(AND(ISNUMBER($D54),ISNUMBER(VLOOKUP($C54,$A$5:$F$14,4,FALSE))),$D54*VLOOKUP($C54,$A$5:$F$14,4,FALSE),"")</f>
        <v/>
      </c>
      <c r="F54" s="12">
        <f>IF(AND(ISNUMBER($D54),ISNUMBER(VLOOKUP($C54,$A$5:$F$14,2,FALSE)),ISNUMBER(VLOOKUP($C54,$A$5:$F$14,5,FALSE))),$D54*VLOOKUP($C54,$A$5:$F$14,2,FALSE)*VLOOKUP($C54,$A$5:$F$14,5,FALSE),"")</f>
        <v/>
      </c>
      <c r="G54" s="12">
        <f>IF(AND(ISNUMBER($D54),ISNUMBER(VLOOKUP($C54,$A$5:$F$14,2,FALSE)),ISNUMBER(VLOOKUP($C54,$A$5:$F$14,3,FALSE)),VLOOKUP($C54,$A$5:$F$14,3,FALSE)&gt;0,ISNUMBER(VLOOKUP($C54,$A$5:$F$14,6,FALSE))),$D54*VLOOKUP($C54,$A$5:$F$14,2,FALSE)*(1+VLOOKUP($C54,$A$5:$F$14,3,FALSE))*VLOOKUP($C54,$A$5:$F$14,6,FALSE),"")</f>
        <v/>
      </c>
    </row>
    <row r="55">
      <c r="A55" t="inlineStr">
        <is>
          <t>TTS.PC.001.IPEA140.42</t>
        </is>
      </c>
      <c r="B55" t="inlineStr">
        <is>
          <t>Pilastro cuscinetto trave IPEA 140 mt.4,20 (alleggerita)</t>
        </is>
      </c>
      <c r="C55" s="13" t="inlineStr">
        <is>
          <t>IPEA 140</t>
        </is>
      </c>
      <c r="D55" s="19" t="n">
        <v>4.2</v>
      </c>
      <c r="E55" s="20">
        <f>IF(AND(ISNUMBER($D55),ISNUMBER(VLOOKUP($C55,$A$5:$F$14,4,FALSE))),$D55*VLOOKUP($C55,$A$5:$F$14,4,FALSE),"")</f>
        <v/>
      </c>
      <c r="F55" s="12">
        <f>IF(AND(ISNUMBER($D55),ISNUMBER(VLOOKUP($C55,$A$5:$F$14,2,FALSE)),ISNUMBER(VLOOKUP($C55,$A$5:$F$14,5,FALSE))),$D55*VLOOKUP($C55,$A$5:$F$14,2,FALSE)*VLOOKUP($C55,$A$5:$F$14,5,FALSE),"")</f>
        <v/>
      </c>
      <c r="G55" s="12">
        <f>IF(AND(ISNUMBER($D55),ISNUMBER(VLOOKUP($C55,$A$5:$F$14,2,FALSE)),ISNUMBER(VLOOKUP($C55,$A$5:$F$14,3,FALSE)),VLOOKUP($C55,$A$5:$F$14,3,FALSE)&gt;0,ISNUMBER(VLOOKUP($C55,$A$5:$F$14,6,FALSE))),$D55*VLOOKUP($C55,$A$5:$F$14,2,FALSE)*(1+VLOOKUP($C55,$A$5:$F$14,3,FALSE))*VLOOKUP($C55,$A$5:$F$14,6,FALSE),"")</f>
        <v/>
      </c>
    </row>
    <row r="56">
      <c r="A56" t="inlineStr">
        <is>
          <t>TTS.PC.001.IPEA140.43</t>
        </is>
      </c>
      <c r="B56" t="inlineStr">
        <is>
          <t>Pilastro cuscinetto trave IPEA 140 mt.4,30 (alleggerita)</t>
        </is>
      </c>
      <c r="C56" s="13" t="inlineStr">
        <is>
          <t>IPEA 140</t>
        </is>
      </c>
      <c r="D56" s="19" t="n">
        <v>4.3</v>
      </c>
      <c r="E56" s="20">
        <f>IF(AND(ISNUMBER($D56),ISNUMBER(VLOOKUP($C56,$A$5:$F$14,4,FALSE))),$D56*VLOOKUP($C56,$A$5:$F$14,4,FALSE),"")</f>
        <v/>
      </c>
      <c r="F56" s="12">
        <f>IF(AND(ISNUMBER($D56),ISNUMBER(VLOOKUP($C56,$A$5:$F$14,2,FALSE)),ISNUMBER(VLOOKUP($C56,$A$5:$F$14,5,FALSE))),$D56*VLOOKUP($C56,$A$5:$F$14,2,FALSE)*VLOOKUP($C56,$A$5:$F$14,5,FALSE),"")</f>
        <v/>
      </c>
      <c r="G56" s="12">
        <f>IF(AND(ISNUMBER($D56),ISNUMBER(VLOOKUP($C56,$A$5:$F$14,2,FALSE)),ISNUMBER(VLOOKUP($C56,$A$5:$F$14,3,FALSE)),VLOOKUP($C56,$A$5:$F$14,3,FALSE)&gt;0,ISNUMBER(VLOOKUP($C56,$A$5:$F$14,6,FALSE))),$D56*VLOOKUP($C56,$A$5:$F$14,2,FALSE)*(1+VLOOKUP($C56,$A$5:$F$14,3,FALSE))*VLOOKUP($C56,$A$5:$F$14,6,FALSE),"")</f>
        <v/>
      </c>
    </row>
    <row r="57">
      <c r="A57" t="inlineStr">
        <is>
          <t>TTS.PC.001.IPEA140.44</t>
        </is>
      </c>
      <c r="B57" t="inlineStr">
        <is>
          <t>Pilastro cuscinetto trave IPEA 140 mt.4,40 (alleggerita)</t>
        </is>
      </c>
      <c r="C57" s="13" t="inlineStr">
        <is>
          <t>IPEA 140</t>
        </is>
      </c>
      <c r="D57" s="19" t="n">
        <v>4.4</v>
      </c>
      <c r="E57" s="20">
        <f>IF(AND(ISNUMBER($D57),ISNUMBER(VLOOKUP($C57,$A$5:$F$14,4,FALSE))),$D57*VLOOKUP($C57,$A$5:$F$14,4,FALSE),"")</f>
        <v/>
      </c>
      <c r="F57" s="12">
        <f>IF(AND(ISNUMBER($D57),ISNUMBER(VLOOKUP($C57,$A$5:$F$14,2,FALSE)),ISNUMBER(VLOOKUP($C57,$A$5:$F$14,5,FALSE))),$D57*VLOOKUP($C57,$A$5:$F$14,2,FALSE)*VLOOKUP($C57,$A$5:$F$14,5,FALSE),"")</f>
        <v/>
      </c>
      <c r="G57" s="12">
        <f>IF(AND(ISNUMBER($D57),ISNUMBER(VLOOKUP($C57,$A$5:$F$14,2,FALSE)),ISNUMBER(VLOOKUP($C57,$A$5:$F$14,3,FALSE)),VLOOKUP($C57,$A$5:$F$14,3,FALSE)&gt;0,ISNUMBER(VLOOKUP($C57,$A$5:$F$14,6,FALSE))),$D57*VLOOKUP($C57,$A$5:$F$14,2,FALSE)*(1+VLOOKUP($C57,$A$5:$F$14,3,FALSE))*VLOOKUP($C57,$A$5:$F$14,6,FALSE),"")</f>
        <v/>
      </c>
    </row>
    <row r="58">
      <c r="A58" t="inlineStr">
        <is>
          <t>TTS.PC.001.IPEA140.45</t>
        </is>
      </c>
      <c r="B58" t="inlineStr">
        <is>
          <t>Pilastro cuscinetto trave IPEA 140 mt.4,50 (alleggerita)</t>
        </is>
      </c>
      <c r="C58" s="13" t="inlineStr">
        <is>
          <t>IPEA 140</t>
        </is>
      </c>
      <c r="D58" s="19" t="n">
        <v>4.5</v>
      </c>
      <c r="E58" s="20">
        <f>IF(AND(ISNUMBER($D58),ISNUMBER(VLOOKUP($C58,$A$5:$F$14,4,FALSE))),$D58*VLOOKUP($C58,$A$5:$F$14,4,FALSE),"")</f>
        <v/>
      </c>
      <c r="F58" s="12">
        <f>IF(AND(ISNUMBER($D58),ISNUMBER(VLOOKUP($C58,$A$5:$F$14,2,FALSE)),ISNUMBER(VLOOKUP($C58,$A$5:$F$14,5,FALSE))),$D58*VLOOKUP($C58,$A$5:$F$14,2,FALSE)*VLOOKUP($C58,$A$5:$F$14,5,FALSE),"")</f>
        <v/>
      </c>
      <c r="G58" s="12">
        <f>IF(AND(ISNUMBER($D58),ISNUMBER(VLOOKUP($C58,$A$5:$F$14,2,FALSE)),ISNUMBER(VLOOKUP($C58,$A$5:$F$14,3,FALSE)),VLOOKUP($C58,$A$5:$F$14,3,FALSE)&gt;0,ISNUMBER(VLOOKUP($C58,$A$5:$F$14,6,FALSE))),$D58*VLOOKUP($C58,$A$5:$F$14,2,FALSE)*(1+VLOOKUP($C58,$A$5:$F$14,3,FALSE))*VLOOKUP($C58,$A$5:$F$14,6,FALSE),"")</f>
        <v/>
      </c>
    </row>
    <row r="59">
      <c r="A59" t="inlineStr">
        <is>
          <t>TTS.PF.001.IPE140.26</t>
        </is>
      </c>
      <c r="B59" t="inlineStr">
        <is>
          <t>Pilastro fondazione trave IPE140 mt.2,60</t>
        </is>
      </c>
      <c r="C59" s="13" t="inlineStr">
        <is>
          <t>IPE 140</t>
        </is>
      </c>
      <c r="D59" s="19" t="n">
        <v>2.6</v>
      </c>
      <c r="E59" s="20">
        <f>IF(AND(ISNUMBER($D59),ISNUMBER(VLOOKUP($C59,$A$5:$F$14,4,FALSE))),$D59*VLOOKUP($C59,$A$5:$F$14,4,FALSE),"")</f>
        <v/>
      </c>
      <c r="F59" s="12">
        <f>IF(AND(ISNUMBER($D59),ISNUMBER(VLOOKUP($C59,$A$5:$F$14,2,FALSE)),ISNUMBER(VLOOKUP($C59,$A$5:$F$14,5,FALSE))),$D59*VLOOKUP($C59,$A$5:$F$14,2,FALSE)*VLOOKUP($C59,$A$5:$F$14,5,FALSE),"")</f>
        <v/>
      </c>
      <c r="G59" s="12">
        <f>IF(AND(ISNUMBER($D59),ISNUMBER(VLOOKUP($C59,$A$5:$F$14,2,FALSE)),ISNUMBER(VLOOKUP($C59,$A$5:$F$14,3,FALSE)),VLOOKUP($C59,$A$5:$F$14,3,FALSE)&gt;0,ISNUMBER(VLOOKUP($C59,$A$5:$F$14,6,FALSE))),$D59*VLOOKUP($C59,$A$5:$F$14,2,FALSE)*(1+VLOOKUP($C59,$A$5:$F$14,3,FALSE))*VLOOKUP($C59,$A$5:$F$14,6,FALSE),"")</f>
        <v/>
      </c>
    </row>
    <row r="60">
      <c r="A60" t="inlineStr">
        <is>
          <t>TTS.PF.001.IPE140.27</t>
        </is>
      </c>
      <c r="B60" t="inlineStr">
        <is>
          <t>Pilastro fondazione trave IPE140 mt.2,70</t>
        </is>
      </c>
      <c r="C60" s="13" t="inlineStr">
        <is>
          <t>IPE 140</t>
        </is>
      </c>
      <c r="D60" s="19" t="n">
        <v>2.7</v>
      </c>
      <c r="E60" s="20">
        <f>IF(AND(ISNUMBER($D60),ISNUMBER(VLOOKUP($C60,$A$5:$F$14,4,FALSE))),$D60*VLOOKUP($C60,$A$5:$F$14,4,FALSE),"")</f>
        <v/>
      </c>
      <c r="F60" s="12">
        <f>IF(AND(ISNUMBER($D60),ISNUMBER(VLOOKUP($C60,$A$5:$F$14,2,FALSE)),ISNUMBER(VLOOKUP($C60,$A$5:$F$14,5,FALSE))),$D60*VLOOKUP($C60,$A$5:$F$14,2,FALSE)*VLOOKUP($C60,$A$5:$F$14,5,FALSE),"")</f>
        <v/>
      </c>
      <c r="G60" s="12">
        <f>IF(AND(ISNUMBER($D60),ISNUMBER(VLOOKUP($C60,$A$5:$F$14,2,FALSE)),ISNUMBER(VLOOKUP($C60,$A$5:$F$14,3,FALSE)),VLOOKUP($C60,$A$5:$F$14,3,FALSE)&gt;0,ISNUMBER(VLOOKUP($C60,$A$5:$F$14,6,FALSE))),$D60*VLOOKUP($C60,$A$5:$F$14,2,FALSE)*(1+VLOOKUP($C60,$A$5:$F$14,3,FALSE))*VLOOKUP($C60,$A$5:$F$14,6,FALSE),"")</f>
        <v/>
      </c>
    </row>
    <row r="61">
      <c r="A61" t="inlineStr">
        <is>
          <t>TTS.PF.001.IPE140.28</t>
        </is>
      </c>
      <c r="B61" t="inlineStr">
        <is>
          <t>Pilastro fondazione trave IPE140 mt.2,80</t>
        </is>
      </c>
      <c r="C61" s="13" t="inlineStr">
        <is>
          <t>IPE 140</t>
        </is>
      </c>
      <c r="D61" s="19" t="n">
        <v>2.8</v>
      </c>
      <c r="E61" s="20">
        <f>IF(AND(ISNUMBER($D61),ISNUMBER(VLOOKUP($C61,$A$5:$F$14,4,FALSE))),$D61*VLOOKUP($C61,$A$5:$F$14,4,FALSE),"")</f>
        <v/>
      </c>
      <c r="F61" s="12">
        <f>IF(AND(ISNUMBER($D61),ISNUMBER(VLOOKUP($C61,$A$5:$F$14,2,FALSE)),ISNUMBER(VLOOKUP($C61,$A$5:$F$14,5,FALSE))),$D61*VLOOKUP($C61,$A$5:$F$14,2,FALSE)*VLOOKUP($C61,$A$5:$F$14,5,FALSE),"")</f>
        <v/>
      </c>
      <c r="G61" s="12">
        <f>IF(AND(ISNUMBER($D61),ISNUMBER(VLOOKUP($C61,$A$5:$F$14,2,FALSE)),ISNUMBER(VLOOKUP($C61,$A$5:$F$14,3,FALSE)),VLOOKUP($C61,$A$5:$F$14,3,FALSE)&gt;0,ISNUMBER(VLOOKUP($C61,$A$5:$F$14,6,FALSE))),$D61*VLOOKUP($C61,$A$5:$F$14,2,FALSE)*(1+VLOOKUP($C61,$A$5:$F$14,3,FALSE))*VLOOKUP($C61,$A$5:$F$14,6,FALSE),"")</f>
        <v/>
      </c>
    </row>
    <row r="62">
      <c r="A62" t="inlineStr">
        <is>
          <t>TTS.PF.001.IPE140.29</t>
        </is>
      </c>
      <c r="B62" t="inlineStr">
        <is>
          <t>Pilastro fondazione trave IPE140 mt.2,90</t>
        </is>
      </c>
      <c r="C62" s="13" t="inlineStr">
        <is>
          <t>IPE 140</t>
        </is>
      </c>
      <c r="D62" s="19" t="n">
        <v>2.9</v>
      </c>
      <c r="E62" s="20">
        <f>IF(AND(ISNUMBER($D62),ISNUMBER(VLOOKUP($C62,$A$5:$F$14,4,FALSE))),$D62*VLOOKUP($C62,$A$5:$F$14,4,FALSE),"")</f>
        <v/>
      </c>
      <c r="F62" s="12">
        <f>IF(AND(ISNUMBER($D62),ISNUMBER(VLOOKUP($C62,$A$5:$F$14,2,FALSE)),ISNUMBER(VLOOKUP($C62,$A$5:$F$14,5,FALSE))),$D62*VLOOKUP($C62,$A$5:$F$14,2,FALSE)*VLOOKUP($C62,$A$5:$F$14,5,FALSE),"")</f>
        <v/>
      </c>
      <c r="G62" s="12">
        <f>IF(AND(ISNUMBER($D62),ISNUMBER(VLOOKUP($C62,$A$5:$F$14,2,FALSE)),ISNUMBER(VLOOKUP($C62,$A$5:$F$14,3,FALSE)),VLOOKUP($C62,$A$5:$F$14,3,FALSE)&gt;0,ISNUMBER(VLOOKUP($C62,$A$5:$F$14,6,FALSE))),$D62*VLOOKUP($C62,$A$5:$F$14,2,FALSE)*(1+VLOOKUP($C62,$A$5:$F$14,3,FALSE))*VLOOKUP($C62,$A$5:$F$14,6,FALSE),"")</f>
        <v/>
      </c>
    </row>
    <row r="63">
      <c r="A63" t="inlineStr">
        <is>
          <t>TTS.PF.001.IPE140.30</t>
        </is>
      </c>
      <c r="B63" t="inlineStr">
        <is>
          <t>Pilastro fondazione trave IPE140 mt.3,00</t>
        </is>
      </c>
      <c r="C63" s="13" t="inlineStr">
        <is>
          <t>IPE 140</t>
        </is>
      </c>
      <c r="D63" s="19" t="n">
        <v>3</v>
      </c>
      <c r="E63" s="20">
        <f>IF(AND(ISNUMBER($D63),ISNUMBER(VLOOKUP($C63,$A$5:$F$14,4,FALSE))),$D63*VLOOKUP($C63,$A$5:$F$14,4,FALSE),"")</f>
        <v/>
      </c>
      <c r="F63" s="12">
        <f>IF(AND(ISNUMBER($D63),ISNUMBER(VLOOKUP($C63,$A$5:$F$14,2,FALSE)),ISNUMBER(VLOOKUP($C63,$A$5:$F$14,5,FALSE))),$D63*VLOOKUP($C63,$A$5:$F$14,2,FALSE)*VLOOKUP($C63,$A$5:$F$14,5,FALSE),"")</f>
        <v/>
      </c>
      <c r="G63" s="12">
        <f>IF(AND(ISNUMBER($D63),ISNUMBER(VLOOKUP($C63,$A$5:$F$14,2,FALSE)),ISNUMBER(VLOOKUP($C63,$A$5:$F$14,3,FALSE)),VLOOKUP($C63,$A$5:$F$14,3,FALSE)&gt;0,ISNUMBER(VLOOKUP($C63,$A$5:$F$14,6,FALSE))),$D63*VLOOKUP($C63,$A$5:$F$14,2,FALSE)*(1+VLOOKUP($C63,$A$5:$F$14,3,FALSE))*VLOOKUP($C63,$A$5:$F$14,6,FALSE),"")</f>
        <v/>
      </c>
    </row>
    <row r="64">
      <c r="A64" t="inlineStr">
        <is>
          <t>TTS.PF.001.IPE140.31</t>
        </is>
      </c>
      <c r="B64" t="inlineStr">
        <is>
          <t>Pilastro fondazione trave IPE140 mt.3,10</t>
        </is>
      </c>
      <c r="C64" s="13" t="inlineStr">
        <is>
          <t>IPE 140</t>
        </is>
      </c>
      <c r="D64" s="19" t="n">
        <v>3.1</v>
      </c>
      <c r="E64" s="20">
        <f>IF(AND(ISNUMBER($D64),ISNUMBER(VLOOKUP($C64,$A$5:$F$14,4,FALSE))),$D64*VLOOKUP($C64,$A$5:$F$14,4,FALSE),"")</f>
        <v/>
      </c>
      <c r="F64" s="12">
        <f>IF(AND(ISNUMBER($D64),ISNUMBER(VLOOKUP($C64,$A$5:$F$14,2,FALSE)),ISNUMBER(VLOOKUP($C64,$A$5:$F$14,5,FALSE))),$D64*VLOOKUP($C64,$A$5:$F$14,2,FALSE)*VLOOKUP($C64,$A$5:$F$14,5,FALSE),"")</f>
        <v/>
      </c>
      <c r="G64" s="12">
        <f>IF(AND(ISNUMBER($D64),ISNUMBER(VLOOKUP($C64,$A$5:$F$14,2,FALSE)),ISNUMBER(VLOOKUP($C64,$A$5:$F$14,3,FALSE)),VLOOKUP($C64,$A$5:$F$14,3,FALSE)&gt;0,ISNUMBER(VLOOKUP($C64,$A$5:$F$14,6,FALSE))),$D64*VLOOKUP($C64,$A$5:$F$14,2,FALSE)*(1+VLOOKUP($C64,$A$5:$F$14,3,FALSE))*VLOOKUP($C64,$A$5:$F$14,6,FALSE),"")</f>
        <v/>
      </c>
    </row>
    <row r="65">
      <c r="A65" t="inlineStr">
        <is>
          <t>TTS.PF.001.IPE140.32</t>
        </is>
      </c>
      <c r="B65" t="inlineStr">
        <is>
          <t>Pilastro fondazione trave IPE140 mt.3,20</t>
        </is>
      </c>
      <c r="C65" s="13" t="inlineStr">
        <is>
          <t>IPE 140</t>
        </is>
      </c>
      <c r="D65" s="19" t="n">
        <v>3.2</v>
      </c>
      <c r="E65" s="20">
        <f>IF(AND(ISNUMBER($D65),ISNUMBER(VLOOKUP($C65,$A$5:$F$14,4,FALSE))),$D65*VLOOKUP($C65,$A$5:$F$14,4,FALSE),"")</f>
        <v/>
      </c>
      <c r="F65" s="12">
        <f>IF(AND(ISNUMBER($D65),ISNUMBER(VLOOKUP($C65,$A$5:$F$14,2,FALSE)),ISNUMBER(VLOOKUP($C65,$A$5:$F$14,5,FALSE))),$D65*VLOOKUP($C65,$A$5:$F$14,2,FALSE)*VLOOKUP($C65,$A$5:$F$14,5,FALSE),"")</f>
        <v/>
      </c>
      <c r="G65" s="12">
        <f>IF(AND(ISNUMBER($D65),ISNUMBER(VLOOKUP($C65,$A$5:$F$14,2,FALSE)),ISNUMBER(VLOOKUP($C65,$A$5:$F$14,3,FALSE)),VLOOKUP($C65,$A$5:$F$14,3,FALSE)&gt;0,ISNUMBER(VLOOKUP($C65,$A$5:$F$14,6,FALSE))),$D65*VLOOKUP($C65,$A$5:$F$14,2,FALSE)*(1+VLOOKUP($C65,$A$5:$F$14,3,FALSE))*VLOOKUP($C65,$A$5:$F$14,6,FALSE),"")</f>
        <v/>
      </c>
    </row>
    <row r="66">
      <c r="A66" t="inlineStr">
        <is>
          <t>TTS.PF.001.IPE140.33</t>
        </is>
      </c>
      <c r="B66" t="inlineStr">
        <is>
          <t>Pilastro fondazione trave IPE140 mt.3,30</t>
        </is>
      </c>
      <c r="C66" s="13" t="inlineStr">
        <is>
          <t>IPE 140</t>
        </is>
      </c>
      <c r="D66" s="19" t="n">
        <v>3.3</v>
      </c>
      <c r="E66" s="20">
        <f>IF(AND(ISNUMBER($D66),ISNUMBER(VLOOKUP($C66,$A$5:$F$14,4,FALSE))),$D66*VLOOKUP($C66,$A$5:$F$14,4,FALSE),"")</f>
        <v/>
      </c>
      <c r="F66" s="12">
        <f>IF(AND(ISNUMBER($D66),ISNUMBER(VLOOKUP($C66,$A$5:$F$14,2,FALSE)),ISNUMBER(VLOOKUP($C66,$A$5:$F$14,5,FALSE))),$D66*VLOOKUP($C66,$A$5:$F$14,2,FALSE)*VLOOKUP($C66,$A$5:$F$14,5,FALSE),"")</f>
        <v/>
      </c>
      <c r="G66" s="12">
        <f>IF(AND(ISNUMBER($D66),ISNUMBER(VLOOKUP($C66,$A$5:$F$14,2,FALSE)),ISNUMBER(VLOOKUP($C66,$A$5:$F$14,3,FALSE)),VLOOKUP($C66,$A$5:$F$14,3,FALSE)&gt;0,ISNUMBER(VLOOKUP($C66,$A$5:$F$14,6,FALSE))),$D66*VLOOKUP($C66,$A$5:$F$14,2,FALSE)*(1+VLOOKUP($C66,$A$5:$F$14,3,FALSE))*VLOOKUP($C66,$A$5:$F$14,6,FALSE),"")</f>
        <v/>
      </c>
    </row>
    <row r="67">
      <c r="A67" t="inlineStr">
        <is>
          <t>TTS.PF.001.IPE140.34</t>
        </is>
      </c>
      <c r="B67" t="inlineStr">
        <is>
          <t>Pilastro fondazione trave IPE140 mt.3,40</t>
        </is>
      </c>
      <c r="C67" s="13" t="inlineStr">
        <is>
          <t>IPE 140</t>
        </is>
      </c>
      <c r="D67" s="19" t="n">
        <v>3.4</v>
      </c>
      <c r="E67" s="20">
        <f>IF(AND(ISNUMBER($D67),ISNUMBER(VLOOKUP($C67,$A$5:$F$14,4,FALSE))),$D67*VLOOKUP($C67,$A$5:$F$14,4,FALSE),"")</f>
        <v/>
      </c>
      <c r="F67" s="12">
        <f>IF(AND(ISNUMBER($D67),ISNUMBER(VLOOKUP($C67,$A$5:$F$14,2,FALSE)),ISNUMBER(VLOOKUP($C67,$A$5:$F$14,5,FALSE))),$D67*VLOOKUP($C67,$A$5:$F$14,2,FALSE)*VLOOKUP($C67,$A$5:$F$14,5,FALSE),"")</f>
        <v/>
      </c>
      <c r="G67" s="12">
        <f>IF(AND(ISNUMBER($D67),ISNUMBER(VLOOKUP($C67,$A$5:$F$14,2,FALSE)),ISNUMBER(VLOOKUP($C67,$A$5:$F$14,3,FALSE)),VLOOKUP($C67,$A$5:$F$14,3,FALSE)&gt;0,ISNUMBER(VLOOKUP($C67,$A$5:$F$14,6,FALSE))),$D67*VLOOKUP($C67,$A$5:$F$14,2,FALSE)*(1+VLOOKUP($C67,$A$5:$F$14,3,FALSE))*VLOOKUP($C67,$A$5:$F$14,6,FALSE),"")</f>
        <v/>
      </c>
    </row>
    <row r="68">
      <c r="A68" t="inlineStr">
        <is>
          <t>TTS.PF.001.IPE140.35</t>
        </is>
      </c>
      <c r="B68" t="inlineStr">
        <is>
          <t>Pilastro fondazione trave IPE140 mt.3,50</t>
        </is>
      </c>
      <c r="C68" s="13" t="inlineStr">
        <is>
          <t>IPE 140</t>
        </is>
      </c>
      <c r="D68" s="19" t="n">
        <v>3.5</v>
      </c>
      <c r="E68" s="20">
        <f>IF(AND(ISNUMBER($D68),ISNUMBER(VLOOKUP($C68,$A$5:$F$14,4,FALSE))),$D68*VLOOKUP($C68,$A$5:$F$14,4,FALSE),"")</f>
        <v/>
      </c>
      <c r="F68" s="12">
        <f>IF(AND(ISNUMBER($D68),ISNUMBER(VLOOKUP($C68,$A$5:$F$14,2,FALSE)),ISNUMBER(VLOOKUP($C68,$A$5:$F$14,5,FALSE))),$D68*VLOOKUP($C68,$A$5:$F$14,2,FALSE)*VLOOKUP($C68,$A$5:$F$14,5,FALSE),"")</f>
        <v/>
      </c>
      <c r="G68" s="12">
        <f>IF(AND(ISNUMBER($D68),ISNUMBER(VLOOKUP($C68,$A$5:$F$14,2,FALSE)),ISNUMBER(VLOOKUP($C68,$A$5:$F$14,3,FALSE)),VLOOKUP($C68,$A$5:$F$14,3,FALSE)&gt;0,ISNUMBER(VLOOKUP($C68,$A$5:$F$14,6,FALSE))),$D68*VLOOKUP($C68,$A$5:$F$14,2,FALSE)*(1+VLOOKUP($C68,$A$5:$F$14,3,FALSE))*VLOOKUP($C68,$A$5:$F$14,6,FALSE),"")</f>
        <v/>
      </c>
    </row>
    <row r="69">
      <c r="A69" t="inlineStr">
        <is>
          <t>TTS.PF.001.IPE140.36</t>
        </is>
      </c>
      <c r="B69" t="inlineStr">
        <is>
          <t>Pilastro fondazione trave IPE140 mt.3,60</t>
        </is>
      </c>
      <c r="C69" s="13" t="inlineStr">
        <is>
          <t>IPE 140</t>
        </is>
      </c>
      <c r="D69" s="19" t="n">
        <v>3.6</v>
      </c>
      <c r="E69" s="20">
        <f>IF(AND(ISNUMBER($D69),ISNUMBER(VLOOKUP($C69,$A$5:$F$14,4,FALSE))),$D69*VLOOKUP($C69,$A$5:$F$14,4,FALSE),"")</f>
        <v/>
      </c>
      <c r="F69" s="12">
        <f>IF(AND(ISNUMBER($D69),ISNUMBER(VLOOKUP($C69,$A$5:$F$14,2,FALSE)),ISNUMBER(VLOOKUP($C69,$A$5:$F$14,5,FALSE))),$D69*VLOOKUP($C69,$A$5:$F$14,2,FALSE)*VLOOKUP($C69,$A$5:$F$14,5,FALSE),"")</f>
        <v/>
      </c>
      <c r="G69" s="12">
        <f>IF(AND(ISNUMBER($D69),ISNUMBER(VLOOKUP($C69,$A$5:$F$14,2,FALSE)),ISNUMBER(VLOOKUP($C69,$A$5:$F$14,3,FALSE)),VLOOKUP($C69,$A$5:$F$14,3,FALSE)&gt;0,ISNUMBER(VLOOKUP($C69,$A$5:$F$14,6,FALSE))),$D69*VLOOKUP($C69,$A$5:$F$14,2,FALSE)*(1+VLOOKUP($C69,$A$5:$F$14,3,FALSE))*VLOOKUP($C69,$A$5:$F$14,6,FALSE),"")</f>
        <v/>
      </c>
    </row>
    <row r="70">
      <c r="A70" t="inlineStr">
        <is>
          <t>TTS.PF.001.IPEA140.26</t>
        </is>
      </c>
      <c r="B70" t="inlineStr">
        <is>
          <t>Pilastro fondazione trave IPEA140 mt.2,60 (alleggerita)</t>
        </is>
      </c>
      <c r="C70" s="13" t="inlineStr">
        <is>
          <t>IPEA 140</t>
        </is>
      </c>
      <c r="D70" s="19" t="n">
        <v>2.6</v>
      </c>
      <c r="E70" s="20">
        <f>IF(AND(ISNUMBER($D70),ISNUMBER(VLOOKUP($C70,$A$5:$F$14,4,FALSE))),$D70*VLOOKUP($C70,$A$5:$F$14,4,FALSE),"")</f>
        <v/>
      </c>
      <c r="F70" s="12">
        <f>IF(AND(ISNUMBER($D70),ISNUMBER(VLOOKUP($C70,$A$5:$F$14,2,FALSE)),ISNUMBER(VLOOKUP($C70,$A$5:$F$14,5,FALSE))),$D70*VLOOKUP($C70,$A$5:$F$14,2,FALSE)*VLOOKUP($C70,$A$5:$F$14,5,FALSE),"")</f>
        <v/>
      </c>
      <c r="G70" s="12">
        <f>IF(AND(ISNUMBER($D70),ISNUMBER(VLOOKUP($C70,$A$5:$F$14,2,FALSE)),ISNUMBER(VLOOKUP($C70,$A$5:$F$14,3,FALSE)),VLOOKUP($C70,$A$5:$F$14,3,FALSE)&gt;0,ISNUMBER(VLOOKUP($C70,$A$5:$F$14,6,FALSE))),$D70*VLOOKUP($C70,$A$5:$F$14,2,FALSE)*(1+VLOOKUP($C70,$A$5:$F$14,3,FALSE))*VLOOKUP($C70,$A$5:$F$14,6,FALSE),"")</f>
        <v/>
      </c>
    </row>
    <row r="71">
      <c r="A71" t="inlineStr">
        <is>
          <t>TTS.PF.001.IPEA140.27</t>
        </is>
      </c>
      <c r="B71" t="inlineStr">
        <is>
          <t>Pilastro fondazione trave IPEA140 mt.2,70 (alleggerita)</t>
        </is>
      </c>
      <c r="C71" s="13" t="inlineStr">
        <is>
          <t>IPEA 140</t>
        </is>
      </c>
      <c r="D71" s="19" t="n">
        <v>2.7</v>
      </c>
      <c r="E71" s="20">
        <f>IF(AND(ISNUMBER($D71),ISNUMBER(VLOOKUP($C71,$A$5:$F$14,4,FALSE))),$D71*VLOOKUP($C71,$A$5:$F$14,4,FALSE),"")</f>
        <v/>
      </c>
      <c r="F71" s="12">
        <f>IF(AND(ISNUMBER($D71),ISNUMBER(VLOOKUP($C71,$A$5:$F$14,2,FALSE)),ISNUMBER(VLOOKUP($C71,$A$5:$F$14,5,FALSE))),$D71*VLOOKUP($C71,$A$5:$F$14,2,FALSE)*VLOOKUP($C71,$A$5:$F$14,5,FALSE),"")</f>
        <v/>
      </c>
      <c r="G71" s="12">
        <f>IF(AND(ISNUMBER($D71),ISNUMBER(VLOOKUP($C71,$A$5:$F$14,2,FALSE)),ISNUMBER(VLOOKUP($C71,$A$5:$F$14,3,FALSE)),VLOOKUP($C71,$A$5:$F$14,3,FALSE)&gt;0,ISNUMBER(VLOOKUP($C71,$A$5:$F$14,6,FALSE))),$D71*VLOOKUP($C71,$A$5:$F$14,2,FALSE)*(1+VLOOKUP($C71,$A$5:$F$14,3,FALSE))*VLOOKUP($C71,$A$5:$F$14,6,FALSE),"")</f>
        <v/>
      </c>
    </row>
    <row r="72">
      <c r="A72" t="inlineStr">
        <is>
          <t>TTS.PF.001.IPEA140.28</t>
        </is>
      </c>
      <c r="B72" t="inlineStr">
        <is>
          <t>Pilastro fondazione trave IPEA140 mt.2,80 (alleggerita)</t>
        </is>
      </c>
      <c r="C72" s="13" t="inlineStr">
        <is>
          <t>IPEA 140</t>
        </is>
      </c>
      <c r="D72" s="19" t="n">
        <v>2.8</v>
      </c>
      <c r="E72" s="20">
        <f>IF(AND(ISNUMBER($D72),ISNUMBER(VLOOKUP($C72,$A$5:$F$14,4,FALSE))),$D72*VLOOKUP($C72,$A$5:$F$14,4,FALSE),"")</f>
        <v/>
      </c>
      <c r="F72" s="12">
        <f>IF(AND(ISNUMBER($D72),ISNUMBER(VLOOKUP($C72,$A$5:$F$14,2,FALSE)),ISNUMBER(VLOOKUP($C72,$A$5:$F$14,5,FALSE))),$D72*VLOOKUP($C72,$A$5:$F$14,2,FALSE)*VLOOKUP($C72,$A$5:$F$14,5,FALSE),"")</f>
        <v/>
      </c>
      <c r="G72" s="12">
        <f>IF(AND(ISNUMBER($D72),ISNUMBER(VLOOKUP($C72,$A$5:$F$14,2,FALSE)),ISNUMBER(VLOOKUP($C72,$A$5:$F$14,3,FALSE)),VLOOKUP($C72,$A$5:$F$14,3,FALSE)&gt;0,ISNUMBER(VLOOKUP($C72,$A$5:$F$14,6,FALSE))),$D72*VLOOKUP($C72,$A$5:$F$14,2,FALSE)*(1+VLOOKUP($C72,$A$5:$F$14,3,FALSE))*VLOOKUP($C72,$A$5:$F$14,6,FALSE),"")</f>
        <v/>
      </c>
    </row>
    <row r="73">
      <c r="A73" t="inlineStr">
        <is>
          <t>TTS.PF.001.IPEA140.29</t>
        </is>
      </c>
      <c r="B73" t="inlineStr">
        <is>
          <t>Pilastro fondazione trave IPEA140 mt.2,90 (alleggerita)</t>
        </is>
      </c>
      <c r="C73" s="13" t="inlineStr">
        <is>
          <t>IPEA 140</t>
        </is>
      </c>
      <c r="D73" s="19" t="n">
        <v>2.9</v>
      </c>
      <c r="E73" s="20">
        <f>IF(AND(ISNUMBER($D73),ISNUMBER(VLOOKUP($C73,$A$5:$F$14,4,FALSE))),$D73*VLOOKUP($C73,$A$5:$F$14,4,FALSE),"")</f>
        <v/>
      </c>
      <c r="F73" s="12">
        <f>IF(AND(ISNUMBER($D73),ISNUMBER(VLOOKUP($C73,$A$5:$F$14,2,FALSE)),ISNUMBER(VLOOKUP($C73,$A$5:$F$14,5,FALSE))),$D73*VLOOKUP($C73,$A$5:$F$14,2,FALSE)*VLOOKUP($C73,$A$5:$F$14,5,FALSE),"")</f>
        <v/>
      </c>
      <c r="G73" s="12">
        <f>IF(AND(ISNUMBER($D73),ISNUMBER(VLOOKUP($C73,$A$5:$F$14,2,FALSE)),ISNUMBER(VLOOKUP($C73,$A$5:$F$14,3,FALSE)),VLOOKUP($C73,$A$5:$F$14,3,FALSE)&gt;0,ISNUMBER(VLOOKUP($C73,$A$5:$F$14,6,FALSE))),$D73*VLOOKUP($C73,$A$5:$F$14,2,FALSE)*(1+VLOOKUP($C73,$A$5:$F$14,3,FALSE))*VLOOKUP($C73,$A$5:$F$14,6,FALSE),"")</f>
        <v/>
      </c>
    </row>
    <row r="74">
      <c r="A74" t="inlineStr">
        <is>
          <t>TTS.PF.001.IPEA140.30</t>
        </is>
      </c>
      <c r="B74" t="inlineStr">
        <is>
          <t>Pilastro fondazione trave IPEA140 mt.3,00 (alleggerita)</t>
        </is>
      </c>
      <c r="C74" s="13" t="inlineStr">
        <is>
          <t>IPEA 140</t>
        </is>
      </c>
      <c r="D74" s="19" t="n">
        <v>3</v>
      </c>
      <c r="E74" s="20">
        <f>IF(AND(ISNUMBER($D74),ISNUMBER(VLOOKUP($C74,$A$5:$F$14,4,FALSE))),$D74*VLOOKUP($C74,$A$5:$F$14,4,FALSE),"")</f>
        <v/>
      </c>
      <c r="F74" s="12">
        <f>IF(AND(ISNUMBER($D74),ISNUMBER(VLOOKUP($C74,$A$5:$F$14,2,FALSE)),ISNUMBER(VLOOKUP($C74,$A$5:$F$14,5,FALSE))),$D74*VLOOKUP($C74,$A$5:$F$14,2,FALSE)*VLOOKUP($C74,$A$5:$F$14,5,FALSE),"")</f>
        <v/>
      </c>
      <c r="G74" s="12">
        <f>IF(AND(ISNUMBER($D74),ISNUMBER(VLOOKUP($C74,$A$5:$F$14,2,FALSE)),ISNUMBER(VLOOKUP($C74,$A$5:$F$14,3,FALSE)),VLOOKUP($C74,$A$5:$F$14,3,FALSE)&gt;0,ISNUMBER(VLOOKUP($C74,$A$5:$F$14,6,FALSE))),$D74*VLOOKUP($C74,$A$5:$F$14,2,FALSE)*(1+VLOOKUP($C74,$A$5:$F$14,3,FALSE))*VLOOKUP($C74,$A$5:$F$14,6,FALSE),"")</f>
        <v/>
      </c>
    </row>
    <row r="75">
      <c r="A75" t="inlineStr">
        <is>
          <t>TTS.PF.001.IPEA140.31</t>
        </is>
      </c>
      <c r="B75" t="inlineStr">
        <is>
          <t>Pilastro fondazione trave IPEA140 mt.3,10 (alleggerita)</t>
        </is>
      </c>
      <c r="C75" s="13" t="inlineStr">
        <is>
          <t>IPEA 140</t>
        </is>
      </c>
      <c r="D75" s="19" t="n">
        <v>3.1</v>
      </c>
      <c r="E75" s="20">
        <f>IF(AND(ISNUMBER($D75),ISNUMBER(VLOOKUP($C75,$A$5:$F$14,4,FALSE))),$D75*VLOOKUP($C75,$A$5:$F$14,4,FALSE),"")</f>
        <v/>
      </c>
      <c r="F75" s="12">
        <f>IF(AND(ISNUMBER($D75),ISNUMBER(VLOOKUP($C75,$A$5:$F$14,2,FALSE)),ISNUMBER(VLOOKUP($C75,$A$5:$F$14,5,FALSE))),$D75*VLOOKUP($C75,$A$5:$F$14,2,FALSE)*VLOOKUP($C75,$A$5:$F$14,5,FALSE),"")</f>
        <v/>
      </c>
      <c r="G75" s="12">
        <f>IF(AND(ISNUMBER($D75),ISNUMBER(VLOOKUP($C75,$A$5:$F$14,2,FALSE)),ISNUMBER(VLOOKUP($C75,$A$5:$F$14,3,FALSE)),VLOOKUP($C75,$A$5:$F$14,3,FALSE)&gt;0,ISNUMBER(VLOOKUP($C75,$A$5:$F$14,6,FALSE))),$D75*VLOOKUP($C75,$A$5:$F$14,2,FALSE)*(1+VLOOKUP($C75,$A$5:$F$14,3,FALSE))*VLOOKUP($C75,$A$5:$F$14,6,FALSE),"")</f>
        <v/>
      </c>
    </row>
    <row r="76">
      <c r="A76" t="inlineStr">
        <is>
          <t>TTS.PF.001.IPEA140.32</t>
        </is>
      </c>
      <c r="B76" t="inlineStr">
        <is>
          <t>Pilastro fondazione trave IPEA140 mt.3,20 (alleggerita)</t>
        </is>
      </c>
      <c r="C76" s="13" t="inlineStr">
        <is>
          <t>IPEA 140</t>
        </is>
      </c>
      <c r="D76" s="19" t="n">
        <v>3.2</v>
      </c>
      <c r="E76" s="20">
        <f>IF(AND(ISNUMBER($D76),ISNUMBER(VLOOKUP($C76,$A$5:$F$14,4,FALSE))),$D76*VLOOKUP($C76,$A$5:$F$14,4,FALSE),"")</f>
        <v/>
      </c>
      <c r="F76" s="12">
        <f>IF(AND(ISNUMBER($D76),ISNUMBER(VLOOKUP($C76,$A$5:$F$14,2,FALSE)),ISNUMBER(VLOOKUP($C76,$A$5:$F$14,5,FALSE))),$D76*VLOOKUP($C76,$A$5:$F$14,2,FALSE)*VLOOKUP($C76,$A$5:$F$14,5,FALSE),"")</f>
        <v/>
      </c>
      <c r="G76" s="12">
        <f>IF(AND(ISNUMBER($D76),ISNUMBER(VLOOKUP($C76,$A$5:$F$14,2,FALSE)),ISNUMBER(VLOOKUP($C76,$A$5:$F$14,3,FALSE)),VLOOKUP($C76,$A$5:$F$14,3,FALSE)&gt;0,ISNUMBER(VLOOKUP($C76,$A$5:$F$14,6,FALSE))),$D76*VLOOKUP($C76,$A$5:$F$14,2,FALSE)*(1+VLOOKUP($C76,$A$5:$F$14,3,FALSE))*VLOOKUP($C76,$A$5:$F$14,6,FALSE),"")</f>
        <v/>
      </c>
    </row>
    <row r="77">
      <c r="A77" t="inlineStr">
        <is>
          <t>TTS.PF.001.IPEA140.33</t>
        </is>
      </c>
      <c r="B77" t="inlineStr">
        <is>
          <t>Pilastro fondazione trave IPEA140 mt.3,30 (alleggerita)</t>
        </is>
      </c>
      <c r="C77" s="13" t="inlineStr">
        <is>
          <t>IPEA 140</t>
        </is>
      </c>
      <c r="D77" s="19" t="n">
        <v>3.3</v>
      </c>
      <c r="E77" s="20">
        <f>IF(AND(ISNUMBER($D77),ISNUMBER(VLOOKUP($C77,$A$5:$F$14,4,FALSE))),$D77*VLOOKUP($C77,$A$5:$F$14,4,FALSE),"")</f>
        <v/>
      </c>
      <c r="F77" s="12">
        <f>IF(AND(ISNUMBER($D77),ISNUMBER(VLOOKUP($C77,$A$5:$F$14,2,FALSE)),ISNUMBER(VLOOKUP($C77,$A$5:$F$14,5,FALSE))),$D77*VLOOKUP($C77,$A$5:$F$14,2,FALSE)*VLOOKUP($C77,$A$5:$F$14,5,FALSE),"")</f>
        <v/>
      </c>
      <c r="G77" s="12">
        <f>IF(AND(ISNUMBER($D77),ISNUMBER(VLOOKUP($C77,$A$5:$F$14,2,FALSE)),ISNUMBER(VLOOKUP($C77,$A$5:$F$14,3,FALSE)),VLOOKUP($C77,$A$5:$F$14,3,FALSE)&gt;0,ISNUMBER(VLOOKUP($C77,$A$5:$F$14,6,FALSE))),$D77*VLOOKUP($C77,$A$5:$F$14,2,FALSE)*(1+VLOOKUP($C77,$A$5:$F$14,3,FALSE))*VLOOKUP($C77,$A$5:$F$14,6,FALSE),"")</f>
        <v/>
      </c>
    </row>
    <row r="78">
      <c r="A78" t="inlineStr">
        <is>
          <t>TTS.PF.001.IPEA140.34</t>
        </is>
      </c>
      <c r="B78" t="inlineStr">
        <is>
          <t>Pilastro fondazione trave IPEA140 mt.3,40 (alleggerita)</t>
        </is>
      </c>
      <c r="C78" s="13" t="inlineStr">
        <is>
          <t>IPEA 140</t>
        </is>
      </c>
      <c r="D78" s="19" t="n">
        <v>3.4</v>
      </c>
      <c r="E78" s="20">
        <f>IF(AND(ISNUMBER($D78),ISNUMBER(VLOOKUP($C78,$A$5:$F$14,4,FALSE))),$D78*VLOOKUP($C78,$A$5:$F$14,4,FALSE),"")</f>
        <v/>
      </c>
      <c r="F78" s="12">
        <f>IF(AND(ISNUMBER($D78),ISNUMBER(VLOOKUP($C78,$A$5:$F$14,2,FALSE)),ISNUMBER(VLOOKUP($C78,$A$5:$F$14,5,FALSE))),$D78*VLOOKUP($C78,$A$5:$F$14,2,FALSE)*VLOOKUP($C78,$A$5:$F$14,5,FALSE),"")</f>
        <v/>
      </c>
      <c r="G78" s="12">
        <f>IF(AND(ISNUMBER($D78),ISNUMBER(VLOOKUP($C78,$A$5:$F$14,2,FALSE)),ISNUMBER(VLOOKUP($C78,$A$5:$F$14,3,FALSE)),VLOOKUP($C78,$A$5:$F$14,3,FALSE)&gt;0,ISNUMBER(VLOOKUP($C78,$A$5:$F$14,6,FALSE))),$D78*VLOOKUP($C78,$A$5:$F$14,2,FALSE)*(1+VLOOKUP($C78,$A$5:$F$14,3,FALSE))*VLOOKUP($C78,$A$5:$F$14,6,FALSE),"")</f>
        <v/>
      </c>
    </row>
    <row r="79">
      <c r="A79" t="inlineStr">
        <is>
          <t>TTS.PF.001.IPEA140.35</t>
        </is>
      </c>
      <c r="B79" t="inlineStr">
        <is>
          <t>Pilastro fondazione trave IPEA140 mt.3,50 (alleggerita)</t>
        </is>
      </c>
      <c r="C79" s="13" t="inlineStr">
        <is>
          <t>IPEA 140</t>
        </is>
      </c>
      <c r="D79" s="19" t="n">
        <v>3.5</v>
      </c>
      <c r="E79" s="20">
        <f>IF(AND(ISNUMBER($D79),ISNUMBER(VLOOKUP($C79,$A$5:$F$14,4,FALSE))),$D79*VLOOKUP($C79,$A$5:$F$14,4,FALSE),"")</f>
        <v/>
      </c>
      <c r="F79" s="12">
        <f>IF(AND(ISNUMBER($D79),ISNUMBER(VLOOKUP($C79,$A$5:$F$14,2,FALSE)),ISNUMBER(VLOOKUP($C79,$A$5:$F$14,5,FALSE))),$D79*VLOOKUP($C79,$A$5:$F$14,2,FALSE)*VLOOKUP($C79,$A$5:$F$14,5,FALSE),"")</f>
        <v/>
      </c>
      <c r="G79" s="12">
        <f>IF(AND(ISNUMBER($D79),ISNUMBER(VLOOKUP($C79,$A$5:$F$14,2,FALSE)),ISNUMBER(VLOOKUP($C79,$A$5:$F$14,3,FALSE)),VLOOKUP($C79,$A$5:$F$14,3,FALSE)&gt;0,ISNUMBER(VLOOKUP($C79,$A$5:$F$14,6,FALSE))),$D79*VLOOKUP($C79,$A$5:$F$14,2,FALSE)*(1+VLOOKUP($C79,$A$5:$F$14,3,FALSE))*VLOOKUP($C79,$A$5:$F$14,6,FALSE),"")</f>
        <v/>
      </c>
    </row>
    <row r="80">
      <c r="A80" t="inlineStr">
        <is>
          <t>TTS.PF.001.IPEA140.36</t>
        </is>
      </c>
      <c r="B80" t="inlineStr">
        <is>
          <t>Pilastro fondazione trave IPEA140 mt.3,60 (alleggerita)</t>
        </is>
      </c>
      <c r="C80" s="13" t="inlineStr">
        <is>
          <t>IPEA 140</t>
        </is>
      </c>
      <c r="D80" s="19" t="n">
        <v>3.6</v>
      </c>
      <c r="E80" s="20">
        <f>IF(AND(ISNUMBER($D80),ISNUMBER(VLOOKUP($C80,$A$5:$F$14,4,FALSE))),$D80*VLOOKUP($C80,$A$5:$F$14,4,FALSE),"")</f>
        <v/>
      </c>
      <c r="F80" s="12">
        <f>IF(AND(ISNUMBER($D80),ISNUMBER(VLOOKUP($C80,$A$5:$F$14,2,FALSE)),ISNUMBER(VLOOKUP($C80,$A$5:$F$14,5,FALSE))),$D80*VLOOKUP($C80,$A$5:$F$14,2,FALSE)*VLOOKUP($C80,$A$5:$F$14,5,FALSE),"")</f>
        <v/>
      </c>
      <c r="G80" s="12">
        <f>IF(AND(ISNUMBER($D80),ISNUMBER(VLOOKUP($C80,$A$5:$F$14,2,FALSE)),ISNUMBER(VLOOKUP($C80,$A$5:$F$14,3,FALSE)),VLOOKUP($C80,$A$5:$F$14,3,FALSE)&gt;0,ISNUMBER(VLOOKUP($C80,$A$5:$F$14,6,FALSE))),$D80*VLOOKUP($C80,$A$5:$F$14,2,FALSE)*(1+VLOOKUP($C80,$A$5:$F$14,3,FALSE))*VLOOKUP($C80,$A$5:$F$14,6,FALSE),"")</f>
        <v/>
      </c>
    </row>
    <row r="81">
      <c r="A81" t="inlineStr">
        <is>
          <t>TTS.PM.001.IPE140.22</t>
        </is>
      </c>
      <c r="B81" t="inlineStr">
        <is>
          <t>Pilastro motore trave ipe140 x 2220 con foratura alloggiamento quadro motore (standard)</t>
        </is>
      </c>
      <c r="C81" s="13" t="inlineStr">
        <is>
          <t>IPE 140</t>
        </is>
      </c>
      <c r="D81" s="19" t="n">
        <v>2.22</v>
      </c>
      <c r="E81" s="20">
        <f>IF(AND(ISNUMBER($D81),ISNUMBER(VLOOKUP($C81,$A$5:$F$14,4,FALSE))),$D81*VLOOKUP($C81,$A$5:$F$14,4,FALSE),"")</f>
        <v/>
      </c>
      <c r="F81" s="12">
        <f>IF(AND(ISNUMBER($D81),ISNUMBER(VLOOKUP($C81,$A$5:$F$14,2,FALSE)),ISNUMBER(VLOOKUP($C81,$A$5:$F$14,5,FALSE))),$D81*VLOOKUP($C81,$A$5:$F$14,2,FALSE)*VLOOKUP($C81,$A$5:$F$14,5,FALSE),"")</f>
        <v/>
      </c>
      <c r="G81" s="12">
        <f>IF(AND(ISNUMBER($D81),ISNUMBER(VLOOKUP($C81,$A$5:$F$14,2,FALSE)),ISNUMBER(VLOOKUP($C81,$A$5:$F$14,3,FALSE)),VLOOKUP($C81,$A$5:$F$14,3,FALSE)&gt;0,ISNUMBER(VLOOKUP($C81,$A$5:$F$14,6,FALSE))),$D81*VLOOKUP($C81,$A$5:$F$14,2,FALSE)*(1+VLOOKUP($C81,$A$5:$F$14,3,FALSE))*VLOOKUP($C81,$A$5:$F$14,6,FALSE),"")</f>
        <v/>
      </c>
    </row>
    <row r="82">
      <c r="A82" t="inlineStr">
        <is>
          <t>TTS.PM.001.IPE140.22.QC</t>
        </is>
      </c>
      <c r="B82" t="inlineStr">
        <is>
          <t>Pilastro motore trave ipe140 x 2220 con foratura alloggiamento quadro motore + quadro centralina meteo + quadro alimentazione centralina meteo</t>
        </is>
      </c>
      <c r="C82" s="13" t="inlineStr">
        <is>
          <t>IPE 140</t>
        </is>
      </c>
      <c r="D82" s="19" t="n">
        <v>2.22</v>
      </c>
      <c r="E82" s="20">
        <f>IF(AND(ISNUMBER($D82),ISNUMBER(VLOOKUP($C82,$A$5:$F$14,4,FALSE))),$D82*VLOOKUP($C82,$A$5:$F$14,4,FALSE),"")</f>
        <v/>
      </c>
      <c r="F82" s="12">
        <f>IF(AND(ISNUMBER($D82),ISNUMBER(VLOOKUP($C82,$A$5:$F$14,2,FALSE)),ISNUMBER(VLOOKUP($C82,$A$5:$F$14,5,FALSE))),$D82*VLOOKUP($C82,$A$5:$F$14,2,FALSE)*VLOOKUP($C82,$A$5:$F$14,5,FALSE),"")</f>
        <v/>
      </c>
      <c r="G82" s="12">
        <f>IF(AND(ISNUMBER($D82),ISNUMBER(VLOOKUP($C82,$A$5:$F$14,2,FALSE)),ISNUMBER(VLOOKUP($C82,$A$5:$F$14,3,FALSE)),VLOOKUP($C82,$A$5:$F$14,3,FALSE)&gt;0,ISNUMBER(VLOOKUP($C82,$A$5:$F$14,6,FALSE))),$D82*VLOOKUP($C82,$A$5:$F$14,2,FALSE)*(1+VLOOKUP($C82,$A$5:$F$14,3,FALSE))*VLOOKUP($C82,$A$5:$F$14,6,FALSE),"")</f>
        <v/>
      </c>
    </row>
    <row r="83">
      <c r="A83" t="inlineStr">
        <is>
          <t>TTS.PM.001.IPE140.27</t>
        </is>
      </c>
      <c r="B83" t="inlineStr">
        <is>
          <t>Pilastro motore trave ipe140 x 2720 con foratura alloggiamento quadro motore (standard)</t>
        </is>
      </c>
      <c r="C83" s="13" t="inlineStr">
        <is>
          <t>IPE 140</t>
        </is>
      </c>
      <c r="D83" s="19" t="n">
        <v>2.72</v>
      </c>
      <c r="E83" s="20">
        <f>IF(AND(ISNUMBER($D83),ISNUMBER(VLOOKUP($C83,$A$5:$F$14,4,FALSE))),$D83*VLOOKUP($C83,$A$5:$F$14,4,FALSE),"")</f>
        <v/>
      </c>
      <c r="F83" s="12">
        <f>IF(AND(ISNUMBER($D83),ISNUMBER(VLOOKUP($C83,$A$5:$F$14,2,FALSE)),ISNUMBER(VLOOKUP($C83,$A$5:$F$14,5,FALSE))),$D83*VLOOKUP($C83,$A$5:$F$14,2,FALSE)*VLOOKUP($C83,$A$5:$F$14,5,FALSE),"")</f>
        <v/>
      </c>
      <c r="G83" s="12">
        <f>IF(AND(ISNUMBER($D83),ISNUMBER(VLOOKUP($C83,$A$5:$F$14,2,FALSE)),ISNUMBER(VLOOKUP($C83,$A$5:$F$14,3,FALSE)),VLOOKUP($C83,$A$5:$F$14,3,FALSE)&gt;0,ISNUMBER(VLOOKUP($C83,$A$5:$F$14,6,FALSE))),$D83*VLOOKUP($C83,$A$5:$F$14,2,FALSE)*(1+VLOOKUP($C83,$A$5:$F$14,3,FALSE))*VLOOKUP($C83,$A$5:$F$14,6,FALSE),"")</f>
        <v/>
      </c>
    </row>
    <row r="84">
      <c r="A84" t="inlineStr">
        <is>
          <t>TTS.PM.001.IPE140.28</t>
        </is>
      </c>
      <c r="B84" t="inlineStr">
        <is>
          <t>Pilastro motore trave ipe140 x 2820 con foratura alloggiamento quadro motore (standard)</t>
        </is>
      </c>
      <c r="C84" s="13" t="inlineStr">
        <is>
          <t>IPE 140</t>
        </is>
      </c>
      <c r="D84" s="19" t="n">
        <v>2.82</v>
      </c>
      <c r="E84" s="20">
        <f>IF(AND(ISNUMBER($D84),ISNUMBER(VLOOKUP($C84,$A$5:$F$14,4,FALSE))),$D84*VLOOKUP($C84,$A$5:$F$14,4,FALSE),"")</f>
        <v/>
      </c>
      <c r="F84" s="12">
        <f>IF(AND(ISNUMBER($D84),ISNUMBER(VLOOKUP($C84,$A$5:$F$14,2,FALSE)),ISNUMBER(VLOOKUP($C84,$A$5:$F$14,5,FALSE))),$D84*VLOOKUP($C84,$A$5:$F$14,2,FALSE)*VLOOKUP($C84,$A$5:$F$14,5,FALSE),"")</f>
        <v/>
      </c>
      <c r="G84" s="12">
        <f>IF(AND(ISNUMBER($D84),ISNUMBER(VLOOKUP($C84,$A$5:$F$14,2,FALSE)),ISNUMBER(VLOOKUP($C84,$A$5:$F$14,3,FALSE)),VLOOKUP($C84,$A$5:$F$14,3,FALSE)&gt;0,ISNUMBER(VLOOKUP($C84,$A$5:$F$14,6,FALSE))),$D84*VLOOKUP($C84,$A$5:$F$14,2,FALSE)*(1+VLOOKUP($C84,$A$5:$F$14,3,FALSE))*VLOOKUP($C84,$A$5:$F$14,6,FALSE),"")</f>
        <v/>
      </c>
    </row>
    <row r="85">
      <c r="A85" t="inlineStr">
        <is>
          <t>TTS.PM.001.IPE140.29</t>
        </is>
      </c>
      <c r="B85" t="inlineStr">
        <is>
          <t>Pilastro motore trave ipe140 x 2920 con foratura alloggiamento quadro motore (standard)</t>
        </is>
      </c>
      <c r="C85" s="13" t="inlineStr">
        <is>
          <t>IPE 140</t>
        </is>
      </c>
      <c r="D85" s="19" t="n">
        <v>2.92</v>
      </c>
      <c r="E85" s="20">
        <f>IF(AND(ISNUMBER($D85),ISNUMBER(VLOOKUP($C85,$A$5:$F$14,4,FALSE))),$D85*VLOOKUP($C85,$A$5:$F$14,4,FALSE),"")</f>
        <v/>
      </c>
      <c r="F85" s="12">
        <f>IF(AND(ISNUMBER($D85),ISNUMBER(VLOOKUP($C85,$A$5:$F$14,2,FALSE)),ISNUMBER(VLOOKUP($C85,$A$5:$F$14,5,FALSE))),$D85*VLOOKUP($C85,$A$5:$F$14,2,FALSE)*VLOOKUP($C85,$A$5:$F$14,5,FALSE),"")</f>
        <v/>
      </c>
      <c r="G85" s="12">
        <f>IF(AND(ISNUMBER($D85),ISNUMBER(VLOOKUP($C85,$A$5:$F$14,2,FALSE)),ISNUMBER(VLOOKUP($C85,$A$5:$F$14,3,FALSE)),VLOOKUP($C85,$A$5:$F$14,3,FALSE)&gt;0,ISNUMBER(VLOOKUP($C85,$A$5:$F$14,6,FALSE))),$D85*VLOOKUP($C85,$A$5:$F$14,2,FALSE)*(1+VLOOKUP($C85,$A$5:$F$14,3,FALSE))*VLOOKUP($C85,$A$5:$F$14,6,FALSE),"")</f>
        <v/>
      </c>
    </row>
    <row r="86">
      <c r="A86" t="inlineStr">
        <is>
          <t>TTS.PM.001.IPE140.30</t>
        </is>
      </c>
      <c r="B86" t="inlineStr">
        <is>
          <t>Pilastro motore trave ipe140 x 3020 con foratura alloggiamento quadro motore (standard)</t>
        </is>
      </c>
      <c r="C86" s="13" t="inlineStr">
        <is>
          <t>IPE 140</t>
        </is>
      </c>
      <c r="D86" s="19" t="n">
        <v>3.02</v>
      </c>
      <c r="E86" s="20">
        <f>IF(AND(ISNUMBER($D86),ISNUMBER(VLOOKUP($C86,$A$5:$F$14,4,FALSE))),$D86*VLOOKUP($C86,$A$5:$F$14,4,FALSE),"")</f>
        <v/>
      </c>
      <c r="F86" s="12">
        <f>IF(AND(ISNUMBER($D86),ISNUMBER(VLOOKUP($C86,$A$5:$F$14,2,FALSE)),ISNUMBER(VLOOKUP($C86,$A$5:$F$14,5,FALSE))),$D86*VLOOKUP($C86,$A$5:$F$14,2,FALSE)*VLOOKUP($C86,$A$5:$F$14,5,FALSE),"")</f>
        <v/>
      </c>
      <c r="G86" s="12">
        <f>IF(AND(ISNUMBER($D86),ISNUMBER(VLOOKUP($C86,$A$5:$F$14,2,FALSE)),ISNUMBER(VLOOKUP($C86,$A$5:$F$14,3,FALSE)),VLOOKUP($C86,$A$5:$F$14,3,FALSE)&gt;0,ISNUMBER(VLOOKUP($C86,$A$5:$F$14,6,FALSE))),$D86*VLOOKUP($C86,$A$5:$F$14,2,FALSE)*(1+VLOOKUP($C86,$A$5:$F$14,3,FALSE))*VLOOKUP($C86,$A$5:$F$14,6,FALSE),"")</f>
        <v/>
      </c>
    </row>
    <row r="87">
      <c r="A87" t="inlineStr">
        <is>
          <t>TTS.PM.001.IPE140.31</t>
        </is>
      </c>
      <c r="B87" t="inlineStr">
        <is>
          <t>Pilastro motore trave ipe140 x 3120 con foratura alloggiamento quadro motore (standard)</t>
        </is>
      </c>
      <c r="C87" s="13" t="inlineStr">
        <is>
          <t>IPE 140</t>
        </is>
      </c>
      <c r="D87" s="19" t="n">
        <v>3.12</v>
      </c>
      <c r="E87" s="20">
        <f>IF(AND(ISNUMBER($D87),ISNUMBER(VLOOKUP($C87,$A$5:$F$14,4,FALSE))),$D87*VLOOKUP($C87,$A$5:$F$14,4,FALSE),"")</f>
        <v/>
      </c>
      <c r="F87" s="12">
        <f>IF(AND(ISNUMBER($D87),ISNUMBER(VLOOKUP($C87,$A$5:$F$14,2,FALSE)),ISNUMBER(VLOOKUP($C87,$A$5:$F$14,5,FALSE))),$D87*VLOOKUP($C87,$A$5:$F$14,2,FALSE)*VLOOKUP($C87,$A$5:$F$14,5,FALSE),"")</f>
        <v/>
      </c>
      <c r="G87" s="12">
        <f>IF(AND(ISNUMBER($D87),ISNUMBER(VLOOKUP($C87,$A$5:$F$14,2,FALSE)),ISNUMBER(VLOOKUP($C87,$A$5:$F$14,3,FALSE)),VLOOKUP($C87,$A$5:$F$14,3,FALSE)&gt;0,ISNUMBER(VLOOKUP($C87,$A$5:$F$14,6,FALSE))),$D87*VLOOKUP($C87,$A$5:$F$14,2,FALSE)*(1+VLOOKUP($C87,$A$5:$F$14,3,FALSE))*VLOOKUP($C87,$A$5:$F$14,6,FALSE),"")</f>
        <v/>
      </c>
    </row>
    <row r="88">
      <c r="A88" t="inlineStr">
        <is>
          <t>TTS.PM.001.IPE140.32</t>
        </is>
      </c>
      <c r="B88" t="inlineStr">
        <is>
          <t>Pilastro motore trave ipe140 x 3220 con foratura alloggiamento quadro motore (standard)</t>
        </is>
      </c>
      <c r="C88" s="13" t="inlineStr">
        <is>
          <t>IPE 140</t>
        </is>
      </c>
      <c r="D88" s="19" t="n">
        <v>3.22</v>
      </c>
      <c r="E88" s="20">
        <f>IF(AND(ISNUMBER($D88),ISNUMBER(VLOOKUP($C88,$A$5:$F$14,4,FALSE))),$D88*VLOOKUP($C88,$A$5:$F$14,4,FALSE),"")</f>
        <v/>
      </c>
      <c r="F88" s="12">
        <f>IF(AND(ISNUMBER($D88),ISNUMBER(VLOOKUP($C88,$A$5:$F$14,2,FALSE)),ISNUMBER(VLOOKUP($C88,$A$5:$F$14,5,FALSE))),$D88*VLOOKUP($C88,$A$5:$F$14,2,FALSE)*VLOOKUP($C88,$A$5:$F$14,5,FALSE),"")</f>
        <v/>
      </c>
      <c r="G88" s="12">
        <f>IF(AND(ISNUMBER($D88),ISNUMBER(VLOOKUP($C88,$A$5:$F$14,2,FALSE)),ISNUMBER(VLOOKUP($C88,$A$5:$F$14,3,FALSE)),VLOOKUP($C88,$A$5:$F$14,3,FALSE)&gt;0,ISNUMBER(VLOOKUP($C88,$A$5:$F$14,6,FALSE))),$D88*VLOOKUP($C88,$A$5:$F$14,2,FALSE)*(1+VLOOKUP($C88,$A$5:$F$14,3,FALSE))*VLOOKUP($C88,$A$5:$F$14,6,FALSE),"")</f>
        <v/>
      </c>
    </row>
    <row r="89">
      <c r="A89" t="inlineStr">
        <is>
          <t>TTS.PM.001.IPE140.33</t>
        </is>
      </c>
      <c r="B89" t="inlineStr">
        <is>
          <t>Pilastro motore trave ipe140 x 3320 con foratura alloggiamento quadro motore (standard)</t>
        </is>
      </c>
      <c r="C89" s="13" t="inlineStr">
        <is>
          <t>IPE 140</t>
        </is>
      </c>
      <c r="D89" s="19" t="n">
        <v>3.32</v>
      </c>
      <c r="E89" s="20">
        <f>IF(AND(ISNUMBER($D89),ISNUMBER(VLOOKUP($C89,$A$5:$F$14,4,FALSE))),$D89*VLOOKUP($C89,$A$5:$F$14,4,FALSE),"")</f>
        <v/>
      </c>
      <c r="F89" s="12">
        <f>IF(AND(ISNUMBER($D89),ISNUMBER(VLOOKUP($C89,$A$5:$F$14,2,FALSE)),ISNUMBER(VLOOKUP($C89,$A$5:$F$14,5,FALSE))),$D89*VLOOKUP($C89,$A$5:$F$14,2,FALSE)*VLOOKUP($C89,$A$5:$F$14,5,FALSE),"")</f>
        <v/>
      </c>
      <c r="G89" s="12">
        <f>IF(AND(ISNUMBER($D89),ISNUMBER(VLOOKUP($C89,$A$5:$F$14,2,FALSE)),ISNUMBER(VLOOKUP($C89,$A$5:$F$14,3,FALSE)),VLOOKUP($C89,$A$5:$F$14,3,FALSE)&gt;0,ISNUMBER(VLOOKUP($C89,$A$5:$F$14,6,FALSE))),$D89*VLOOKUP($C89,$A$5:$F$14,2,FALSE)*(1+VLOOKUP($C89,$A$5:$F$14,3,FALSE))*VLOOKUP($C89,$A$5:$F$14,6,FALSE),"")</f>
        <v/>
      </c>
    </row>
    <row r="90">
      <c r="A90" t="inlineStr">
        <is>
          <t>TTS.PM.001.IPE140.34</t>
        </is>
      </c>
      <c r="B90" t="inlineStr">
        <is>
          <t>Pilastro motore trave ipe140 x 3420 con foratura alloggiamento quadro motore (standard)</t>
        </is>
      </c>
      <c r="C90" s="13" t="inlineStr">
        <is>
          <t>IPE 140</t>
        </is>
      </c>
      <c r="D90" s="19" t="n">
        <v>3.42</v>
      </c>
      <c r="E90" s="20">
        <f>IF(AND(ISNUMBER($D90),ISNUMBER(VLOOKUP($C90,$A$5:$F$14,4,FALSE))),$D90*VLOOKUP($C90,$A$5:$F$14,4,FALSE),"")</f>
        <v/>
      </c>
      <c r="F90" s="12">
        <f>IF(AND(ISNUMBER($D90),ISNUMBER(VLOOKUP($C90,$A$5:$F$14,2,FALSE)),ISNUMBER(VLOOKUP($C90,$A$5:$F$14,5,FALSE))),$D90*VLOOKUP($C90,$A$5:$F$14,2,FALSE)*VLOOKUP($C90,$A$5:$F$14,5,FALSE),"")</f>
        <v/>
      </c>
      <c r="G90" s="12">
        <f>IF(AND(ISNUMBER($D90),ISNUMBER(VLOOKUP($C90,$A$5:$F$14,2,FALSE)),ISNUMBER(VLOOKUP($C90,$A$5:$F$14,3,FALSE)),VLOOKUP($C90,$A$5:$F$14,3,FALSE)&gt;0,ISNUMBER(VLOOKUP($C90,$A$5:$F$14,6,FALSE))),$D90*VLOOKUP($C90,$A$5:$F$14,2,FALSE)*(1+VLOOKUP($C90,$A$5:$F$14,3,FALSE))*VLOOKUP($C90,$A$5:$F$14,6,FALSE),"")</f>
        <v/>
      </c>
    </row>
    <row r="91">
      <c r="A91" t="inlineStr">
        <is>
          <t>TTS.PM.001.IPE140.35</t>
        </is>
      </c>
      <c r="B91" t="inlineStr">
        <is>
          <t>Pilastro motore trave ipe140 x 3520 con foratura alloggiamento quadro motore (standard)</t>
        </is>
      </c>
      <c r="C91" s="13" t="inlineStr">
        <is>
          <t>IPE 140</t>
        </is>
      </c>
      <c r="D91" s="19" t="n">
        <v>3.52</v>
      </c>
      <c r="E91" s="20">
        <f>IF(AND(ISNUMBER($D91),ISNUMBER(VLOOKUP($C91,$A$5:$F$14,4,FALSE))),$D91*VLOOKUP($C91,$A$5:$F$14,4,FALSE),"")</f>
        <v/>
      </c>
      <c r="F91" s="12">
        <f>IF(AND(ISNUMBER($D91),ISNUMBER(VLOOKUP($C91,$A$5:$F$14,2,FALSE)),ISNUMBER(VLOOKUP($C91,$A$5:$F$14,5,FALSE))),$D91*VLOOKUP($C91,$A$5:$F$14,2,FALSE)*VLOOKUP($C91,$A$5:$F$14,5,FALSE),"")</f>
        <v/>
      </c>
      <c r="G91" s="12">
        <f>IF(AND(ISNUMBER($D91),ISNUMBER(VLOOKUP($C91,$A$5:$F$14,2,FALSE)),ISNUMBER(VLOOKUP($C91,$A$5:$F$14,3,FALSE)),VLOOKUP($C91,$A$5:$F$14,3,FALSE)&gt;0,ISNUMBER(VLOOKUP($C91,$A$5:$F$14,6,FALSE))),$D91*VLOOKUP($C91,$A$5:$F$14,2,FALSE)*(1+VLOOKUP($C91,$A$5:$F$14,3,FALSE))*VLOOKUP($C91,$A$5:$F$14,6,FALSE),"")</f>
        <v/>
      </c>
    </row>
    <row r="92">
      <c r="A92" t="inlineStr">
        <is>
          <t>TTS.PM.001.IPE140.36</t>
        </is>
      </c>
      <c r="B92" t="inlineStr">
        <is>
          <t>Pilastro motore trave ipe140 x 3620 con foratura alloggiamento quadro motore (standard)</t>
        </is>
      </c>
      <c r="C92" s="13" t="inlineStr">
        <is>
          <t>IPE 140</t>
        </is>
      </c>
      <c r="D92" s="19" t="n">
        <v>3.62</v>
      </c>
      <c r="E92" s="20">
        <f>IF(AND(ISNUMBER($D92),ISNUMBER(VLOOKUP($C92,$A$5:$F$14,4,FALSE))),$D92*VLOOKUP($C92,$A$5:$F$14,4,FALSE),"")</f>
        <v/>
      </c>
      <c r="F92" s="12">
        <f>IF(AND(ISNUMBER($D92),ISNUMBER(VLOOKUP($C92,$A$5:$F$14,2,FALSE)),ISNUMBER(VLOOKUP($C92,$A$5:$F$14,5,FALSE))),$D92*VLOOKUP($C92,$A$5:$F$14,2,FALSE)*VLOOKUP($C92,$A$5:$F$14,5,FALSE),"")</f>
        <v/>
      </c>
      <c r="G92" s="12">
        <f>IF(AND(ISNUMBER($D92),ISNUMBER(VLOOKUP($C92,$A$5:$F$14,2,FALSE)),ISNUMBER(VLOOKUP($C92,$A$5:$F$14,3,FALSE)),VLOOKUP($C92,$A$5:$F$14,3,FALSE)&gt;0,ISNUMBER(VLOOKUP($C92,$A$5:$F$14,6,FALSE))),$D92*VLOOKUP($C92,$A$5:$F$14,2,FALSE)*(1+VLOOKUP($C92,$A$5:$F$14,3,FALSE))*VLOOKUP($C92,$A$5:$F$14,6,FALSE),"")</f>
        <v/>
      </c>
    </row>
    <row r="93">
      <c r="A93" t="inlineStr">
        <is>
          <t>TTS.PM.001.IPE140.37</t>
        </is>
      </c>
      <c r="B93" t="inlineStr">
        <is>
          <t>Pilastro motore trave ipe140 x 3720 con foratura alloggiamento quadro motore (standard)</t>
        </is>
      </c>
      <c r="C93" s="13" t="inlineStr">
        <is>
          <t>IPE 140</t>
        </is>
      </c>
      <c r="D93" s="19" t="n">
        <v>3.72</v>
      </c>
      <c r="E93" s="20">
        <f>IF(AND(ISNUMBER($D93),ISNUMBER(VLOOKUP($C93,$A$5:$F$14,4,FALSE))),$D93*VLOOKUP($C93,$A$5:$F$14,4,FALSE),"")</f>
        <v/>
      </c>
      <c r="F93" s="12">
        <f>IF(AND(ISNUMBER($D93),ISNUMBER(VLOOKUP($C93,$A$5:$F$14,2,FALSE)),ISNUMBER(VLOOKUP($C93,$A$5:$F$14,5,FALSE))),$D93*VLOOKUP($C93,$A$5:$F$14,2,FALSE)*VLOOKUP($C93,$A$5:$F$14,5,FALSE),"")</f>
        <v/>
      </c>
      <c r="G93" s="12">
        <f>IF(AND(ISNUMBER($D93),ISNUMBER(VLOOKUP($C93,$A$5:$F$14,2,FALSE)),ISNUMBER(VLOOKUP($C93,$A$5:$F$14,3,FALSE)),VLOOKUP($C93,$A$5:$F$14,3,FALSE)&gt;0,ISNUMBER(VLOOKUP($C93,$A$5:$F$14,6,FALSE))),$D93*VLOOKUP($C93,$A$5:$F$14,2,FALSE)*(1+VLOOKUP($C93,$A$5:$F$14,3,FALSE))*VLOOKUP($C93,$A$5:$F$14,6,FALSE),"")</f>
        <v/>
      </c>
    </row>
    <row r="94">
      <c r="A94" t="inlineStr">
        <is>
          <t>TTS.PM.001.IPE140.38</t>
        </is>
      </c>
      <c r="B94" t="inlineStr">
        <is>
          <t>Pilastro motore trave ipe140 x 3820 con foratura alloggiamento quadro motore (standard)</t>
        </is>
      </c>
      <c r="C94" s="13" t="inlineStr">
        <is>
          <t>IPE 140</t>
        </is>
      </c>
      <c r="D94" s="19" t="n">
        <v>3.82</v>
      </c>
      <c r="E94" s="20">
        <f>IF(AND(ISNUMBER($D94),ISNUMBER(VLOOKUP($C94,$A$5:$F$14,4,FALSE))),$D94*VLOOKUP($C94,$A$5:$F$14,4,FALSE),"")</f>
        <v/>
      </c>
      <c r="F94" s="12">
        <f>IF(AND(ISNUMBER($D94),ISNUMBER(VLOOKUP($C94,$A$5:$F$14,2,FALSE)),ISNUMBER(VLOOKUP($C94,$A$5:$F$14,5,FALSE))),$D94*VLOOKUP($C94,$A$5:$F$14,2,FALSE)*VLOOKUP($C94,$A$5:$F$14,5,FALSE),"")</f>
        <v/>
      </c>
      <c r="G94" s="12">
        <f>IF(AND(ISNUMBER($D94),ISNUMBER(VLOOKUP($C94,$A$5:$F$14,2,FALSE)),ISNUMBER(VLOOKUP($C94,$A$5:$F$14,3,FALSE)),VLOOKUP($C94,$A$5:$F$14,3,FALSE)&gt;0,ISNUMBER(VLOOKUP($C94,$A$5:$F$14,6,FALSE))),$D94*VLOOKUP($C94,$A$5:$F$14,2,FALSE)*(1+VLOOKUP($C94,$A$5:$F$14,3,FALSE))*VLOOKUP($C94,$A$5:$F$14,6,FALSE),"")</f>
        <v/>
      </c>
    </row>
    <row r="95">
      <c r="A95" t="inlineStr">
        <is>
          <t>TTS.PM.001.IPE140.39</t>
        </is>
      </c>
      <c r="B95" t="inlineStr">
        <is>
          <t>Pilastro motore trave ipe140 x 3920 con foratura alloggiamento quadro motore (standard)</t>
        </is>
      </c>
      <c r="C95" s="13" t="inlineStr">
        <is>
          <t>IPE 140</t>
        </is>
      </c>
      <c r="D95" s="19" t="n">
        <v>3.92</v>
      </c>
      <c r="E95" s="20">
        <f>IF(AND(ISNUMBER($D95),ISNUMBER(VLOOKUP($C95,$A$5:$F$14,4,FALSE))),$D95*VLOOKUP($C95,$A$5:$F$14,4,FALSE),"")</f>
        <v/>
      </c>
      <c r="F95" s="12">
        <f>IF(AND(ISNUMBER($D95),ISNUMBER(VLOOKUP($C95,$A$5:$F$14,2,FALSE)),ISNUMBER(VLOOKUP($C95,$A$5:$F$14,5,FALSE))),$D95*VLOOKUP($C95,$A$5:$F$14,2,FALSE)*VLOOKUP($C95,$A$5:$F$14,5,FALSE),"")</f>
        <v/>
      </c>
      <c r="G95" s="12">
        <f>IF(AND(ISNUMBER($D95),ISNUMBER(VLOOKUP($C95,$A$5:$F$14,2,FALSE)),ISNUMBER(VLOOKUP($C95,$A$5:$F$14,3,FALSE)),VLOOKUP($C95,$A$5:$F$14,3,FALSE)&gt;0,ISNUMBER(VLOOKUP($C95,$A$5:$F$14,6,FALSE))),$D95*VLOOKUP($C95,$A$5:$F$14,2,FALSE)*(1+VLOOKUP($C95,$A$5:$F$14,3,FALSE))*VLOOKUP($C95,$A$5:$F$14,6,FALSE),"")</f>
        <v/>
      </c>
    </row>
    <row r="96">
      <c r="A96" t="inlineStr">
        <is>
          <t>TTS.PM.001.IPE140.40</t>
        </is>
      </c>
      <c r="B96" t="inlineStr">
        <is>
          <t>Pilastro motore trave ipe140 x 4020 con foratura alloggiamento quadro motore (standard)</t>
        </is>
      </c>
      <c r="C96" s="13" t="inlineStr">
        <is>
          <t>IPE 140</t>
        </is>
      </c>
      <c r="D96" s="19" t="n">
        <v>4.02</v>
      </c>
      <c r="E96" s="20">
        <f>IF(AND(ISNUMBER($D96),ISNUMBER(VLOOKUP($C96,$A$5:$F$14,4,FALSE))),$D96*VLOOKUP($C96,$A$5:$F$14,4,FALSE),"")</f>
        <v/>
      </c>
      <c r="F96" s="12">
        <f>IF(AND(ISNUMBER($D96),ISNUMBER(VLOOKUP($C96,$A$5:$F$14,2,FALSE)),ISNUMBER(VLOOKUP($C96,$A$5:$F$14,5,FALSE))),$D96*VLOOKUP($C96,$A$5:$F$14,2,FALSE)*VLOOKUP($C96,$A$5:$F$14,5,FALSE),"")</f>
        <v/>
      </c>
      <c r="G96" s="12">
        <f>IF(AND(ISNUMBER($D96),ISNUMBER(VLOOKUP($C96,$A$5:$F$14,2,FALSE)),ISNUMBER(VLOOKUP($C96,$A$5:$F$14,3,FALSE)),VLOOKUP($C96,$A$5:$F$14,3,FALSE)&gt;0,ISNUMBER(VLOOKUP($C96,$A$5:$F$14,6,FALSE))),$D96*VLOOKUP($C96,$A$5:$F$14,2,FALSE)*(1+VLOOKUP($C96,$A$5:$F$14,3,FALSE))*VLOOKUP($C96,$A$5:$F$14,6,FALSE),"")</f>
        <v/>
      </c>
    </row>
    <row r="97">
      <c r="A97" t="inlineStr">
        <is>
          <t>TTS.PM.001.IPE140.41</t>
        </is>
      </c>
      <c r="B97" t="inlineStr">
        <is>
          <t>Pilastro motore trave ipe140 x 4120 con foratura alloggiamento quadro motore (standard)</t>
        </is>
      </c>
      <c r="C97" s="13" t="inlineStr">
        <is>
          <t>IPE 140</t>
        </is>
      </c>
      <c r="D97" s="19" t="n">
        <v>4.12</v>
      </c>
      <c r="E97" s="20">
        <f>IF(AND(ISNUMBER($D97),ISNUMBER(VLOOKUP($C97,$A$5:$F$14,4,FALSE))),$D97*VLOOKUP($C97,$A$5:$F$14,4,FALSE),"")</f>
        <v/>
      </c>
      <c r="F97" s="12">
        <f>IF(AND(ISNUMBER($D97),ISNUMBER(VLOOKUP($C97,$A$5:$F$14,2,FALSE)),ISNUMBER(VLOOKUP($C97,$A$5:$F$14,5,FALSE))),$D97*VLOOKUP($C97,$A$5:$F$14,2,FALSE)*VLOOKUP($C97,$A$5:$F$14,5,FALSE),"")</f>
        <v/>
      </c>
      <c r="G97" s="12">
        <f>IF(AND(ISNUMBER($D97),ISNUMBER(VLOOKUP($C97,$A$5:$F$14,2,FALSE)),ISNUMBER(VLOOKUP($C97,$A$5:$F$14,3,FALSE)),VLOOKUP($C97,$A$5:$F$14,3,FALSE)&gt;0,ISNUMBER(VLOOKUP($C97,$A$5:$F$14,6,FALSE))),$D97*VLOOKUP($C97,$A$5:$F$14,2,FALSE)*(1+VLOOKUP($C97,$A$5:$F$14,3,FALSE))*VLOOKUP($C97,$A$5:$F$14,6,FALSE),"")</f>
        <v/>
      </c>
    </row>
    <row r="98">
      <c r="A98" t="inlineStr">
        <is>
          <t>TTS.PM.001.IPE140.42</t>
        </is>
      </c>
      <c r="B98" t="inlineStr">
        <is>
          <t>Pilastro motore trave ipe140 x 4220 con foratura alloggiamento quadro motore (standard)</t>
        </is>
      </c>
      <c r="C98" s="13" t="inlineStr">
        <is>
          <t>IPE 140</t>
        </is>
      </c>
      <c r="D98" s="19" t="n">
        <v>4.22</v>
      </c>
      <c r="E98" s="20">
        <f>IF(AND(ISNUMBER($D98),ISNUMBER(VLOOKUP($C98,$A$5:$F$14,4,FALSE))),$D98*VLOOKUP($C98,$A$5:$F$14,4,FALSE),"")</f>
        <v/>
      </c>
      <c r="F98" s="12">
        <f>IF(AND(ISNUMBER($D98),ISNUMBER(VLOOKUP($C98,$A$5:$F$14,2,FALSE)),ISNUMBER(VLOOKUP($C98,$A$5:$F$14,5,FALSE))),$D98*VLOOKUP($C98,$A$5:$F$14,2,FALSE)*VLOOKUP($C98,$A$5:$F$14,5,FALSE),"")</f>
        <v/>
      </c>
      <c r="G98" s="12">
        <f>IF(AND(ISNUMBER($D98),ISNUMBER(VLOOKUP($C98,$A$5:$F$14,2,FALSE)),ISNUMBER(VLOOKUP($C98,$A$5:$F$14,3,FALSE)),VLOOKUP($C98,$A$5:$F$14,3,FALSE)&gt;0,ISNUMBER(VLOOKUP($C98,$A$5:$F$14,6,FALSE))),$D98*VLOOKUP($C98,$A$5:$F$14,2,FALSE)*(1+VLOOKUP($C98,$A$5:$F$14,3,FALSE))*VLOOKUP($C98,$A$5:$F$14,6,FALSE),"")</f>
        <v/>
      </c>
    </row>
    <row r="99">
      <c r="A99" t="inlineStr">
        <is>
          <t>TTS.PM.001.IPE140.43</t>
        </is>
      </c>
      <c r="B99" t="inlineStr">
        <is>
          <t>Pilastro motore trave ipe140 x 4320 con foratura alloggiamento quadro motore (standard)</t>
        </is>
      </c>
      <c r="C99" s="13" t="inlineStr">
        <is>
          <t>IPE 140</t>
        </is>
      </c>
      <c r="D99" s="19" t="n">
        <v>4.32</v>
      </c>
      <c r="E99" s="20">
        <f>IF(AND(ISNUMBER($D99),ISNUMBER(VLOOKUP($C99,$A$5:$F$14,4,FALSE))),$D99*VLOOKUP($C99,$A$5:$F$14,4,FALSE),"")</f>
        <v/>
      </c>
      <c r="F99" s="12">
        <f>IF(AND(ISNUMBER($D99),ISNUMBER(VLOOKUP($C99,$A$5:$F$14,2,FALSE)),ISNUMBER(VLOOKUP($C99,$A$5:$F$14,5,FALSE))),$D99*VLOOKUP($C99,$A$5:$F$14,2,FALSE)*VLOOKUP($C99,$A$5:$F$14,5,FALSE),"")</f>
        <v/>
      </c>
      <c r="G99" s="12">
        <f>IF(AND(ISNUMBER($D99),ISNUMBER(VLOOKUP($C99,$A$5:$F$14,2,FALSE)),ISNUMBER(VLOOKUP($C99,$A$5:$F$14,3,FALSE)),VLOOKUP($C99,$A$5:$F$14,3,FALSE)&gt;0,ISNUMBER(VLOOKUP($C99,$A$5:$F$14,6,FALSE))),$D99*VLOOKUP($C99,$A$5:$F$14,2,FALSE)*(1+VLOOKUP($C99,$A$5:$F$14,3,FALSE))*VLOOKUP($C99,$A$5:$F$14,6,FALSE),"")</f>
        <v/>
      </c>
    </row>
    <row r="100">
      <c r="A100" t="inlineStr">
        <is>
          <t>TTS.PM.001.IPE140.44</t>
        </is>
      </c>
      <c r="B100" t="inlineStr">
        <is>
          <t>Pilastro motore trave ipe140 x 4420 con foratura alloggiamento quadro motore (standard)</t>
        </is>
      </c>
      <c r="C100" s="13" t="inlineStr">
        <is>
          <t>IPE 140</t>
        </is>
      </c>
      <c r="D100" s="19" t="n">
        <v>4.42</v>
      </c>
      <c r="E100" s="20">
        <f>IF(AND(ISNUMBER($D100),ISNUMBER(VLOOKUP($C100,$A$5:$F$14,4,FALSE))),$D100*VLOOKUP($C100,$A$5:$F$14,4,FALSE),"")</f>
        <v/>
      </c>
      <c r="F100" s="12">
        <f>IF(AND(ISNUMBER($D100),ISNUMBER(VLOOKUP($C100,$A$5:$F$14,2,FALSE)),ISNUMBER(VLOOKUP($C100,$A$5:$F$14,5,FALSE))),$D100*VLOOKUP($C100,$A$5:$F$14,2,FALSE)*VLOOKUP($C100,$A$5:$F$14,5,FALSE),"")</f>
        <v/>
      </c>
      <c r="G100" s="12">
        <f>IF(AND(ISNUMBER($D100),ISNUMBER(VLOOKUP($C100,$A$5:$F$14,2,FALSE)),ISNUMBER(VLOOKUP($C100,$A$5:$F$14,3,FALSE)),VLOOKUP($C100,$A$5:$F$14,3,FALSE)&gt;0,ISNUMBER(VLOOKUP($C100,$A$5:$F$14,6,FALSE))),$D100*VLOOKUP($C100,$A$5:$F$14,2,FALSE)*(1+VLOOKUP($C100,$A$5:$F$14,3,FALSE))*VLOOKUP($C100,$A$5:$F$14,6,FALSE),"")</f>
        <v/>
      </c>
    </row>
    <row r="101">
      <c r="A101" t="inlineStr">
        <is>
          <t>TTS.PM.001.IPEA140.22</t>
        </is>
      </c>
      <c r="B101" t="inlineStr">
        <is>
          <t>Pilastro motore trave ipea140 x 2220 con foratura alloggiamento quadro motore (alleggerita)</t>
        </is>
      </c>
      <c r="C101" s="13" t="inlineStr">
        <is>
          <t>IPEA 140</t>
        </is>
      </c>
      <c r="D101" s="19" t="n">
        <v>2.22</v>
      </c>
      <c r="E101" s="20">
        <f>IF(AND(ISNUMBER($D101),ISNUMBER(VLOOKUP($C101,$A$5:$F$14,4,FALSE))),$D101*VLOOKUP($C101,$A$5:$F$14,4,FALSE),"")</f>
        <v/>
      </c>
      <c r="F101" s="12">
        <f>IF(AND(ISNUMBER($D101),ISNUMBER(VLOOKUP($C101,$A$5:$F$14,2,FALSE)),ISNUMBER(VLOOKUP($C101,$A$5:$F$14,5,FALSE))),$D101*VLOOKUP($C101,$A$5:$F$14,2,FALSE)*VLOOKUP($C101,$A$5:$F$14,5,FALSE),"")</f>
        <v/>
      </c>
      <c r="G101" s="12">
        <f>IF(AND(ISNUMBER($D101),ISNUMBER(VLOOKUP($C101,$A$5:$F$14,2,FALSE)),ISNUMBER(VLOOKUP($C101,$A$5:$F$14,3,FALSE)),VLOOKUP($C101,$A$5:$F$14,3,FALSE)&gt;0,ISNUMBER(VLOOKUP($C101,$A$5:$F$14,6,FALSE))),$D101*VLOOKUP($C101,$A$5:$F$14,2,FALSE)*(1+VLOOKUP($C101,$A$5:$F$14,3,FALSE))*VLOOKUP($C101,$A$5:$F$14,6,FALSE),"")</f>
        <v/>
      </c>
    </row>
    <row r="102">
      <c r="A102" t="inlineStr">
        <is>
          <t>TTS.PM.001.IPEA140.22.QC</t>
        </is>
      </c>
      <c r="B102" t="inlineStr">
        <is>
          <t>Pilastro motore trave ipea140 x 2220 con foratura alloggiamento quadro motore + quadro centralina meteo + quadro alimentazione centralina meteo (alleggerita)</t>
        </is>
      </c>
      <c r="C102" s="13" t="inlineStr">
        <is>
          <t>IPEA 140</t>
        </is>
      </c>
      <c r="D102" s="19" t="n">
        <v>2.22</v>
      </c>
      <c r="E102" s="20">
        <f>IF(AND(ISNUMBER($D102),ISNUMBER(VLOOKUP($C102,$A$5:$F$14,4,FALSE))),$D102*VLOOKUP($C102,$A$5:$F$14,4,FALSE),"")</f>
        <v/>
      </c>
      <c r="F102" s="12">
        <f>IF(AND(ISNUMBER($D102),ISNUMBER(VLOOKUP($C102,$A$5:$F$14,2,FALSE)),ISNUMBER(VLOOKUP($C102,$A$5:$F$14,5,FALSE))),$D102*VLOOKUP($C102,$A$5:$F$14,2,FALSE)*VLOOKUP($C102,$A$5:$F$14,5,FALSE),"")</f>
        <v/>
      </c>
      <c r="G102" s="12">
        <f>IF(AND(ISNUMBER($D102),ISNUMBER(VLOOKUP($C102,$A$5:$F$14,2,FALSE)),ISNUMBER(VLOOKUP($C102,$A$5:$F$14,3,FALSE)),VLOOKUP($C102,$A$5:$F$14,3,FALSE)&gt;0,ISNUMBER(VLOOKUP($C102,$A$5:$F$14,6,FALSE))),$D102*VLOOKUP($C102,$A$5:$F$14,2,FALSE)*(1+VLOOKUP($C102,$A$5:$F$14,3,FALSE))*VLOOKUP($C102,$A$5:$F$14,6,FALSE),"")</f>
        <v/>
      </c>
    </row>
    <row r="103">
      <c r="A103" t="inlineStr">
        <is>
          <t>TTS.PM.001.IPEA140.27</t>
        </is>
      </c>
      <c r="B103" t="inlineStr">
        <is>
          <t>Pilastro motore trave ipea140 x 2720 con foratura alloggiamento quadro motore (alleggerita)</t>
        </is>
      </c>
      <c r="C103" s="13" t="inlineStr">
        <is>
          <t>IPEA 140</t>
        </is>
      </c>
      <c r="D103" s="19" t="n">
        <v>2.72</v>
      </c>
      <c r="E103" s="20">
        <f>IF(AND(ISNUMBER($D103),ISNUMBER(VLOOKUP($C103,$A$5:$F$14,4,FALSE))),$D103*VLOOKUP($C103,$A$5:$F$14,4,FALSE),"")</f>
        <v/>
      </c>
      <c r="F103" s="12">
        <f>IF(AND(ISNUMBER($D103),ISNUMBER(VLOOKUP($C103,$A$5:$F$14,2,FALSE)),ISNUMBER(VLOOKUP($C103,$A$5:$F$14,5,FALSE))),$D103*VLOOKUP($C103,$A$5:$F$14,2,FALSE)*VLOOKUP($C103,$A$5:$F$14,5,FALSE),"")</f>
        <v/>
      </c>
      <c r="G103" s="12">
        <f>IF(AND(ISNUMBER($D103),ISNUMBER(VLOOKUP($C103,$A$5:$F$14,2,FALSE)),ISNUMBER(VLOOKUP($C103,$A$5:$F$14,3,FALSE)),VLOOKUP($C103,$A$5:$F$14,3,FALSE)&gt;0,ISNUMBER(VLOOKUP($C103,$A$5:$F$14,6,FALSE))),$D103*VLOOKUP($C103,$A$5:$F$14,2,FALSE)*(1+VLOOKUP($C103,$A$5:$F$14,3,FALSE))*VLOOKUP($C103,$A$5:$F$14,6,FALSE),"")</f>
        <v/>
      </c>
    </row>
    <row r="104">
      <c r="A104" t="inlineStr">
        <is>
          <t>TTS.PM.001.IPEA140.28</t>
        </is>
      </c>
      <c r="B104" t="inlineStr">
        <is>
          <t>Pilastro motore trave ipea140 x 2820 con foratura alloggiamento quadro motore (alleggerita)</t>
        </is>
      </c>
      <c r="C104" s="13" t="inlineStr">
        <is>
          <t>IPEA 140</t>
        </is>
      </c>
      <c r="D104" s="19" t="n">
        <v>2.82</v>
      </c>
      <c r="E104" s="20">
        <f>IF(AND(ISNUMBER($D104),ISNUMBER(VLOOKUP($C104,$A$5:$F$14,4,FALSE))),$D104*VLOOKUP($C104,$A$5:$F$14,4,FALSE),"")</f>
        <v/>
      </c>
      <c r="F104" s="12">
        <f>IF(AND(ISNUMBER($D104),ISNUMBER(VLOOKUP($C104,$A$5:$F$14,2,FALSE)),ISNUMBER(VLOOKUP($C104,$A$5:$F$14,5,FALSE))),$D104*VLOOKUP($C104,$A$5:$F$14,2,FALSE)*VLOOKUP($C104,$A$5:$F$14,5,FALSE),"")</f>
        <v/>
      </c>
      <c r="G104" s="12">
        <f>IF(AND(ISNUMBER($D104),ISNUMBER(VLOOKUP($C104,$A$5:$F$14,2,FALSE)),ISNUMBER(VLOOKUP($C104,$A$5:$F$14,3,FALSE)),VLOOKUP($C104,$A$5:$F$14,3,FALSE)&gt;0,ISNUMBER(VLOOKUP($C104,$A$5:$F$14,6,FALSE))),$D104*VLOOKUP($C104,$A$5:$F$14,2,FALSE)*(1+VLOOKUP($C104,$A$5:$F$14,3,FALSE))*VLOOKUP($C104,$A$5:$F$14,6,FALSE),"")</f>
        <v/>
      </c>
    </row>
    <row r="105">
      <c r="A105" t="inlineStr">
        <is>
          <t>TTS.PM.001.IPEA140.29</t>
        </is>
      </c>
      <c r="B105" t="inlineStr">
        <is>
          <t>Pilastro motore trave ipea140 x 2920 con foratura alloggiamento quadro motore (alleggerita)</t>
        </is>
      </c>
      <c r="C105" s="13" t="inlineStr">
        <is>
          <t>IPEA 140</t>
        </is>
      </c>
      <c r="D105" s="19" t="n">
        <v>2.92</v>
      </c>
      <c r="E105" s="20">
        <f>IF(AND(ISNUMBER($D105),ISNUMBER(VLOOKUP($C105,$A$5:$F$14,4,FALSE))),$D105*VLOOKUP($C105,$A$5:$F$14,4,FALSE),"")</f>
        <v/>
      </c>
      <c r="F105" s="12">
        <f>IF(AND(ISNUMBER($D105),ISNUMBER(VLOOKUP($C105,$A$5:$F$14,2,FALSE)),ISNUMBER(VLOOKUP($C105,$A$5:$F$14,5,FALSE))),$D105*VLOOKUP($C105,$A$5:$F$14,2,FALSE)*VLOOKUP($C105,$A$5:$F$14,5,FALSE),"")</f>
        <v/>
      </c>
      <c r="G105" s="12">
        <f>IF(AND(ISNUMBER($D105),ISNUMBER(VLOOKUP($C105,$A$5:$F$14,2,FALSE)),ISNUMBER(VLOOKUP($C105,$A$5:$F$14,3,FALSE)),VLOOKUP($C105,$A$5:$F$14,3,FALSE)&gt;0,ISNUMBER(VLOOKUP($C105,$A$5:$F$14,6,FALSE))),$D105*VLOOKUP($C105,$A$5:$F$14,2,FALSE)*(1+VLOOKUP($C105,$A$5:$F$14,3,FALSE))*VLOOKUP($C105,$A$5:$F$14,6,FALSE),"")</f>
        <v/>
      </c>
    </row>
    <row r="106">
      <c r="A106" t="inlineStr">
        <is>
          <t>TTS.PM.001.IPEA140.30</t>
        </is>
      </c>
      <c r="B106" t="inlineStr">
        <is>
          <t>Pilastro motore trave ipea140 x 3020 con foratura alloggiamento quadro motore (alleggerita)</t>
        </is>
      </c>
      <c r="C106" s="13" t="inlineStr">
        <is>
          <t>IPEA 140</t>
        </is>
      </c>
      <c r="D106" s="19" t="n">
        <v>3.02</v>
      </c>
      <c r="E106" s="20">
        <f>IF(AND(ISNUMBER($D106),ISNUMBER(VLOOKUP($C106,$A$5:$F$14,4,FALSE))),$D106*VLOOKUP($C106,$A$5:$F$14,4,FALSE),"")</f>
        <v/>
      </c>
      <c r="F106" s="12">
        <f>IF(AND(ISNUMBER($D106),ISNUMBER(VLOOKUP($C106,$A$5:$F$14,2,FALSE)),ISNUMBER(VLOOKUP($C106,$A$5:$F$14,5,FALSE))),$D106*VLOOKUP($C106,$A$5:$F$14,2,FALSE)*VLOOKUP($C106,$A$5:$F$14,5,FALSE),"")</f>
        <v/>
      </c>
      <c r="G106" s="12">
        <f>IF(AND(ISNUMBER($D106),ISNUMBER(VLOOKUP($C106,$A$5:$F$14,2,FALSE)),ISNUMBER(VLOOKUP($C106,$A$5:$F$14,3,FALSE)),VLOOKUP($C106,$A$5:$F$14,3,FALSE)&gt;0,ISNUMBER(VLOOKUP($C106,$A$5:$F$14,6,FALSE))),$D106*VLOOKUP($C106,$A$5:$F$14,2,FALSE)*(1+VLOOKUP($C106,$A$5:$F$14,3,FALSE))*VLOOKUP($C106,$A$5:$F$14,6,FALSE),"")</f>
        <v/>
      </c>
    </row>
    <row r="107">
      <c r="A107" t="inlineStr">
        <is>
          <t>TTS.PM.001.IPEA140.31</t>
        </is>
      </c>
      <c r="B107" t="inlineStr">
        <is>
          <t>Pilastro motore trave ipea140 x 3120 con foratura alloggiamento quadro motore (alleggerita)</t>
        </is>
      </c>
      <c r="C107" s="13" t="inlineStr">
        <is>
          <t>IPEA 140</t>
        </is>
      </c>
      <c r="D107" s="19" t="n">
        <v>3.12</v>
      </c>
      <c r="E107" s="20">
        <f>IF(AND(ISNUMBER($D107),ISNUMBER(VLOOKUP($C107,$A$5:$F$14,4,FALSE))),$D107*VLOOKUP($C107,$A$5:$F$14,4,FALSE),"")</f>
        <v/>
      </c>
      <c r="F107" s="12">
        <f>IF(AND(ISNUMBER($D107),ISNUMBER(VLOOKUP($C107,$A$5:$F$14,2,FALSE)),ISNUMBER(VLOOKUP($C107,$A$5:$F$14,5,FALSE))),$D107*VLOOKUP($C107,$A$5:$F$14,2,FALSE)*VLOOKUP($C107,$A$5:$F$14,5,FALSE),"")</f>
        <v/>
      </c>
      <c r="G107" s="12">
        <f>IF(AND(ISNUMBER($D107),ISNUMBER(VLOOKUP($C107,$A$5:$F$14,2,FALSE)),ISNUMBER(VLOOKUP($C107,$A$5:$F$14,3,FALSE)),VLOOKUP($C107,$A$5:$F$14,3,FALSE)&gt;0,ISNUMBER(VLOOKUP($C107,$A$5:$F$14,6,FALSE))),$D107*VLOOKUP($C107,$A$5:$F$14,2,FALSE)*(1+VLOOKUP($C107,$A$5:$F$14,3,FALSE))*VLOOKUP($C107,$A$5:$F$14,6,FALSE),"")</f>
        <v/>
      </c>
    </row>
    <row r="108">
      <c r="A108" t="inlineStr">
        <is>
          <t>TTS.PM.001.IPEA140.32</t>
        </is>
      </c>
      <c r="B108" t="inlineStr">
        <is>
          <t>Pilastro motore trave ipea140 x 3220 con foratura alloggiamento quadro motore (alleggerita)</t>
        </is>
      </c>
      <c r="C108" s="13" t="inlineStr">
        <is>
          <t>IPEA 140</t>
        </is>
      </c>
      <c r="D108" s="19" t="n">
        <v>3.22</v>
      </c>
      <c r="E108" s="20">
        <f>IF(AND(ISNUMBER($D108),ISNUMBER(VLOOKUP($C108,$A$5:$F$14,4,FALSE))),$D108*VLOOKUP($C108,$A$5:$F$14,4,FALSE),"")</f>
        <v/>
      </c>
      <c r="F108" s="12">
        <f>IF(AND(ISNUMBER($D108),ISNUMBER(VLOOKUP($C108,$A$5:$F$14,2,FALSE)),ISNUMBER(VLOOKUP($C108,$A$5:$F$14,5,FALSE))),$D108*VLOOKUP($C108,$A$5:$F$14,2,FALSE)*VLOOKUP($C108,$A$5:$F$14,5,FALSE),"")</f>
        <v/>
      </c>
      <c r="G108" s="12">
        <f>IF(AND(ISNUMBER($D108),ISNUMBER(VLOOKUP($C108,$A$5:$F$14,2,FALSE)),ISNUMBER(VLOOKUP($C108,$A$5:$F$14,3,FALSE)),VLOOKUP($C108,$A$5:$F$14,3,FALSE)&gt;0,ISNUMBER(VLOOKUP($C108,$A$5:$F$14,6,FALSE))),$D108*VLOOKUP($C108,$A$5:$F$14,2,FALSE)*(1+VLOOKUP($C108,$A$5:$F$14,3,FALSE))*VLOOKUP($C108,$A$5:$F$14,6,FALSE),"")</f>
        <v/>
      </c>
    </row>
    <row r="109">
      <c r="A109" t="inlineStr">
        <is>
          <t>TTS.PM.001.IPEA140.33</t>
        </is>
      </c>
      <c r="B109" t="inlineStr">
        <is>
          <t>Pilastro motore trave ipea140 x 3320 con foratura alloggiamento quadro motore (alleggerita)</t>
        </is>
      </c>
      <c r="C109" s="13" t="inlineStr">
        <is>
          <t>IPEA 140</t>
        </is>
      </c>
      <c r="D109" s="19" t="n">
        <v>3.32</v>
      </c>
      <c r="E109" s="20">
        <f>IF(AND(ISNUMBER($D109),ISNUMBER(VLOOKUP($C109,$A$5:$F$14,4,FALSE))),$D109*VLOOKUP($C109,$A$5:$F$14,4,FALSE),"")</f>
        <v/>
      </c>
      <c r="F109" s="12">
        <f>IF(AND(ISNUMBER($D109),ISNUMBER(VLOOKUP($C109,$A$5:$F$14,2,FALSE)),ISNUMBER(VLOOKUP($C109,$A$5:$F$14,5,FALSE))),$D109*VLOOKUP($C109,$A$5:$F$14,2,FALSE)*VLOOKUP($C109,$A$5:$F$14,5,FALSE),"")</f>
        <v/>
      </c>
      <c r="G109" s="12">
        <f>IF(AND(ISNUMBER($D109),ISNUMBER(VLOOKUP($C109,$A$5:$F$14,2,FALSE)),ISNUMBER(VLOOKUP($C109,$A$5:$F$14,3,FALSE)),VLOOKUP($C109,$A$5:$F$14,3,FALSE)&gt;0,ISNUMBER(VLOOKUP($C109,$A$5:$F$14,6,FALSE))),$D109*VLOOKUP($C109,$A$5:$F$14,2,FALSE)*(1+VLOOKUP($C109,$A$5:$F$14,3,FALSE))*VLOOKUP($C109,$A$5:$F$14,6,FALSE),"")</f>
        <v/>
      </c>
    </row>
    <row r="110">
      <c r="A110" t="inlineStr">
        <is>
          <t>TTS.PM.001.IPEA140.34</t>
        </is>
      </c>
      <c r="B110" t="inlineStr">
        <is>
          <t>Pilastro motore trave ipea140 x 3420 con foratura alloggiamento quadro motore (alleggerita)</t>
        </is>
      </c>
      <c r="C110" s="13" t="inlineStr">
        <is>
          <t>IPEA 140</t>
        </is>
      </c>
      <c r="D110" s="19" t="n">
        <v>3.42</v>
      </c>
      <c r="E110" s="20">
        <f>IF(AND(ISNUMBER($D110),ISNUMBER(VLOOKUP($C110,$A$5:$F$14,4,FALSE))),$D110*VLOOKUP($C110,$A$5:$F$14,4,FALSE),"")</f>
        <v/>
      </c>
      <c r="F110" s="12">
        <f>IF(AND(ISNUMBER($D110),ISNUMBER(VLOOKUP($C110,$A$5:$F$14,2,FALSE)),ISNUMBER(VLOOKUP($C110,$A$5:$F$14,5,FALSE))),$D110*VLOOKUP($C110,$A$5:$F$14,2,FALSE)*VLOOKUP($C110,$A$5:$F$14,5,FALSE),"")</f>
        <v/>
      </c>
      <c r="G110" s="12">
        <f>IF(AND(ISNUMBER($D110),ISNUMBER(VLOOKUP($C110,$A$5:$F$14,2,FALSE)),ISNUMBER(VLOOKUP($C110,$A$5:$F$14,3,FALSE)),VLOOKUP($C110,$A$5:$F$14,3,FALSE)&gt;0,ISNUMBER(VLOOKUP($C110,$A$5:$F$14,6,FALSE))),$D110*VLOOKUP($C110,$A$5:$F$14,2,FALSE)*(1+VLOOKUP($C110,$A$5:$F$14,3,FALSE))*VLOOKUP($C110,$A$5:$F$14,6,FALSE),"")</f>
        <v/>
      </c>
    </row>
    <row r="111">
      <c r="A111" t="inlineStr">
        <is>
          <t>TTS.PM.001.IPEA140.35</t>
        </is>
      </c>
      <c r="B111" t="inlineStr">
        <is>
          <t>Pilastro motore trave ipea140 x 3520 con foratura alloggiamento quadro motore (alleggerita)</t>
        </is>
      </c>
      <c r="C111" s="13" t="inlineStr">
        <is>
          <t>IPEA 140</t>
        </is>
      </c>
      <c r="D111" s="19" t="n">
        <v>3.52</v>
      </c>
      <c r="E111" s="20">
        <f>IF(AND(ISNUMBER($D111),ISNUMBER(VLOOKUP($C111,$A$5:$F$14,4,FALSE))),$D111*VLOOKUP($C111,$A$5:$F$14,4,FALSE),"")</f>
        <v/>
      </c>
      <c r="F111" s="12">
        <f>IF(AND(ISNUMBER($D111),ISNUMBER(VLOOKUP($C111,$A$5:$F$14,2,FALSE)),ISNUMBER(VLOOKUP($C111,$A$5:$F$14,5,FALSE))),$D111*VLOOKUP($C111,$A$5:$F$14,2,FALSE)*VLOOKUP($C111,$A$5:$F$14,5,FALSE),"")</f>
        <v/>
      </c>
      <c r="G111" s="12">
        <f>IF(AND(ISNUMBER($D111),ISNUMBER(VLOOKUP($C111,$A$5:$F$14,2,FALSE)),ISNUMBER(VLOOKUP($C111,$A$5:$F$14,3,FALSE)),VLOOKUP($C111,$A$5:$F$14,3,FALSE)&gt;0,ISNUMBER(VLOOKUP($C111,$A$5:$F$14,6,FALSE))),$D111*VLOOKUP($C111,$A$5:$F$14,2,FALSE)*(1+VLOOKUP($C111,$A$5:$F$14,3,FALSE))*VLOOKUP($C111,$A$5:$F$14,6,FALSE),"")</f>
        <v/>
      </c>
    </row>
    <row r="112">
      <c r="A112" t="inlineStr">
        <is>
          <t>TTS.PM.001.IPEA140.36</t>
        </is>
      </c>
      <c r="B112" t="inlineStr">
        <is>
          <t>Pilastro motore trave ipea140 x 3620 con foratura alloggiamento quadro motore (alleggerita)</t>
        </is>
      </c>
      <c r="C112" s="13" t="inlineStr">
        <is>
          <t>IPEA 140</t>
        </is>
      </c>
      <c r="D112" s="19" t="n">
        <v>3.62</v>
      </c>
      <c r="E112" s="20">
        <f>IF(AND(ISNUMBER($D112),ISNUMBER(VLOOKUP($C112,$A$5:$F$14,4,FALSE))),$D112*VLOOKUP($C112,$A$5:$F$14,4,FALSE),"")</f>
        <v/>
      </c>
      <c r="F112" s="12">
        <f>IF(AND(ISNUMBER($D112),ISNUMBER(VLOOKUP($C112,$A$5:$F$14,2,FALSE)),ISNUMBER(VLOOKUP($C112,$A$5:$F$14,5,FALSE))),$D112*VLOOKUP($C112,$A$5:$F$14,2,FALSE)*VLOOKUP($C112,$A$5:$F$14,5,FALSE),"")</f>
        <v/>
      </c>
      <c r="G112" s="12">
        <f>IF(AND(ISNUMBER($D112),ISNUMBER(VLOOKUP($C112,$A$5:$F$14,2,FALSE)),ISNUMBER(VLOOKUP($C112,$A$5:$F$14,3,FALSE)),VLOOKUP($C112,$A$5:$F$14,3,FALSE)&gt;0,ISNUMBER(VLOOKUP($C112,$A$5:$F$14,6,FALSE))),$D112*VLOOKUP($C112,$A$5:$F$14,2,FALSE)*(1+VLOOKUP($C112,$A$5:$F$14,3,FALSE))*VLOOKUP($C112,$A$5:$F$14,6,FALSE),"")</f>
        <v/>
      </c>
    </row>
    <row r="113">
      <c r="A113" t="inlineStr">
        <is>
          <t>TTS.PM.001.IPEA140.37</t>
        </is>
      </c>
      <c r="B113" t="inlineStr">
        <is>
          <t>Pilastro motore trave ipea140 x 3720 con foratura alloggiamento quadro motore (alleggerita)</t>
        </is>
      </c>
      <c r="C113" s="13" t="inlineStr">
        <is>
          <t>IPEA 140</t>
        </is>
      </c>
      <c r="D113" s="19" t="n">
        <v>3.72</v>
      </c>
      <c r="E113" s="20">
        <f>IF(AND(ISNUMBER($D113),ISNUMBER(VLOOKUP($C113,$A$5:$F$14,4,FALSE))),$D113*VLOOKUP($C113,$A$5:$F$14,4,FALSE),"")</f>
        <v/>
      </c>
      <c r="F113" s="12">
        <f>IF(AND(ISNUMBER($D113),ISNUMBER(VLOOKUP($C113,$A$5:$F$14,2,FALSE)),ISNUMBER(VLOOKUP($C113,$A$5:$F$14,5,FALSE))),$D113*VLOOKUP($C113,$A$5:$F$14,2,FALSE)*VLOOKUP($C113,$A$5:$F$14,5,FALSE),"")</f>
        <v/>
      </c>
      <c r="G113" s="12">
        <f>IF(AND(ISNUMBER($D113),ISNUMBER(VLOOKUP($C113,$A$5:$F$14,2,FALSE)),ISNUMBER(VLOOKUP($C113,$A$5:$F$14,3,FALSE)),VLOOKUP($C113,$A$5:$F$14,3,FALSE)&gt;0,ISNUMBER(VLOOKUP($C113,$A$5:$F$14,6,FALSE))),$D113*VLOOKUP($C113,$A$5:$F$14,2,FALSE)*(1+VLOOKUP($C113,$A$5:$F$14,3,FALSE))*VLOOKUP($C113,$A$5:$F$14,6,FALSE),"")</f>
        <v/>
      </c>
    </row>
    <row r="114">
      <c r="A114" t="inlineStr">
        <is>
          <t>TTS.PM.001.IPEA140.38</t>
        </is>
      </c>
      <c r="B114" t="inlineStr">
        <is>
          <t>Pilastro motore trave ipea140 x 3820 con foratura alloggiamento quadro motore (alleggerita)</t>
        </is>
      </c>
      <c r="C114" s="13" t="inlineStr">
        <is>
          <t>IPEA 140</t>
        </is>
      </c>
      <c r="D114" s="19" t="n">
        <v>3.82</v>
      </c>
      <c r="E114" s="20">
        <f>IF(AND(ISNUMBER($D114),ISNUMBER(VLOOKUP($C114,$A$5:$F$14,4,FALSE))),$D114*VLOOKUP($C114,$A$5:$F$14,4,FALSE),"")</f>
        <v/>
      </c>
      <c r="F114" s="12">
        <f>IF(AND(ISNUMBER($D114),ISNUMBER(VLOOKUP($C114,$A$5:$F$14,2,FALSE)),ISNUMBER(VLOOKUP($C114,$A$5:$F$14,5,FALSE))),$D114*VLOOKUP($C114,$A$5:$F$14,2,FALSE)*VLOOKUP($C114,$A$5:$F$14,5,FALSE),"")</f>
        <v/>
      </c>
      <c r="G114" s="12">
        <f>IF(AND(ISNUMBER($D114),ISNUMBER(VLOOKUP($C114,$A$5:$F$14,2,FALSE)),ISNUMBER(VLOOKUP($C114,$A$5:$F$14,3,FALSE)),VLOOKUP($C114,$A$5:$F$14,3,FALSE)&gt;0,ISNUMBER(VLOOKUP($C114,$A$5:$F$14,6,FALSE))),$D114*VLOOKUP($C114,$A$5:$F$14,2,FALSE)*(1+VLOOKUP($C114,$A$5:$F$14,3,FALSE))*VLOOKUP($C114,$A$5:$F$14,6,FALSE),"")</f>
        <v/>
      </c>
    </row>
    <row r="115">
      <c r="A115" t="inlineStr">
        <is>
          <t>TTS.PM.001.IPEA140.39</t>
        </is>
      </c>
      <c r="B115" t="inlineStr">
        <is>
          <t>Pilastro motore trave ipea140 x 3920 con foratura alloggiamento quadro motore (alleggerita)</t>
        </is>
      </c>
      <c r="C115" s="13" t="inlineStr">
        <is>
          <t>IPEA 140</t>
        </is>
      </c>
      <c r="D115" s="19" t="n">
        <v>3.92</v>
      </c>
      <c r="E115" s="20">
        <f>IF(AND(ISNUMBER($D115),ISNUMBER(VLOOKUP($C115,$A$5:$F$14,4,FALSE))),$D115*VLOOKUP($C115,$A$5:$F$14,4,FALSE),"")</f>
        <v/>
      </c>
      <c r="F115" s="12">
        <f>IF(AND(ISNUMBER($D115),ISNUMBER(VLOOKUP($C115,$A$5:$F$14,2,FALSE)),ISNUMBER(VLOOKUP($C115,$A$5:$F$14,5,FALSE))),$D115*VLOOKUP($C115,$A$5:$F$14,2,FALSE)*VLOOKUP($C115,$A$5:$F$14,5,FALSE),"")</f>
        <v/>
      </c>
      <c r="G115" s="12">
        <f>IF(AND(ISNUMBER($D115),ISNUMBER(VLOOKUP($C115,$A$5:$F$14,2,FALSE)),ISNUMBER(VLOOKUP($C115,$A$5:$F$14,3,FALSE)),VLOOKUP($C115,$A$5:$F$14,3,FALSE)&gt;0,ISNUMBER(VLOOKUP($C115,$A$5:$F$14,6,FALSE))),$D115*VLOOKUP($C115,$A$5:$F$14,2,FALSE)*(1+VLOOKUP($C115,$A$5:$F$14,3,FALSE))*VLOOKUP($C115,$A$5:$F$14,6,FALSE),"")</f>
        <v/>
      </c>
    </row>
    <row r="116">
      <c r="A116" t="inlineStr">
        <is>
          <t>TTS.PM.001.IPEA140.40</t>
        </is>
      </c>
      <c r="B116" t="inlineStr">
        <is>
          <t>Pilastro motore trave ipea140 x 4020 con foratura alloggiamento quadro motore (alleggerita)</t>
        </is>
      </c>
      <c r="C116" s="13" t="inlineStr">
        <is>
          <t>IPEA 140</t>
        </is>
      </c>
      <c r="D116" s="19" t="n">
        <v>4.02</v>
      </c>
      <c r="E116" s="20">
        <f>IF(AND(ISNUMBER($D116),ISNUMBER(VLOOKUP($C116,$A$5:$F$14,4,FALSE))),$D116*VLOOKUP($C116,$A$5:$F$14,4,FALSE),"")</f>
        <v/>
      </c>
      <c r="F116" s="12">
        <f>IF(AND(ISNUMBER($D116),ISNUMBER(VLOOKUP($C116,$A$5:$F$14,2,FALSE)),ISNUMBER(VLOOKUP($C116,$A$5:$F$14,5,FALSE))),$D116*VLOOKUP($C116,$A$5:$F$14,2,FALSE)*VLOOKUP($C116,$A$5:$F$14,5,FALSE),"")</f>
        <v/>
      </c>
      <c r="G116" s="12">
        <f>IF(AND(ISNUMBER($D116),ISNUMBER(VLOOKUP($C116,$A$5:$F$14,2,FALSE)),ISNUMBER(VLOOKUP($C116,$A$5:$F$14,3,FALSE)),VLOOKUP($C116,$A$5:$F$14,3,FALSE)&gt;0,ISNUMBER(VLOOKUP($C116,$A$5:$F$14,6,FALSE))),$D116*VLOOKUP($C116,$A$5:$F$14,2,FALSE)*(1+VLOOKUP($C116,$A$5:$F$14,3,FALSE))*VLOOKUP($C116,$A$5:$F$14,6,FALSE),"")</f>
        <v/>
      </c>
    </row>
    <row r="117">
      <c r="A117" t="inlineStr">
        <is>
          <t>TTS.PM.001.IPEA140.41</t>
        </is>
      </c>
      <c r="B117" t="inlineStr">
        <is>
          <t>Pilastro motore trave ipea140 x 4120 con foratura alloggiamento quadro motore (alleggerita)</t>
        </is>
      </c>
      <c r="C117" s="13" t="inlineStr">
        <is>
          <t>IPEA 140</t>
        </is>
      </c>
      <c r="D117" s="19" t="n">
        <v>4.12</v>
      </c>
      <c r="E117" s="20">
        <f>IF(AND(ISNUMBER($D117),ISNUMBER(VLOOKUP($C117,$A$5:$F$14,4,FALSE))),$D117*VLOOKUP($C117,$A$5:$F$14,4,FALSE),"")</f>
        <v/>
      </c>
      <c r="F117" s="12">
        <f>IF(AND(ISNUMBER($D117),ISNUMBER(VLOOKUP($C117,$A$5:$F$14,2,FALSE)),ISNUMBER(VLOOKUP($C117,$A$5:$F$14,5,FALSE))),$D117*VLOOKUP($C117,$A$5:$F$14,2,FALSE)*VLOOKUP($C117,$A$5:$F$14,5,FALSE),"")</f>
        <v/>
      </c>
      <c r="G117" s="12">
        <f>IF(AND(ISNUMBER($D117),ISNUMBER(VLOOKUP($C117,$A$5:$F$14,2,FALSE)),ISNUMBER(VLOOKUP($C117,$A$5:$F$14,3,FALSE)),VLOOKUP($C117,$A$5:$F$14,3,FALSE)&gt;0,ISNUMBER(VLOOKUP($C117,$A$5:$F$14,6,FALSE))),$D117*VLOOKUP($C117,$A$5:$F$14,2,FALSE)*(1+VLOOKUP($C117,$A$5:$F$14,3,FALSE))*VLOOKUP($C117,$A$5:$F$14,6,FALSE),"")</f>
        <v/>
      </c>
    </row>
    <row r="118">
      <c r="A118" t="inlineStr">
        <is>
          <t>TTS.PM.001.IPEA140.42</t>
        </is>
      </c>
      <c r="B118" t="inlineStr">
        <is>
          <t>Pilastro motore trave ipea140 x 4220 con foratura alloggiamento quadro motore (alleggerita)</t>
        </is>
      </c>
      <c r="C118" s="13" t="inlineStr">
        <is>
          <t>IPEA 140</t>
        </is>
      </c>
      <c r="D118" s="19" t="n">
        <v>4.22</v>
      </c>
      <c r="E118" s="20">
        <f>IF(AND(ISNUMBER($D118),ISNUMBER(VLOOKUP($C118,$A$5:$F$14,4,FALSE))),$D118*VLOOKUP($C118,$A$5:$F$14,4,FALSE),"")</f>
        <v/>
      </c>
      <c r="F118" s="12">
        <f>IF(AND(ISNUMBER($D118),ISNUMBER(VLOOKUP($C118,$A$5:$F$14,2,FALSE)),ISNUMBER(VLOOKUP($C118,$A$5:$F$14,5,FALSE))),$D118*VLOOKUP($C118,$A$5:$F$14,2,FALSE)*VLOOKUP($C118,$A$5:$F$14,5,FALSE),"")</f>
        <v/>
      </c>
      <c r="G118" s="12">
        <f>IF(AND(ISNUMBER($D118),ISNUMBER(VLOOKUP($C118,$A$5:$F$14,2,FALSE)),ISNUMBER(VLOOKUP($C118,$A$5:$F$14,3,FALSE)),VLOOKUP($C118,$A$5:$F$14,3,FALSE)&gt;0,ISNUMBER(VLOOKUP($C118,$A$5:$F$14,6,FALSE))),$D118*VLOOKUP($C118,$A$5:$F$14,2,FALSE)*(1+VLOOKUP($C118,$A$5:$F$14,3,FALSE))*VLOOKUP($C118,$A$5:$F$14,6,FALSE),"")</f>
        <v/>
      </c>
    </row>
    <row r="119">
      <c r="A119" t="inlineStr">
        <is>
          <t>TTS.PM.001.IPEA140.43</t>
        </is>
      </c>
      <c r="B119" t="inlineStr">
        <is>
          <t>Pilastro motore trave ipea140 x 4320 con foratura alloggiamento quadro motore (alleggerita)</t>
        </is>
      </c>
      <c r="C119" s="13" t="inlineStr">
        <is>
          <t>IPEA 140</t>
        </is>
      </c>
      <c r="D119" s="19" t="n">
        <v>4.32</v>
      </c>
      <c r="E119" s="20">
        <f>IF(AND(ISNUMBER($D119),ISNUMBER(VLOOKUP($C119,$A$5:$F$14,4,FALSE))),$D119*VLOOKUP($C119,$A$5:$F$14,4,FALSE),"")</f>
        <v/>
      </c>
      <c r="F119" s="12">
        <f>IF(AND(ISNUMBER($D119),ISNUMBER(VLOOKUP($C119,$A$5:$F$14,2,FALSE)),ISNUMBER(VLOOKUP($C119,$A$5:$F$14,5,FALSE))),$D119*VLOOKUP($C119,$A$5:$F$14,2,FALSE)*VLOOKUP($C119,$A$5:$F$14,5,FALSE),"")</f>
        <v/>
      </c>
      <c r="G119" s="12">
        <f>IF(AND(ISNUMBER($D119),ISNUMBER(VLOOKUP($C119,$A$5:$F$14,2,FALSE)),ISNUMBER(VLOOKUP($C119,$A$5:$F$14,3,FALSE)),VLOOKUP($C119,$A$5:$F$14,3,FALSE)&gt;0,ISNUMBER(VLOOKUP($C119,$A$5:$F$14,6,FALSE))),$D119*VLOOKUP($C119,$A$5:$F$14,2,FALSE)*(1+VLOOKUP($C119,$A$5:$F$14,3,FALSE))*VLOOKUP($C119,$A$5:$F$14,6,FALSE),"")</f>
        <v/>
      </c>
    </row>
    <row r="120">
      <c r="A120" t="inlineStr">
        <is>
          <t>TTS.PM.001.IPEA140.44</t>
        </is>
      </c>
      <c r="B120" t="inlineStr">
        <is>
          <t>Pilastro motore trave ipea140 x 4420 con foratura alloggiamento quadro motore (alleggerita)</t>
        </is>
      </c>
      <c r="C120" s="13" t="inlineStr">
        <is>
          <t>IPEA 140</t>
        </is>
      </c>
      <c r="D120" s="19" t="n">
        <v>4.42</v>
      </c>
      <c r="E120" s="20">
        <f>IF(AND(ISNUMBER($D120),ISNUMBER(VLOOKUP($C120,$A$5:$F$14,4,FALSE))),$D120*VLOOKUP($C120,$A$5:$F$14,4,FALSE),"")</f>
        <v/>
      </c>
      <c r="F120" s="12">
        <f>IF(AND(ISNUMBER($D120),ISNUMBER(VLOOKUP($C120,$A$5:$F$14,2,FALSE)),ISNUMBER(VLOOKUP($C120,$A$5:$F$14,5,FALSE))),$D120*VLOOKUP($C120,$A$5:$F$14,2,FALSE)*VLOOKUP($C120,$A$5:$F$14,5,FALSE),"")</f>
        <v/>
      </c>
      <c r="G120" s="12">
        <f>IF(AND(ISNUMBER($D120),ISNUMBER(VLOOKUP($C120,$A$5:$F$14,2,FALSE)),ISNUMBER(VLOOKUP($C120,$A$5:$F$14,3,FALSE)),VLOOKUP($C120,$A$5:$F$14,3,FALSE)&gt;0,ISNUMBER(VLOOKUP($C120,$A$5:$F$14,6,FALSE))),$D120*VLOOKUP($C120,$A$5:$F$14,2,FALSE)*(1+VLOOKUP($C120,$A$5:$F$14,3,FALSE))*VLOOKUP($C120,$A$5:$F$14,6,FALSE),"")</f>
        <v/>
      </c>
    </row>
    <row r="121">
      <c r="A121" t="inlineStr">
        <is>
          <t>TTS.AR.001.7200</t>
        </is>
      </c>
      <c r="B121" t="inlineStr">
        <is>
          <t>Asse lato motore 120x120x3 mm. lunghezza mt.7,20</t>
        </is>
      </c>
      <c r="C121" s="13" t="inlineStr">
        <is>
          <t>ASSE 120x120x3</t>
        </is>
      </c>
      <c r="D121" s="19" t="n">
        <v>7.2</v>
      </c>
      <c r="E121" s="20">
        <f>IF(AND(ISNUMBER($D121),ISNUMBER(VLOOKUP($C121,$A$5:$F$14,4,FALSE))),$D121*VLOOKUP($C121,$A$5:$F$14,4,FALSE),"")</f>
        <v/>
      </c>
      <c r="F121" s="12">
        <f>IF(AND(ISNUMBER($D121),ISNUMBER(VLOOKUP($C121,$A$5:$F$14,2,FALSE)),ISNUMBER(VLOOKUP($C121,$A$5:$F$14,5,FALSE))),$D121*VLOOKUP($C121,$A$5:$F$14,2,FALSE)*VLOOKUP($C121,$A$5:$F$14,5,FALSE),"")</f>
        <v/>
      </c>
      <c r="G121" s="12">
        <f>IF(AND(ISNUMBER($D121),ISNUMBER(VLOOKUP($C121,$A$5:$F$14,2,FALSE)),ISNUMBER(VLOOKUP($C121,$A$5:$F$14,3,FALSE)),VLOOKUP($C121,$A$5:$F$14,3,FALSE)&gt;0,ISNUMBER(VLOOKUP($C121,$A$5:$F$14,6,FALSE))),$D121*VLOOKUP($C121,$A$5:$F$14,2,FALSE)*(1+VLOOKUP($C121,$A$5:$F$14,3,FALSE))*VLOOKUP($C121,$A$5:$F$14,6,FALSE),"")</f>
        <v/>
      </c>
    </row>
    <row r="122">
      <c r="A122" t="inlineStr">
        <is>
          <t>TTS.AR.001.7200.25</t>
        </is>
      </c>
      <c r="B122" t="inlineStr">
        <is>
          <t>Asse lato motore 120x120x2,5 mm. lunghezza mt.7,20</t>
        </is>
      </c>
      <c r="C122" s="13" t="inlineStr">
        <is>
          <t>ASSE 120x120x2,5</t>
        </is>
      </c>
      <c r="D122" s="19" t="n">
        <v>7.2</v>
      </c>
      <c r="E122" s="20">
        <f>IF(AND(ISNUMBER($D122),ISNUMBER(VLOOKUP($C122,$A$5:$F$14,4,FALSE))),$D122*VLOOKUP($C122,$A$5:$F$14,4,FALSE),"")</f>
        <v/>
      </c>
      <c r="F122" s="12">
        <f>IF(AND(ISNUMBER($D122),ISNUMBER(VLOOKUP($C122,$A$5:$F$14,2,FALSE)),ISNUMBER(VLOOKUP($C122,$A$5:$F$14,5,FALSE))),$D122*VLOOKUP($C122,$A$5:$F$14,2,FALSE)*VLOOKUP($C122,$A$5:$F$14,5,FALSE),"")</f>
        <v/>
      </c>
      <c r="G122" s="12">
        <f>IF(AND(ISNUMBER($D122),ISNUMBER(VLOOKUP($C122,$A$5:$F$14,2,FALSE)),ISNUMBER(VLOOKUP($C122,$A$5:$F$14,3,FALSE)),VLOOKUP($C122,$A$5:$F$14,3,FALSE)&gt;0,ISNUMBER(VLOOKUP($C122,$A$5:$F$14,6,FALSE))),$D122*VLOOKUP($C122,$A$5:$F$14,2,FALSE)*(1+VLOOKUP($C122,$A$5:$F$14,3,FALSE))*VLOOKUP($C122,$A$5:$F$14,6,FALSE),"")</f>
        <v/>
      </c>
    </row>
    <row r="123">
      <c r="A123" t="inlineStr">
        <is>
          <t>TTS.AR.001.8250</t>
        </is>
      </c>
      <c r="B123" t="inlineStr">
        <is>
          <t>Asse lato motore 120x120x3 mm. lunghezza mt.8,25</t>
        </is>
      </c>
      <c r="C123" s="13" t="inlineStr">
        <is>
          <t>ASSE 120x120x3</t>
        </is>
      </c>
      <c r="D123" s="19" t="n">
        <v>8.25</v>
      </c>
      <c r="E123" s="20">
        <f>IF(AND(ISNUMBER($D123),ISNUMBER(VLOOKUP($C123,$A$5:$F$14,4,FALSE))),$D123*VLOOKUP($C123,$A$5:$F$14,4,FALSE),"")</f>
        <v/>
      </c>
      <c r="F123" s="12">
        <f>IF(AND(ISNUMBER($D123),ISNUMBER(VLOOKUP($C123,$A$5:$F$14,2,FALSE)),ISNUMBER(VLOOKUP($C123,$A$5:$F$14,5,FALSE))),$D123*VLOOKUP($C123,$A$5:$F$14,2,FALSE)*VLOOKUP($C123,$A$5:$F$14,5,FALSE),"")</f>
        <v/>
      </c>
      <c r="G123" s="12">
        <f>IF(AND(ISNUMBER($D123),ISNUMBER(VLOOKUP($C123,$A$5:$F$14,2,FALSE)),ISNUMBER(VLOOKUP($C123,$A$5:$F$14,3,FALSE)),VLOOKUP($C123,$A$5:$F$14,3,FALSE)&gt;0,ISNUMBER(VLOOKUP($C123,$A$5:$F$14,6,FALSE))),$D123*VLOOKUP($C123,$A$5:$F$14,2,FALSE)*(1+VLOOKUP($C123,$A$5:$F$14,3,FALSE))*VLOOKUP($C123,$A$5:$F$14,6,FALSE),"")</f>
        <v/>
      </c>
    </row>
    <row r="124">
      <c r="A124" t="inlineStr">
        <is>
          <t>TTS.AR.001.8250.25</t>
        </is>
      </c>
      <c r="B124" t="inlineStr">
        <is>
          <t>Asse lato motore 120x120x2,5 mm. lunghezza mt.8,25</t>
        </is>
      </c>
      <c r="C124" s="13" t="inlineStr">
        <is>
          <t>ASSE 120x120x2,5</t>
        </is>
      </c>
      <c r="D124" s="19" t="n">
        <v>8.25</v>
      </c>
      <c r="E124" s="20">
        <f>IF(AND(ISNUMBER($D124),ISNUMBER(VLOOKUP($C124,$A$5:$F$14,4,FALSE))),$D124*VLOOKUP($C124,$A$5:$F$14,4,FALSE),"")</f>
        <v/>
      </c>
      <c r="F124" s="12">
        <f>IF(AND(ISNUMBER($D124),ISNUMBER(VLOOKUP($C124,$A$5:$F$14,2,FALSE)),ISNUMBER(VLOOKUP($C124,$A$5:$F$14,5,FALSE))),$D124*VLOOKUP($C124,$A$5:$F$14,2,FALSE)*VLOOKUP($C124,$A$5:$F$14,5,FALSE),"")</f>
        <v/>
      </c>
      <c r="G124" s="12">
        <f>IF(AND(ISNUMBER($D124),ISNUMBER(VLOOKUP($C124,$A$5:$F$14,2,FALSE)),ISNUMBER(VLOOKUP($C124,$A$5:$F$14,3,FALSE)),VLOOKUP($C124,$A$5:$F$14,3,FALSE)&gt;0,ISNUMBER(VLOOKUP($C124,$A$5:$F$14,6,FALSE))),$D124*VLOOKUP($C124,$A$5:$F$14,2,FALSE)*(1+VLOOKUP($C124,$A$5:$F$14,3,FALSE))*VLOOKUP($C124,$A$5:$F$14,6,FALSE),"")</f>
        <v/>
      </c>
    </row>
    <row r="125">
      <c r="A125" t="inlineStr">
        <is>
          <t>TTS.AR.001.8700</t>
        </is>
      </c>
      <c r="B125" t="inlineStr">
        <is>
          <t>Asse lato motore 120x120x3 mm. lunghezza mt.8,70</t>
        </is>
      </c>
      <c r="C125" s="13" t="inlineStr">
        <is>
          <t>ASSE 120x120x3</t>
        </is>
      </c>
      <c r="D125" s="19" t="n">
        <v>8.699999999999999</v>
      </c>
      <c r="E125" s="20">
        <f>IF(AND(ISNUMBER($D125),ISNUMBER(VLOOKUP($C125,$A$5:$F$14,4,FALSE))),$D125*VLOOKUP($C125,$A$5:$F$14,4,FALSE),"")</f>
        <v/>
      </c>
      <c r="F125" s="12">
        <f>IF(AND(ISNUMBER($D125),ISNUMBER(VLOOKUP($C125,$A$5:$F$14,2,FALSE)),ISNUMBER(VLOOKUP($C125,$A$5:$F$14,5,FALSE))),$D125*VLOOKUP($C125,$A$5:$F$14,2,FALSE)*VLOOKUP($C125,$A$5:$F$14,5,FALSE),"")</f>
        <v/>
      </c>
      <c r="G125" s="12">
        <f>IF(AND(ISNUMBER($D125),ISNUMBER(VLOOKUP($C125,$A$5:$F$14,2,FALSE)),ISNUMBER(VLOOKUP($C125,$A$5:$F$14,3,FALSE)),VLOOKUP($C125,$A$5:$F$14,3,FALSE)&gt;0,ISNUMBER(VLOOKUP($C125,$A$5:$F$14,6,FALSE))),$D125*VLOOKUP($C125,$A$5:$F$14,2,FALSE)*(1+VLOOKUP($C125,$A$5:$F$14,3,FALSE))*VLOOKUP($C125,$A$5:$F$14,6,FALSE),"")</f>
        <v/>
      </c>
    </row>
    <row r="126">
      <c r="A126" t="inlineStr">
        <is>
          <t>TTS.AR.001.8700.25</t>
        </is>
      </c>
      <c r="B126" t="inlineStr">
        <is>
          <t>Asse lato motore 120x120x2,5 mm. lunghezza mt.8,70</t>
        </is>
      </c>
      <c r="C126" s="13" t="inlineStr">
        <is>
          <t>ASSE 120x120x2,5</t>
        </is>
      </c>
      <c r="D126" s="19" t="n">
        <v>8.699999999999999</v>
      </c>
      <c r="E126" s="20">
        <f>IF(AND(ISNUMBER($D126),ISNUMBER(VLOOKUP($C126,$A$5:$F$14,4,FALSE))),$D126*VLOOKUP($C126,$A$5:$F$14,4,FALSE),"")</f>
        <v/>
      </c>
      <c r="F126" s="12">
        <f>IF(AND(ISNUMBER($D126),ISNUMBER(VLOOKUP($C126,$A$5:$F$14,2,FALSE)),ISNUMBER(VLOOKUP($C126,$A$5:$F$14,5,FALSE))),$D126*VLOOKUP($C126,$A$5:$F$14,2,FALSE)*VLOOKUP($C126,$A$5:$F$14,5,FALSE),"")</f>
        <v/>
      </c>
      <c r="G126" s="12">
        <f>IF(AND(ISNUMBER($D126),ISNUMBER(VLOOKUP($C126,$A$5:$F$14,2,FALSE)),ISNUMBER(VLOOKUP($C126,$A$5:$F$14,3,FALSE)),VLOOKUP($C126,$A$5:$F$14,3,FALSE)&gt;0,ISNUMBER(VLOOKUP($C126,$A$5:$F$14,6,FALSE))),$D126*VLOOKUP($C126,$A$5:$F$14,2,FALSE)*(1+VLOOKUP($C126,$A$5:$F$14,3,FALSE))*VLOOKUP($C126,$A$5:$F$14,6,FALSE),"")</f>
        <v/>
      </c>
    </row>
    <row r="127">
      <c r="A127" t="inlineStr">
        <is>
          <t>TTS.AR.002.5000</t>
        </is>
      </c>
      <c r="B127" t="inlineStr">
        <is>
          <t>Asse esterno 120x120x3 mm. lunghezza mt.5,00</t>
        </is>
      </c>
      <c r="C127" s="13" t="inlineStr">
        <is>
          <t>ASSE 120x120x3</t>
        </is>
      </c>
      <c r="D127" s="19" t="n">
        <v>5</v>
      </c>
      <c r="E127" s="20">
        <f>IF(AND(ISNUMBER($D127),ISNUMBER(VLOOKUP($C127,$A$5:$F$14,4,FALSE))),$D127*VLOOKUP($C127,$A$5:$F$14,4,FALSE),"")</f>
        <v/>
      </c>
      <c r="F127" s="12">
        <f>IF(AND(ISNUMBER($D127),ISNUMBER(VLOOKUP($C127,$A$5:$F$14,2,FALSE)),ISNUMBER(VLOOKUP($C127,$A$5:$F$14,5,FALSE))),$D127*VLOOKUP($C127,$A$5:$F$14,2,FALSE)*VLOOKUP($C127,$A$5:$F$14,5,FALSE),"")</f>
        <v/>
      </c>
      <c r="G127" s="12">
        <f>IF(AND(ISNUMBER($D127),ISNUMBER(VLOOKUP($C127,$A$5:$F$14,2,FALSE)),ISNUMBER(VLOOKUP($C127,$A$5:$F$14,3,FALSE)),VLOOKUP($C127,$A$5:$F$14,3,FALSE)&gt;0,ISNUMBER(VLOOKUP($C127,$A$5:$F$14,6,FALSE))),$D127*VLOOKUP($C127,$A$5:$F$14,2,FALSE)*(1+VLOOKUP($C127,$A$5:$F$14,3,FALSE))*VLOOKUP($C127,$A$5:$F$14,6,FALSE),"")</f>
        <v/>
      </c>
    </row>
    <row r="128">
      <c r="A128" t="inlineStr">
        <is>
          <t>TTS.AR.002.5000.25</t>
        </is>
      </c>
      <c r="B128" t="inlineStr">
        <is>
          <t>Asse esterno 120x120x2,5 mm. lunghezza mt.5,00</t>
        </is>
      </c>
      <c r="C128" s="13" t="inlineStr">
        <is>
          <t>ASSE 120x120x2,5</t>
        </is>
      </c>
      <c r="D128" s="19" t="n">
        <v>5</v>
      </c>
      <c r="E128" s="20">
        <f>IF(AND(ISNUMBER($D128),ISNUMBER(VLOOKUP($C128,$A$5:$F$14,4,FALSE))),$D128*VLOOKUP($C128,$A$5:$F$14,4,FALSE),"")</f>
        <v/>
      </c>
      <c r="F128" s="12">
        <f>IF(AND(ISNUMBER($D128),ISNUMBER(VLOOKUP($C128,$A$5:$F$14,2,FALSE)),ISNUMBER(VLOOKUP($C128,$A$5:$F$14,5,FALSE))),$D128*VLOOKUP($C128,$A$5:$F$14,2,FALSE)*VLOOKUP($C128,$A$5:$F$14,5,FALSE),"")</f>
        <v/>
      </c>
      <c r="G128" s="12">
        <f>IF(AND(ISNUMBER($D128),ISNUMBER(VLOOKUP($C128,$A$5:$F$14,2,FALSE)),ISNUMBER(VLOOKUP($C128,$A$5:$F$14,3,FALSE)),VLOOKUP($C128,$A$5:$F$14,3,FALSE)&gt;0,ISNUMBER(VLOOKUP($C128,$A$5:$F$14,6,FALSE))),$D128*VLOOKUP($C128,$A$5:$F$14,2,FALSE)*(1+VLOOKUP($C128,$A$5:$F$14,3,FALSE))*VLOOKUP($C128,$A$5:$F$14,6,FALSE),"")</f>
        <v/>
      </c>
    </row>
    <row r="129">
      <c r="A129" t="inlineStr">
        <is>
          <t>TTS.AR.002.6150</t>
        </is>
      </c>
      <c r="B129" t="inlineStr">
        <is>
          <t>Asse esterno 120x120x3 mm. lunghezza mt.6,15</t>
        </is>
      </c>
      <c r="C129" s="13" t="inlineStr">
        <is>
          <t>ASSE 120x120x3</t>
        </is>
      </c>
      <c r="D129" s="19" t="n">
        <v>6.15</v>
      </c>
      <c r="E129" s="20">
        <f>IF(AND(ISNUMBER($D129),ISNUMBER(VLOOKUP($C129,$A$5:$F$14,4,FALSE))),$D129*VLOOKUP($C129,$A$5:$F$14,4,FALSE),"")</f>
        <v/>
      </c>
      <c r="F129" s="12">
        <f>IF(AND(ISNUMBER($D129),ISNUMBER(VLOOKUP($C129,$A$5:$F$14,2,FALSE)),ISNUMBER(VLOOKUP($C129,$A$5:$F$14,5,FALSE))),$D129*VLOOKUP($C129,$A$5:$F$14,2,FALSE)*VLOOKUP($C129,$A$5:$F$14,5,FALSE),"")</f>
        <v/>
      </c>
      <c r="G129" s="12">
        <f>IF(AND(ISNUMBER($D129),ISNUMBER(VLOOKUP($C129,$A$5:$F$14,2,FALSE)),ISNUMBER(VLOOKUP($C129,$A$5:$F$14,3,FALSE)),VLOOKUP($C129,$A$5:$F$14,3,FALSE)&gt;0,ISNUMBER(VLOOKUP($C129,$A$5:$F$14,6,FALSE))),$D129*VLOOKUP($C129,$A$5:$F$14,2,FALSE)*(1+VLOOKUP($C129,$A$5:$F$14,3,FALSE))*VLOOKUP($C129,$A$5:$F$14,6,FALSE),"")</f>
        <v/>
      </c>
    </row>
    <row r="130">
      <c r="A130" t="inlineStr">
        <is>
          <t>TTS.AR.002.6150.25</t>
        </is>
      </c>
      <c r="B130" t="inlineStr">
        <is>
          <t>Asse esterno 120x120x2,5 mm. lunghezza mt.6,15</t>
        </is>
      </c>
      <c r="C130" s="13" t="inlineStr">
        <is>
          <t>ASSE 120x120x2,5</t>
        </is>
      </c>
      <c r="D130" s="19" t="n">
        <v>6.15</v>
      </c>
      <c r="E130" s="20">
        <f>IF(AND(ISNUMBER($D130),ISNUMBER(VLOOKUP($C130,$A$5:$F$14,4,FALSE))),$D130*VLOOKUP($C130,$A$5:$F$14,4,FALSE),"")</f>
        <v/>
      </c>
      <c r="F130" s="12">
        <f>IF(AND(ISNUMBER($D130),ISNUMBER(VLOOKUP($C130,$A$5:$F$14,2,FALSE)),ISNUMBER(VLOOKUP($C130,$A$5:$F$14,5,FALSE))),$D130*VLOOKUP($C130,$A$5:$F$14,2,FALSE)*VLOOKUP($C130,$A$5:$F$14,5,FALSE),"")</f>
        <v/>
      </c>
      <c r="G130" s="12">
        <f>IF(AND(ISNUMBER($D130),ISNUMBER(VLOOKUP($C130,$A$5:$F$14,2,FALSE)),ISNUMBER(VLOOKUP($C130,$A$5:$F$14,3,FALSE)),VLOOKUP($C130,$A$5:$F$14,3,FALSE)&gt;0,ISNUMBER(VLOOKUP($C130,$A$5:$F$14,6,FALSE))),$D130*VLOOKUP($C130,$A$5:$F$14,2,FALSE)*(1+VLOOKUP($C130,$A$5:$F$14,3,FALSE))*VLOOKUP($C130,$A$5:$F$14,6,FALSE),"")</f>
        <v/>
      </c>
    </row>
    <row r="131">
      <c r="A131" t="inlineStr">
        <is>
          <t>TTS.AR.002.6300</t>
        </is>
      </c>
      <c r="B131" t="inlineStr">
        <is>
          <t>Asse esterno 120x120x3 mm. lunghezza mt.6,30</t>
        </is>
      </c>
      <c r="C131" s="13" t="inlineStr">
        <is>
          <t>ASSE 120x120x3</t>
        </is>
      </c>
      <c r="D131" s="19" t="n">
        <v>6.3</v>
      </c>
      <c r="E131" s="20">
        <f>IF(AND(ISNUMBER($D131),ISNUMBER(VLOOKUP($C131,$A$5:$F$14,4,FALSE))),$D131*VLOOKUP($C131,$A$5:$F$14,4,FALSE),"")</f>
        <v/>
      </c>
      <c r="F131" s="12">
        <f>IF(AND(ISNUMBER($D131),ISNUMBER(VLOOKUP($C131,$A$5:$F$14,2,FALSE)),ISNUMBER(VLOOKUP($C131,$A$5:$F$14,5,FALSE))),$D131*VLOOKUP($C131,$A$5:$F$14,2,FALSE)*VLOOKUP($C131,$A$5:$F$14,5,FALSE),"")</f>
        <v/>
      </c>
      <c r="G131" s="12">
        <f>IF(AND(ISNUMBER($D131),ISNUMBER(VLOOKUP($C131,$A$5:$F$14,2,FALSE)),ISNUMBER(VLOOKUP($C131,$A$5:$F$14,3,FALSE)),VLOOKUP($C131,$A$5:$F$14,3,FALSE)&gt;0,ISNUMBER(VLOOKUP($C131,$A$5:$F$14,6,FALSE))),$D131*VLOOKUP($C131,$A$5:$F$14,2,FALSE)*(1+VLOOKUP($C131,$A$5:$F$14,3,FALSE))*VLOOKUP($C131,$A$5:$F$14,6,FALSE),"")</f>
        <v/>
      </c>
    </row>
    <row r="132">
      <c r="A132" t="inlineStr">
        <is>
          <t>TTS.AR.002.6300.25</t>
        </is>
      </c>
      <c r="B132" t="inlineStr">
        <is>
          <t>Asse esterno 120x120x2,5 mm. lunghezza mt.6,30</t>
        </is>
      </c>
      <c r="C132" s="13" t="inlineStr">
        <is>
          <t>ASSE 120x120x2,5</t>
        </is>
      </c>
      <c r="D132" s="19" t="n">
        <v>6.3</v>
      </c>
      <c r="E132" s="20">
        <f>IF(AND(ISNUMBER($D132),ISNUMBER(VLOOKUP($C132,$A$5:$F$14,4,FALSE))),$D132*VLOOKUP($C132,$A$5:$F$14,4,FALSE),"")</f>
        <v/>
      </c>
      <c r="F132" s="12">
        <f>IF(AND(ISNUMBER($D132),ISNUMBER(VLOOKUP($C132,$A$5:$F$14,2,FALSE)),ISNUMBER(VLOOKUP($C132,$A$5:$F$14,5,FALSE))),$D132*VLOOKUP($C132,$A$5:$F$14,2,FALSE)*VLOOKUP($C132,$A$5:$F$14,5,FALSE),"")</f>
        <v/>
      </c>
      <c r="G132" s="12">
        <f>IF(AND(ISNUMBER($D132),ISNUMBER(VLOOKUP($C132,$A$5:$F$14,2,FALSE)),ISNUMBER(VLOOKUP($C132,$A$5:$F$14,3,FALSE)),VLOOKUP($C132,$A$5:$F$14,3,FALSE)&gt;0,ISNUMBER(VLOOKUP($C132,$A$5:$F$14,6,FALSE))),$D132*VLOOKUP($C132,$A$5:$F$14,2,FALSE)*(1+VLOOKUP($C132,$A$5:$F$14,3,FALSE))*VLOOKUP($C132,$A$5:$F$14,6,FALSE),"")</f>
        <v/>
      </c>
    </row>
    <row r="133">
      <c r="A133" t="inlineStr">
        <is>
          <t>TTS.AR.002.6756</t>
        </is>
      </c>
      <c r="B133" t="inlineStr">
        <is>
          <t>Asse esterno 120x120x3 mm. lunghezza mt.6,756</t>
        </is>
      </c>
      <c r="C133" s="13" t="inlineStr">
        <is>
          <t>ASSE 120x120x3</t>
        </is>
      </c>
      <c r="D133" s="19" t="n">
        <v>6.756</v>
      </c>
      <c r="E133" s="20">
        <f>IF(AND(ISNUMBER($D133),ISNUMBER(VLOOKUP($C133,$A$5:$F$14,4,FALSE))),$D133*VLOOKUP($C133,$A$5:$F$14,4,FALSE),"")</f>
        <v/>
      </c>
      <c r="F133" s="12">
        <f>IF(AND(ISNUMBER($D133),ISNUMBER(VLOOKUP($C133,$A$5:$F$14,2,FALSE)),ISNUMBER(VLOOKUP($C133,$A$5:$F$14,5,FALSE))),$D133*VLOOKUP($C133,$A$5:$F$14,2,FALSE)*VLOOKUP($C133,$A$5:$F$14,5,FALSE),"")</f>
        <v/>
      </c>
      <c r="G133" s="12">
        <f>IF(AND(ISNUMBER($D133),ISNUMBER(VLOOKUP($C133,$A$5:$F$14,2,FALSE)),ISNUMBER(VLOOKUP($C133,$A$5:$F$14,3,FALSE)),VLOOKUP($C133,$A$5:$F$14,3,FALSE)&gt;0,ISNUMBER(VLOOKUP($C133,$A$5:$F$14,6,FALSE))),$D133*VLOOKUP($C133,$A$5:$F$14,2,FALSE)*(1+VLOOKUP($C133,$A$5:$F$14,3,FALSE))*VLOOKUP($C133,$A$5:$F$14,6,FALSE),"")</f>
        <v/>
      </c>
    </row>
    <row r="134">
      <c r="A134" t="inlineStr">
        <is>
          <t>TTS.AR.002.6756.25</t>
        </is>
      </c>
      <c r="B134" t="inlineStr">
        <is>
          <t>Asse esterno 120x120x2,5 mm. lunghezza mt.6,756</t>
        </is>
      </c>
      <c r="C134" s="13" t="inlineStr">
        <is>
          <t>ASSE 120x120x2,5</t>
        </is>
      </c>
      <c r="D134" s="19" t="n">
        <v>6.756</v>
      </c>
      <c r="E134" s="20">
        <f>IF(AND(ISNUMBER($D134),ISNUMBER(VLOOKUP($C134,$A$5:$F$14,4,FALSE))),$D134*VLOOKUP($C134,$A$5:$F$14,4,FALSE),"")</f>
        <v/>
      </c>
      <c r="F134" s="12">
        <f>IF(AND(ISNUMBER($D134),ISNUMBER(VLOOKUP($C134,$A$5:$F$14,2,FALSE)),ISNUMBER(VLOOKUP($C134,$A$5:$F$14,5,FALSE))),$D134*VLOOKUP($C134,$A$5:$F$14,2,FALSE)*VLOOKUP($C134,$A$5:$F$14,5,FALSE),"")</f>
        <v/>
      </c>
      <c r="G134" s="12">
        <f>IF(AND(ISNUMBER($D134),ISNUMBER(VLOOKUP($C134,$A$5:$F$14,2,FALSE)),ISNUMBER(VLOOKUP($C134,$A$5:$F$14,3,FALSE)),VLOOKUP($C134,$A$5:$F$14,3,FALSE)&gt;0,ISNUMBER(VLOOKUP($C134,$A$5:$F$14,6,FALSE))),$D134*VLOOKUP($C134,$A$5:$F$14,2,FALSE)*(1+VLOOKUP($C134,$A$5:$F$14,3,FALSE))*VLOOKUP($C134,$A$5:$F$14,6,FALSE),"")</f>
        <v/>
      </c>
    </row>
    <row r="135">
      <c r="A135" t="inlineStr">
        <is>
          <t>TTS.AR.002.8250</t>
        </is>
      </c>
      <c r="B135" t="inlineStr">
        <is>
          <t>Primo asse centrale 120x120x3 mm. lunghezza mt.8,25</t>
        </is>
      </c>
      <c r="C135" s="13" t="inlineStr">
        <is>
          <t>ASSE 120x120x3</t>
        </is>
      </c>
      <c r="D135" s="19" t="n">
        <v>8.25</v>
      </c>
      <c r="E135" s="20">
        <f>IF(AND(ISNUMBER($D135),ISNUMBER(VLOOKUP($C135,$A$5:$F$14,4,FALSE))),$D135*VLOOKUP($C135,$A$5:$F$14,4,FALSE),"")</f>
        <v/>
      </c>
      <c r="F135" s="12">
        <f>IF(AND(ISNUMBER($D135),ISNUMBER(VLOOKUP($C135,$A$5:$F$14,2,FALSE)),ISNUMBER(VLOOKUP($C135,$A$5:$F$14,5,FALSE))),$D135*VLOOKUP($C135,$A$5:$F$14,2,FALSE)*VLOOKUP($C135,$A$5:$F$14,5,FALSE),"")</f>
        <v/>
      </c>
      <c r="G135" s="12">
        <f>IF(AND(ISNUMBER($D135),ISNUMBER(VLOOKUP($C135,$A$5:$F$14,2,FALSE)),ISNUMBER(VLOOKUP($C135,$A$5:$F$14,3,FALSE)),VLOOKUP($C135,$A$5:$F$14,3,FALSE)&gt;0,ISNUMBER(VLOOKUP($C135,$A$5:$F$14,6,FALSE))),$D135*VLOOKUP($C135,$A$5:$F$14,2,FALSE)*(1+VLOOKUP($C135,$A$5:$F$14,3,FALSE))*VLOOKUP($C135,$A$5:$F$14,6,FALSE),"")</f>
        <v/>
      </c>
    </row>
    <row r="136">
      <c r="A136" t="inlineStr">
        <is>
          <t>TTS.AR.002.8250.25</t>
        </is>
      </c>
      <c r="B136" t="inlineStr">
        <is>
          <t>Primo asse centrale 120x120x2,5 mm. lunghezza mt.8,25</t>
        </is>
      </c>
      <c r="C136" s="13" t="inlineStr">
        <is>
          <t>ASSE 120x120x2,5</t>
        </is>
      </c>
      <c r="D136" s="19" t="n">
        <v>8.25</v>
      </c>
      <c r="E136" s="20">
        <f>IF(AND(ISNUMBER($D136),ISNUMBER(VLOOKUP($C136,$A$5:$F$14,4,FALSE))),$D136*VLOOKUP($C136,$A$5:$F$14,4,FALSE),"")</f>
        <v/>
      </c>
      <c r="F136" s="12">
        <f>IF(AND(ISNUMBER($D136),ISNUMBER(VLOOKUP($C136,$A$5:$F$14,2,FALSE)),ISNUMBER(VLOOKUP($C136,$A$5:$F$14,5,FALSE))),$D136*VLOOKUP($C136,$A$5:$F$14,2,FALSE)*VLOOKUP($C136,$A$5:$F$14,5,FALSE),"")</f>
        <v/>
      </c>
      <c r="G136" s="12">
        <f>IF(AND(ISNUMBER($D136),ISNUMBER(VLOOKUP($C136,$A$5:$F$14,2,FALSE)),ISNUMBER(VLOOKUP($C136,$A$5:$F$14,3,FALSE)),VLOOKUP($C136,$A$5:$F$14,3,FALSE)&gt;0,ISNUMBER(VLOOKUP($C136,$A$5:$F$14,6,FALSE))),$D136*VLOOKUP($C136,$A$5:$F$14,2,FALSE)*(1+VLOOKUP($C136,$A$5:$F$14,3,FALSE))*VLOOKUP($C136,$A$5:$F$14,6,FALSE),"")</f>
        <v/>
      </c>
    </row>
    <row r="137">
      <c r="A137" t="inlineStr">
        <is>
          <t>TTS.AR.002.8645</t>
        </is>
      </c>
      <c r="B137" t="inlineStr">
        <is>
          <t>Asse esterno 120x120x3 mm. lunghezza mt.8,645</t>
        </is>
      </c>
      <c r="C137" s="13" t="inlineStr">
        <is>
          <t>ASSE 120x120x3</t>
        </is>
      </c>
      <c r="D137" s="19" t="n">
        <v>8.645</v>
      </c>
      <c r="E137" s="20">
        <f>IF(AND(ISNUMBER($D137),ISNUMBER(VLOOKUP($C137,$A$5:$F$14,4,FALSE))),$D137*VLOOKUP($C137,$A$5:$F$14,4,FALSE),"")</f>
        <v/>
      </c>
      <c r="F137" s="12">
        <f>IF(AND(ISNUMBER($D137),ISNUMBER(VLOOKUP($C137,$A$5:$F$14,2,FALSE)),ISNUMBER(VLOOKUP($C137,$A$5:$F$14,5,FALSE))),$D137*VLOOKUP($C137,$A$5:$F$14,2,FALSE)*VLOOKUP($C137,$A$5:$F$14,5,FALSE),"")</f>
        <v/>
      </c>
      <c r="G137" s="12">
        <f>IF(AND(ISNUMBER($D137),ISNUMBER(VLOOKUP($C137,$A$5:$F$14,2,FALSE)),ISNUMBER(VLOOKUP($C137,$A$5:$F$14,3,FALSE)),VLOOKUP($C137,$A$5:$F$14,3,FALSE)&gt;0,ISNUMBER(VLOOKUP($C137,$A$5:$F$14,6,FALSE))),$D137*VLOOKUP($C137,$A$5:$F$14,2,FALSE)*(1+VLOOKUP($C137,$A$5:$F$14,3,FALSE))*VLOOKUP($C137,$A$5:$F$14,6,FALSE),"")</f>
        <v/>
      </c>
    </row>
    <row r="138">
      <c r="A138" t="inlineStr">
        <is>
          <t>TTS.AR.002.8645.25</t>
        </is>
      </c>
      <c r="B138" t="inlineStr">
        <is>
          <t>Asse esterno 120x120x2,5 mm. lunghezza mt.8,645</t>
        </is>
      </c>
      <c r="C138" s="13" t="inlineStr">
        <is>
          <t>ASSE 120x120x2,5</t>
        </is>
      </c>
      <c r="D138" s="19" t="n">
        <v>8.645</v>
      </c>
      <c r="E138" s="20">
        <f>IF(AND(ISNUMBER($D138),ISNUMBER(VLOOKUP($C138,$A$5:$F$14,4,FALSE))),$D138*VLOOKUP($C138,$A$5:$F$14,4,FALSE),"")</f>
        <v/>
      </c>
      <c r="F138" s="12">
        <f>IF(AND(ISNUMBER($D138),ISNUMBER(VLOOKUP($C138,$A$5:$F$14,2,FALSE)),ISNUMBER(VLOOKUP($C138,$A$5:$F$14,5,FALSE))),$D138*VLOOKUP($C138,$A$5:$F$14,2,FALSE)*VLOOKUP($C138,$A$5:$F$14,5,FALSE),"")</f>
        <v/>
      </c>
      <c r="G138" s="12">
        <f>IF(AND(ISNUMBER($D138),ISNUMBER(VLOOKUP($C138,$A$5:$F$14,2,FALSE)),ISNUMBER(VLOOKUP($C138,$A$5:$F$14,3,FALSE)),VLOOKUP($C138,$A$5:$F$14,3,FALSE)&gt;0,ISNUMBER(VLOOKUP($C138,$A$5:$F$14,6,FALSE))),$D138*VLOOKUP($C138,$A$5:$F$14,2,FALSE)*(1+VLOOKUP($C138,$A$5:$F$14,3,FALSE))*VLOOKUP($C138,$A$5:$F$14,6,FALSE),"")</f>
        <v/>
      </c>
    </row>
    <row r="139">
      <c r="A139" t="inlineStr">
        <is>
          <t>TTS.AR.003.5000</t>
        </is>
      </c>
      <c r="B139" t="inlineStr">
        <is>
          <t>Secondo asse centrale 120x120x3 mm. lunghezza mt.5,000</t>
        </is>
      </c>
      <c r="C139" s="13" t="inlineStr">
        <is>
          <t>ASSE 120x120x3</t>
        </is>
      </c>
      <c r="D139" s="19" t="n">
        <v>5</v>
      </c>
      <c r="E139" s="20">
        <f>IF(AND(ISNUMBER($D139),ISNUMBER(VLOOKUP($C139,$A$5:$F$14,4,FALSE))),$D139*VLOOKUP($C139,$A$5:$F$14,4,FALSE),"")</f>
        <v/>
      </c>
      <c r="F139" s="12">
        <f>IF(AND(ISNUMBER($D139),ISNUMBER(VLOOKUP($C139,$A$5:$F$14,2,FALSE)),ISNUMBER(VLOOKUP($C139,$A$5:$F$14,5,FALSE))),$D139*VLOOKUP($C139,$A$5:$F$14,2,FALSE)*VLOOKUP($C139,$A$5:$F$14,5,FALSE),"")</f>
        <v/>
      </c>
      <c r="G139" s="12">
        <f>IF(AND(ISNUMBER($D139),ISNUMBER(VLOOKUP($C139,$A$5:$F$14,2,FALSE)),ISNUMBER(VLOOKUP($C139,$A$5:$F$14,3,FALSE)),VLOOKUP($C139,$A$5:$F$14,3,FALSE)&gt;0,ISNUMBER(VLOOKUP($C139,$A$5:$F$14,6,FALSE))),$D139*VLOOKUP($C139,$A$5:$F$14,2,FALSE)*(1+VLOOKUP($C139,$A$5:$F$14,3,FALSE))*VLOOKUP($C139,$A$5:$F$14,6,FALSE),"")</f>
        <v/>
      </c>
    </row>
    <row r="140">
      <c r="A140" t="inlineStr">
        <is>
          <t>TTS.AR.003.5000.25</t>
        </is>
      </c>
      <c r="B140" t="inlineStr">
        <is>
          <t>Secondo asse centrale 120x120x2,5 mm. lunghezza mt.5,000</t>
        </is>
      </c>
      <c r="C140" s="13" t="inlineStr">
        <is>
          <t>ASSE 120x120x2,5</t>
        </is>
      </c>
      <c r="D140" s="19" t="n">
        <v>5</v>
      </c>
      <c r="E140" s="20">
        <f>IF(AND(ISNUMBER($D140),ISNUMBER(VLOOKUP($C140,$A$5:$F$14,4,FALSE))),$D140*VLOOKUP($C140,$A$5:$F$14,4,FALSE),"")</f>
        <v/>
      </c>
      <c r="F140" s="12">
        <f>IF(AND(ISNUMBER($D140),ISNUMBER(VLOOKUP($C140,$A$5:$F$14,2,FALSE)),ISNUMBER(VLOOKUP($C140,$A$5:$F$14,5,FALSE))),$D140*VLOOKUP($C140,$A$5:$F$14,2,FALSE)*VLOOKUP($C140,$A$5:$F$14,5,FALSE),"")</f>
        <v/>
      </c>
      <c r="G140" s="12">
        <f>IF(AND(ISNUMBER($D140),ISNUMBER(VLOOKUP($C140,$A$5:$F$14,2,FALSE)),ISNUMBER(VLOOKUP($C140,$A$5:$F$14,3,FALSE)),VLOOKUP($C140,$A$5:$F$14,3,FALSE)&gt;0,ISNUMBER(VLOOKUP($C140,$A$5:$F$14,6,FALSE))),$D140*VLOOKUP($C140,$A$5:$F$14,2,FALSE)*(1+VLOOKUP($C140,$A$5:$F$14,3,FALSE))*VLOOKUP($C140,$A$5:$F$14,6,FALSE),"")</f>
        <v/>
      </c>
    </row>
    <row r="141">
      <c r="A141" t="inlineStr">
        <is>
          <t>TTS.AR.004.4800</t>
        </is>
      </c>
      <c r="B141" t="inlineStr">
        <is>
          <t>Asse esterno 120x120x3 mm. lunghezza mt.4,800</t>
        </is>
      </c>
      <c r="C141" s="13" t="inlineStr">
        <is>
          <t>ASSE 120x120x3</t>
        </is>
      </c>
      <c r="D141" s="19" t="n">
        <v>4.8</v>
      </c>
      <c r="E141" s="20">
        <f>IF(AND(ISNUMBER($D141),ISNUMBER(VLOOKUP($C141,$A$5:$F$14,4,FALSE))),$D141*VLOOKUP($C141,$A$5:$F$14,4,FALSE),"")</f>
        <v/>
      </c>
      <c r="F141" s="12">
        <f>IF(AND(ISNUMBER($D141),ISNUMBER(VLOOKUP($C141,$A$5:$F$14,2,FALSE)),ISNUMBER(VLOOKUP($C141,$A$5:$F$14,5,FALSE))),$D141*VLOOKUP($C141,$A$5:$F$14,2,FALSE)*VLOOKUP($C141,$A$5:$F$14,5,FALSE),"")</f>
        <v/>
      </c>
      <c r="G141" s="12">
        <f>IF(AND(ISNUMBER($D141),ISNUMBER(VLOOKUP($C141,$A$5:$F$14,2,FALSE)),ISNUMBER(VLOOKUP($C141,$A$5:$F$14,3,FALSE)),VLOOKUP($C141,$A$5:$F$14,3,FALSE)&gt;0,ISNUMBER(VLOOKUP($C141,$A$5:$F$14,6,FALSE))),$D141*VLOOKUP($C141,$A$5:$F$14,2,FALSE)*(1+VLOOKUP($C141,$A$5:$F$14,3,FALSE))*VLOOKUP($C141,$A$5:$F$14,6,FALSE),"")</f>
        <v/>
      </c>
    </row>
    <row r="142">
      <c r="A142" t="inlineStr">
        <is>
          <t>TTS.AR.004.4800.25</t>
        </is>
      </c>
      <c r="B142" t="inlineStr">
        <is>
          <t>Asse esterno 120x120x2,5 mm. lunghezza mt.4,800</t>
        </is>
      </c>
      <c r="C142" s="13" t="inlineStr">
        <is>
          <t>ASSE 120x120x2,5</t>
        </is>
      </c>
      <c r="D142" s="19" t="n">
        <v>4.8</v>
      </c>
      <c r="E142" s="20">
        <f>IF(AND(ISNUMBER($D142),ISNUMBER(VLOOKUP($C142,$A$5:$F$14,4,FALSE))),$D142*VLOOKUP($C142,$A$5:$F$14,4,FALSE),"")</f>
        <v/>
      </c>
      <c r="F142" s="12">
        <f>IF(AND(ISNUMBER($D142),ISNUMBER(VLOOKUP($C142,$A$5:$F$14,2,FALSE)),ISNUMBER(VLOOKUP($C142,$A$5:$F$14,5,FALSE))),$D142*VLOOKUP($C142,$A$5:$F$14,2,FALSE)*VLOOKUP($C142,$A$5:$F$14,5,FALSE),"")</f>
        <v/>
      </c>
      <c r="G142" s="12">
        <f>IF(AND(ISNUMBER($D142),ISNUMBER(VLOOKUP($C142,$A$5:$F$14,2,FALSE)),ISNUMBER(VLOOKUP($C142,$A$5:$F$14,3,FALSE)),VLOOKUP($C142,$A$5:$F$14,3,FALSE)&gt;0,ISNUMBER(VLOOKUP($C142,$A$5:$F$14,6,FALSE))),$D142*VLOOKUP($C142,$A$5:$F$14,2,FALSE)*(1+VLOOKUP($C142,$A$5:$F$14,3,FALSE))*VLOOKUP($C142,$A$5:$F$14,6,FALSE),"")</f>
        <v/>
      </c>
    </row>
    <row r="143">
      <c r="A143" t="inlineStr">
        <is>
          <t>TTS.AR.3011</t>
        </is>
      </c>
      <c r="B143" t="inlineStr">
        <is>
          <t>Supporto a L superiore omega</t>
        </is>
      </c>
      <c r="C143" s="13" t="inlineStr">
        <is>
          <t>SUPPORTO L</t>
        </is>
      </c>
      <c r="D143" s="19" t="n">
        <v>0.63</v>
      </c>
      <c r="E143" s="20">
        <f>IF(AND(ISNUMBER($D143),ISNUMBER(VLOOKUP($C143,$A$5:$F$14,4,FALSE))),$D143*VLOOKUP($C143,$A$5:$F$14,4,FALSE),"")</f>
        <v/>
      </c>
      <c r="F143" s="12">
        <f>IF(AND(ISNUMBER($D143),ISNUMBER(VLOOKUP($C143,$A$5:$F$14,2,FALSE)),ISNUMBER(VLOOKUP($C143,$A$5:$F$14,5,FALSE))),$D143*VLOOKUP($C143,$A$5:$F$14,2,FALSE)*VLOOKUP($C143,$A$5:$F$14,5,FALSE),"")</f>
        <v/>
      </c>
      <c r="G143" s="12">
        <f>IF(AND(ISNUMBER($D143),ISNUMBER(VLOOKUP($C143,$A$5:$F$14,2,FALSE)),ISNUMBER(VLOOKUP($C143,$A$5:$F$14,3,FALSE)),VLOOKUP($C143,$A$5:$F$14,3,FALSE)&gt;0,ISNUMBER(VLOOKUP($C143,$A$5:$F$14,6,FALSE))),$D143*VLOOKUP($C143,$A$5:$F$14,2,FALSE)*(1+VLOOKUP($C143,$A$5:$F$14,3,FALSE))*VLOOKUP($C143,$A$5:$F$14,6,FALSE),"")</f>
        <v/>
      </c>
    </row>
    <row r="144">
      <c r="A144" t="inlineStr">
        <is>
          <t>TTS.AR.3012</t>
        </is>
      </c>
      <c r="B144" t="inlineStr">
        <is>
          <t>Supporto a V inferiore omega</t>
        </is>
      </c>
      <c r="C144" s="13" t="inlineStr">
        <is>
          <t>SUPPORTO V</t>
        </is>
      </c>
      <c r="D144" s="19" t="n">
        <v>1</v>
      </c>
      <c r="E144" s="20">
        <f>IF(AND(ISNUMBER($D144),ISNUMBER(VLOOKUP($C144,$A$5:$F$14,4,FALSE))),$D144*VLOOKUP($C144,$A$5:$F$14,4,FALSE),"")</f>
        <v/>
      </c>
      <c r="F144" s="12">
        <f>IF(AND(ISNUMBER($D144),ISNUMBER(VLOOKUP($C144,$A$5:$F$14,2,FALSE)),ISNUMBER(VLOOKUP($C144,$A$5:$F$14,5,FALSE))),$D144*VLOOKUP($C144,$A$5:$F$14,2,FALSE)*VLOOKUP($C144,$A$5:$F$14,5,FALSE),"")</f>
        <v/>
      </c>
      <c r="G144" s="12">
        <f>IF(AND(ISNUMBER($D144),ISNUMBER(VLOOKUP($C144,$A$5:$F$14,2,FALSE)),ISNUMBER(VLOOKUP($C144,$A$5:$F$14,3,FALSE)),VLOOKUP($C144,$A$5:$F$14,3,FALSE)&gt;0,ISNUMBER(VLOOKUP($C144,$A$5:$F$14,6,FALSE))),$D144*VLOOKUP($C144,$A$5:$F$14,2,FALSE)*(1+VLOOKUP($C144,$A$5:$F$14,3,FALSE))*VLOOKUP($C144,$A$5:$F$14,6,FALSE),"")</f>
        <v/>
      </c>
    </row>
    <row r="145">
      <c r="A145" t="inlineStr">
        <is>
          <t>TTS.AR.3013</t>
        </is>
      </c>
      <c r="B145" t="inlineStr">
        <is>
          <t>Gaffa sotto omega</t>
        </is>
      </c>
      <c r="C145" s="13" t="inlineStr">
        <is>
          <t>GAFFA</t>
        </is>
      </c>
      <c r="D145" s="19" t="n">
        <v>1</v>
      </c>
      <c r="E145" s="20">
        <f>IF(AND(ISNUMBER($D145),ISNUMBER(VLOOKUP($C145,$A$5:$F$14,4,FALSE))),$D145*VLOOKUP($C145,$A$5:$F$14,4,FALSE),"")</f>
        <v/>
      </c>
      <c r="F145" s="12">
        <f>IF(AND(ISNUMBER($D145),ISNUMBER(VLOOKUP($C145,$A$5:$F$14,2,FALSE)),ISNUMBER(VLOOKUP($C145,$A$5:$F$14,5,FALSE))),$D145*VLOOKUP($C145,$A$5:$F$14,2,FALSE)*VLOOKUP($C145,$A$5:$F$14,5,FALSE),"")</f>
        <v/>
      </c>
      <c r="G145" s="12">
        <f>IF(AND(ISNUMBER($D145),ISNUMBER(VLOOKUP($C145,$A$5:$F$14,2,FALSE)),ISNUMBER(VLOOKUP($C145,$A$5:$F$14,3,FALSE)),VLOOKUP($C145,$A$5:$F$14,3,FALSE)&gt;0,ISNUMBER(VLOOKUP($C145,$A$5:$F$14,6,FALSE))),$D145*VLOOKUP($C145,$A$5:$F$14,2,FALSE)*(1+VLOOKUP($C145,$A$5:$F$14,3,FALSE))*VLOOKUP($C145,$A$5:$F$14,6,FALSE),"")</f>
        <v/>
      </c>
    </row>
    <row r="146">
      <c r="A146" t="inlineStr">
        <is>
          <t>TTS.AR.3014</t>
        </is>
      </c>
      <c r="B146" t="inlineStr">
        <is>
          <t>Omega supporto pannello</t>
        </is>
      </c>
      <c r="C146" s="13" t="inlineStr">
        <is>
          <t>OMEGA 2,0</t>
        </is>
      </c>
      <c r="D146" s="19" t="n">
        <v>1.5</v>
      </c>
      <c r="E146" s="20">
        <f>IF(AND(ISNUMBER($D146),ISNUMBER(VLOOKUP($C146,$A$5:$F$14,4,FALSE))),$D146*VLOOKUP($C146,$A$5:$F$14,4,FALSE),"")</f>
        <v/>
      </c>
      <c r="F146" s="12">
        <f>IF(AND(ISNUMBER($D146),ISNUMBER(VLOOKUP($C146,$A$5:$F$14,2,FALSE)),ISNUMBER(VLOOKUP($C146,$A$5:$F$14,5,FALSE))),$D146*VLOOKUP($C146,$A$5:$F$14,2,FALSE)*VLOOKUP($C146,$A$5:$F$14,5,FALSE),"")</f>
        <v/>
      </c>
      <c r="G146" s="12">
        <f>IF(AND(ISNUMBER($D146),ISNUMBER(VLOOKUP($C146,$A$5:$F$14,2,FALSE)),ISNUMBER(VLOOKUP($C146,$A$5:$F$14,3,FALSE)),VLOOKUP($C146,$A$5:$F$14,3,FALSE)&gt;0,ISNUMBER(VLOOKUP($C146,$A$5:$F$14,6,FALSE))),$D146*VLOOKUP($C146,$A$5:$F$14,2,FALSE)*(1+VLOOKUP($C146,$A$5:$F$14,3,FALSE))*VLOOKUP($C146,$A$5:$F$14,6,FALSE),"")</f>
        <v/>
      </c>
    </row>
    <row r="147">
      <c r="A147" t="inlineStr">
        <is>
          <t>TTS.AR.2011</t>
        </is>
      </c>
      <c r="B147" t="inlineStr">
        <is>
          <t>Gaffa giunzione asse</t>
        </is>
      </c>
      <c r="C147" s="13" t="inlineStr">
        <is>
          <t>GAFFA GIUNZIONE ASSE</t>
        </is>
      </c>
      <c r="D147" s="19" t="n">
        <v>1</v>
      </c>
      <c r="E147" s="20">
        <f>IF(AND(ISNUMBER($D147),ISNUMBER(VLOOKUP($C147,$A$5:$F$14,4,FALSE))),$D147*VLOOKUP($C147,$A$5:$F$14,4,FALSE),"")</f>
        <v/>
      </c>
      <c r="F147" s="12">
        <f>IF(AND(ISNUMBER($D147),ISNUMBER(VLOOKUP($C147,$A$5:$F$14,2,FALSE)),ISNUMBER(VLOOKUP($C147,$A$5:$F$14,5,FALSE))),$D147*VLOOKUP($C147,$A$5:$F$14,2,FALSE)*VLOOKUP($C147,$A$5:$F$14,5,FALSE),"")</f>
        <v/>
      </c>
      <c r="G147" s="12">
        <f>IF(AND(ISNUMBER($D147),ISNUMBER(VLOOKUP($C147,$A$5:$F$14,2,FALSE)),ISNUMBER(VLOOKUP($C147,$A$5:$F$14,3,FALSE)),VLOOKUP($C147,$A$5:$F$14,3,FALSE)&gt;0,ISNUMBER(VLOOKUP($C147,$A$5:$F$14,6,FALSE))),$D147*VLOOKUP($C147,$A$5:$F$14,2,FALSE)*(1+VLOOKUP($C147,$A$5:$F$14,3,FALSE))*VLOOKUP($C147,$A$5:$F$14,6,FALSE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5" topLeftCell="A49" activePane="bottomLeft" state="frozen"/>
      <selection pane="bottomLeft" activeCell="F27" sqref="F27"/>
    </sheetView>
  </sheetViews>
  <sheetFormatPr baseColWidth="8" defaultRowHeight="14.4"/>
  <cols>
    <col width="22" customWidth="1" min="1" max="1"/>
    <col width="52" customWidth="1" min="2" max="2"/>
    <col width="20" customWidth="1" min="3" max="3"/>
    <col width="16" customWidth="1" min="4" max="7"/>
  </cols>
  <sheetData>
    <row r="1" ht="15.6" customHeight="1">
      <c r="A1" s="15" t="inlineStr">
        <is>
          <t>SCHEDA PEZZI SPECIALI — parametri peso e costo di acquisto/zincatura dei pezzi 'a pezzo' di carpenteria metallica (piastre di giunzione, supporti, angolari, omega, pali MAX, aste sensori)</t>
        </is>
      </c>
    </row>
    <row r="2">
      <c r="A2" s="22" t="inlineStr">
        <is>
      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      </is>
      </c>
    </row>
    <row r="4" ht="15.6" customHeight="1">
      <c r="A4" s="15" t="inlineStr">
        <is>
          <t>PEZZI SPECIALI — parametri (compilare Descrizione, Peso pezzo, % zincatura e €/kg)</t>
        </is>
      </c>
    </row>
    <row r="5" ht="27.6" customHeight="1">
      <c r="A5" s="23" t="inlineStr">
        <is>
          <t>Voce</t>
        </is>
      </c>
      <c r="B5" s="23" t="inlineStr">
        <is>
          <t>Descrizione</t>
        </is>
      </c>
      <c r="C5" s="23" t="inlineStr">
        <is>
          <t>Peso pezzo (kg)</t>
        </is>
      </c>
      <c r="D5" s="23" t="inlineStr">
        <is>
          <t>Magg. zincatura %</t>
        </is>
      </c>
      <c r="E5" s="23" t="inlineStr">
        <is>
          <t>Peso finale (kg)</t>
        </is>
      </c>
      <c r="F5" s="23" t="inlineStr">
        <is>
          <t>Costo acquisto (€/kg)</t>
        </is>
      </c>
      <c r="G5" s="23" t="inlineStr">
        <is>
          <t>Costo zincatura (€/kg)</t>
        </is>
      </c>
    </row>
    <row r="6">
      <c r="A6" t="inlineStr">
        <is>
          <t>TTS.PF.002.IPE140</t>
        </is>
      </c>
      <c r="B6" t="inlineStr">
        <is>
          <t>Piastra giunzione montanti centrali 200x100x4 (8 fori Ø 11)</t>
        </is>
      </c>
      <c r="C6" s="18" t="n">
        <v>0.624</v>
      </c>
      <c r="D6" s="17" t="n">
        <v>0.025</v>
      </c>
      <c r="E6" s="18">
        <f>IF(ISNUMBER($C6),$C6*(1+IF(ISNUMBER($D6),$D6,0)),"")</f>
        <v/>
      </c>
      <c r="F6" s="21" t="n">
        <v>0.85</v>
      </c>
      <c r="G6" s="21" t="n">
        <v>0.85</v>
      </c>
    </row>
    <row r="7">
      <c r="A7" t="inlineStr">
        <is>
          <t>TTS.PF.003.IPE140</t>
        </is>
      </c>
      <c r="B7" t="inlineStr">
        <is>
          <t>Piastra giunzione montanti esterna 240x70x6 (12 fori Ø 11)</t>
        </is>
      </c>
      <c r="C7" s="18" t="n">
        <v>0.7862</v>
      </c>
      <c r="D7" s="17" t="n">
        <v>0.025</v>
      </c>
      <c r="E7" s="18">
        <f>IF(ISNUMBER($C7),$C7*(1+IF(ISNUMBER($D7),$D7,0)),"")</f>
        <v/>
      </c>
      <c r="F7" s="21" t="n">
        <v>0.85</v>
      </c>
      <c r="G7" s="21" t="n">
        <v>0.85</v>
      </c>
    </row>
    <row r="8">
      <c r="A8" t="inlineStr">
        <is>
          <t>TTS.PF.004.IPE140</t>
        </is>
      </c>
      <c r="B8" t="inlineStr">
        <is>
          <t>Piastra giunzione montanti interna 240x25x6 (6 fori Ø 11)</t>
        </is>
      </c>
      <c r="C8" s="18" t="n">
        <v>0.2808</v>
      </c>
      <c r="D8" s="17" t="n">
        <v>0.025</v>
      </c>
      <c r="E8" s="18">
        <f>IF(ISNUMBER($C8),$C8*(1+IF(ISNUMBER($D8),$D8,0)),"")</f>
        <v/>
      </c>
      <c r="F8" s="21" t="n">
        <v>0.85</v>
      </c>
      <c r="G8" s="21" t="n">
        <v>0.85</v>
      </c>
    </row>
    <row r="9">
      <c r="A9" t="inlineStr">
        <is>
          <t>TTS.AR.4011</t>
        </is>
      </c>
      <c r="B9" t="inlineStr">
        <is>
          <t>Supporto superiore inclinometro</t>
        </is>
      </c>
      <c r="C9" s="18" t="n">
        <v>0.8424</v>
      </c>
      <c r="D9" s="17" t="n">
        <v>0</v>
      </c>
      <c r="E9" s="18">
        <f>IF(ISNUMBER($C9),$C9*(1+IF(ISNUMBER($D9),$D9,0)),"")</f>
        <v/>
      </c>
      <c r="F9" s="21" t="n">
        <v>1.2</v>
      </c>
      <c r="G9" s="21" t="n"/>
    </row>
    <row r="10">
      <c r="A10" t="inlineStr">
        <is>
          <t>TTS.AR.4012</t>
        </is>
      </c>
      <c r="B10" t="inlineStr">
        <is>
          <t>Supporto inferiore inclinometro</t>
        </is>
      </c>
      <c r="C10" s="18" t="n">
        <v>2.9484</v>
      </c>
      <c r="D10" s="17" t="n">
        <v>0</v>
      </c>
      <c r="E10" s="18">
        <f>IF(ISNUMBER($C10),$C10*(1+IF(ISNUMBER($D10),$D10,0)),"")</f>
        <v/>
      </c>
      <c r="F10" s="21" t="n">
        <v>1.2</v>
      </c>
      <c r="G10" s="21" t="n"/>
    </row>
    <row r="11">
      <c r="A11" t="inlineStr">
        <is>
          <t>TTS.AR.5011</t>
        </is>
      </c>
      <c r="B11" t="inlineStr">
        <is>
          <t>Piastra ad L supporto fine corsa</t>
        </is>
      </c>
      <c r="C11" s="18" t="n">
        <v>0.2184</v>
      </c>
      <c r="D11" s="17" t="n">
        <v>0.025</v>
      </c>
      <c r="E11" s="18">
        <f>IF(ISNUMBER($C11),$C11*(1+IF(ISNUMBER($D11),$D11,0)),"")</f>
        <v/>
      </c>
      <c r="F11" s="21" t="n">
        <v>1.2</v>
      </c>
      <c r="G11" s="21" t="n"/>
    </row>
    <row r="12">
      <c r="A12" t="inlineStr">
        <is>
          <t>TTS.AR.5012</t>
        </is>
      </c>
      <c r="B12" t="inlineStr">
        <is>
          <t>Leva battente sensore fine corsa</t>
        </is>
      </c>
      <c r="C12" s="18" t="n">
        <v>0.6524</v>
      </c>
      <c r="D12" s="17" t="n">
        <v>0.025</v>
      </c>
      <c r="E12" s="18">
        <f>IF(ISNUMBER($C12),$C12*(1+IF(ISNUMBER($D12),$D12,0)),"")</f>
        <v/>
      </c>
      <c r="F12" s="21" t="n">
        <v>1.2</v>
      </c>
      <c r="G12" s="21" t="n"/>
    </row>
    <row r="13">
      <c r="A13" t="inlineStr">
        <is>
          <t>TTS.PC.002.IPE140</t>
        </is>
      </c>
      <c r="B13" t="inlineStr">
        <is>
          <t>Supporto laterale testa cuscinetto</t>
        </is>
      </c>
      <c r="C13" s="18" t="n">
        <v>2.1528</v>
      </c>
      <c r="D13" s="17" t="n">
        <v>0.025</v>
      </c>
      <c r="E13" s="18">
        <f>IF(ISNUMBER($C13),$C13*(1+IF(ISNUMBER($D13),$D13,0)),"")</f>
        <v/>
      </c>
      <c r="F13" s="21" t="n">
        <v>0.95</v>
      </c>
      <c r="G13" s="21" t="n">
        <v>0.9</v>
      </c>
    </row>
    <row r="14">
      <c r="A14" t="inlineStr">
        <is>
          <t>TTS.PC.003.IPE140</t>
        </is>
      </c>
      <c r="B14" t="inlineStr">
        <is>
          <t>Supporto testa cuscinetto</t>
        </is>
      </c>
      <c r="C14" s="18" t="n">
        <v>2.7256</v>
      </c>
      <c r="D14" s="17" t="n">
        <v>0.025</v>
      </c>
      <c r="E14" s="18">
        <f>IF(ISNUMBER($C14),$C14*(1+IF(ISNUMBER($D14),$D14,0)),"")</f>
        <v/>
      </c>
      <c r="F14" s="21" t="n">
        <v>0.95</v>
      </c>
      <c r="G14" s="21" t="n">
        <v>0.9</v>
      </c>
    </row>
    <row r="15">
      <c r="A15" t="inlineStr">
        <is>
          <t>TTS.PC.2011.1076</t>
        </is>
      </c>
      <c r="B15" t="inlineStr">
        <is>
          <t>Angolare 40x40x4 lungo 1076 mm. supporto inferiore</t>
        </is>
      </c>
      <c r="C15" s="18" t="n">
        <v>2.685696</v>
      </c>
      <c r="D15" s="17" t="n">
        <v>0.025</v>
      </c>
      <c r="E15" s="18">
        <f>IF(ISNUMBER($C15),$C15*(1+IF(ISNUMBER($D15),$D15,0)),"")</f>
        <v/>
      </c>
      <c r="F15" s="21" t="n">
        <v>1.2</v>
      </c>
      <c r="G15" s="21" t="n"/>
    </row>
    <row r="16">
      <c r="A16" t="inlineStr">
        <is>
          <t>TTS.PC.2012.1076</t>
        </is>
      </c>
      <c r="B16" t="inlineStr">
        <is>
          <t>Angolare 40x40x4 lungo1076 mm. supporto superiore</t>
        </is>
      </c>
      <c r="C16" s="18" t="n">
        <v>2.685696</v>
      </c>
      <c r="D16" s="17" t="n">
        <v>0.025</v>
      </c>
      <c r="E16" s="18">
        <f>IF(ISNUMBER($C16),$C16*(1+IF(ISNUMBER($D16),$D16,0)),"")</f>
        <v/>
      </c>
      <c r="F16" s="21" t="n">
        <v>1.2</v>
      </c>
      <c r="G16" s="21" t="n"/>
    </row>
    <row r="17">
      <c r="A17" t="inlineStr">
        <is>
          <t>TTS.PC.2013</t>
        </is>
      </c>
      <c r="B17" t="inlineStr">
        <is>
          <t>Palo MAX lungo mt.2,040</t>
        </is>
      </c>
      <c r="C17" s="18" t="n">
        <v>7.00128</v>
      </c>
      <c r="D17" s="17" t="n">
        <v>0.025</v>
      </c>
      <c r="E17" s="18">
        <f>IF(ISNUMBER($C17),$C17*(1+IF(ISNUMBER($D17),$D17,0)),"")</f>
        <v/>
      </c>
      <c r="F17" s="21" t="n">
        <v>0.95</v>
      </c>
      <c r="G17" s="21" t="n"/>
    </row>
    <row r="18">
      <c r="A18" t="inlineStr">
        <is>
          <t>TTS.PC.3011</t>
        </is>
      </c>
      <c r="B18" t="inlineStr">
        <is>
          <t>Angolare 40x40x4 lungo 869 mm. superiore</t>
        </is>
      </c>
      <c r="C18" s="18" t="n">
        <v>2.169</v>
      </c>
      <c r="D18" s="17" t="n">
        <v>0.025</v>
      </c>
      <c r="E18" s="18">
        <f>IF(ISNUMBER($C18),$C18*(1+IF(ISNUMBER($D18),$D18,0)),"")</f>
        <v/>
      </c>
      <c r="F18" s="21" t="n">
        <v>1.2</v>
      </c>
      <c r="G18" s="21" t="n"/>
    </row>
    <row r="19">
      <c r="A19" t="inlineStr">
        <is>
          <t>TTS.PC.3012</t>
        </is>
      </c>
      <c r="B19" t="inlineStr">
        <is>
          <t>Angolare 40x40x4 lungo 869 mm. inferiore</t>
        </is>
      </c>
      <c r="C19" s="18" t="n">
        <v>2.169</v>
      </c>
      <c r="D19" s="17" t="n">
        <v>0.025</v>
      </c>
      <c r="E19" s="18">
        <f>IF(ISNUMBER($C19),$C19*(1+IF(ISNUMBER($D19),$D19,0)),"")</f>
        <v/>
      </c>
      <c r="F19" s="21" t="n">
        <v>1.2</v>
      </c>
      <c r="G19" s="21" t="n"/>
    </row>
    <row r="20">
      <c r="A20" t="inlineStr">
        <is>
          <t>TTS.PC.3013</t>
        </is>
      </c>
      <c r="B20" t="inlineStr">
        <is>
          <t>Palo MAX lungo mt.2,150</t>
        </is>
      </c>
      <c r="C20" s="18" t="n">
        <v>7.3788</v>
      </c>
      <c r="D20" s="17" t="n">
        <v>0.025</v>
      </c>
      <c r="E20" s="18">
        <f>IF(ISNUMBER($C20),$C20*(1+IF(ISNUMBER($D20),$D20,0)),"")</f>
        <v/>
      </c>
      <c r="F20" s="21" t="n">
        <v>0.95</v>
      </c>
      <c r="G20" s="21" t="n"/>
    </row>
    <row r="21">
      <c r="A21" t="inlineStr">
        <is>
          <t>TTS.PM.002.IPE140</t>
        </is>
      </c>
      <c r="B21" t="inlineStr">
        <is>
          <t>Supporto laterale testa riduttore</t>
        </is>
      </c>
      <c r="C21" s="18" t="n">
        <v>4.5708</v>
      </c>
      <c r="D21" s="17" t="n">
        <v>0.025</v>
      </c>
      <c r="E21" s="18">
        <f>IF(ISNUMBER($C21),$C21*(1+IF(ISNUMBER($D21),$D21,0)),"")</f>
        <v/>
      </c>
      <c r="F21" s="21" t="n">
        <v>0.9</v>
      </c>
      <c r="G21" s="21" t="n">
        <v>0.9</v>
      </c>
    </row>
    <row r="22">
      <c r="A22" t="inlineStr">
        <is>
          <t>TTS.PM.003.IPE140</t>
        </is>
      </c>
      <c r="B22" t="inlineStr">
        <is>
          <t>Testa riduttore pilastro motore</t>
        </is>
      </c>
      <c r="C22" s="18" t="n">
        <v>2.54</v>
      </c>
      <c r="D22" s="17" t="n">
        <v>0.025</v>
      </c>
      <c r="E22" s="18">
        <f>IF(ISNUMBER($C22),$C22*(1+IF(ISNUMBER($D22),$D22,0)),"")</f>
        <v/>
      </c>
      <c r="F22" s="21" t="n">
        <v>0.9</v>
      </c>
      <c r="G22" s="21" t="n">
        <v>0.9</v>
      </c>
    </row>
    <row r="23">
      <c r="A23" t="inlineStr">
        <is>
          <t>TTS.PM.2011</t>
        </is>
      </c>
      <c r="B23" t="inlineStr">
        <is>
          <t>Angolare 30x30x4 lungo 370 mm. superiore</t>
        </is>
      </c>
      <c r="C23" s="18" t="n">
        <v>0.5195</v>
      </c>
      <c r="D23" s="17" t="n">
        <v>0.025</v>
      </c>
      <c r="E23" s="18">
        <f>IF(ISNUMBER($C23),$C23*(1+IF(ISNUMBER($D23),$D23,0)),"")</f>
        <v/>
      </c>
      <c r="F23" s="21" t="n">
        <v>1.2</v>
      </c>
      <c r="G23" s="21" t="n"/>
    </row>
    <row r="24">
      <c r="A24" t="inlineStr">
        <is>
          <t>TTS.PM.2012</t>
        </is>
      </c>
      <c r="B24" t="inlineStr">
        <is>
          <t>Angolare 30x30x4 lungo 370 mm. inferiore</t>
        </is>
      </c>
      <c r="C24" s="18" t="n">
        <v>0.5195</v>
      </c>
      <c r="D24" s="17" t="n">
        <v>0.025</v>
      </c>
      <c r="E24" s="18">
        <f>IF(ISNUMBER($C24),$C24*(1+IF(ISNUMBER($D24),$D24,0)),"")</f>
        <v/>
      </c>
      <c r="F24" s="21" t="n">
        <v>1.2</v>
      </c>
      <c r="G24" s="21" t="n"/>
    </row>
    <row r="25">
      <c r="A25" t="inlineStr">
        <is>
          <t>TTS.SM.001</t>
        </is>
      </c>
      <c r="B25" t="inlineStr">
        <is>
          <t>Piatto 50X5X230 supporto sensori</t>
        </is>
      </c>
      <c r="C25" s="18" t="n">
        <v>0.451375</v>
      </c>
      <c r="D25" s="17" t="n">
        <v>0.025</v>
      </c>
      <c r="E25" s="18">
        <f>IF(ISNUMBER($C25),$C25*(1+IF(ISNUMBER($D25),$D25,0)),"")</f>
        <v/>
      </c>
      <c r="F25" s="21" t="n">
        <v>1.2</v>
      </c>
      <c r="G25" s="21" t="n"/>
    </row>
    <row r="26">
      <c r="A26" t="inlineStr">
        <is>
          <t>TTS.SM.002</t>
        </is>
      </c>
      <c r="B26" t="inlineStr">
        <is>
          <t>Piatto 30X3X193 leva sensore temperatura pannello</t>
        </is>
      </c>
      <c r="C26" s="18" t="n">
        <v>0.136355</v>
      </c>
      <c r="D26" s="17" t="n">
        <v>0.025</v>
      </c>
      <c r="E26" s="18">
        <f>IF(ISNUMBER($C26),$C26*(1+IF(ISNUMBER($D26),$D26,0)),"")</f>
        <v/>
      </c>
      <c r="F26" s="21" t="n">
        <v>1.2</v>
      </c>
      <c r="G26" s="21" t="n"/>
    </row>
    <row r="27">
      <c r="A27" t="inlineStr">
        <is>
          <t>TTS.SM.003</t>
        </is>
      </c>
      <c r="B27" t="inlineStr">
        <is>
          <t>Asta supporto anemometro</t>
        </is>
      </c>
      <c r="C27" s="18" t="n"/>
      <c r="D27" s="17" t="n"/>
      <c r="E27" s="18">
        <f>IF(ISNUMBER($C27),$C27*(1+IF(ISNUMBER($D27),$D27,0)),"")</f>
        <v/>
      </c>
      <c r="F27" s="21" t="n"/>
      <c r="G27" s="21" t="n"/>
    </row>
    <row r="28">
      <c r="C28" s="18" t="n"/>
      <c r="D28" s="17" t="n"/>
      <c r="E28" s="18" t="n"/>
      <c r="F28" s="21" t="n"/>
      <c r="G28" s="21" t="n"/>
    </row>
    <row r="29">
      <c r="C29" s="18" t="n"/>
      <c r="D29" s="17" t="n"/>
      <c r="E29" s="18" t="n"/>
      <c r="F29" s="21" t="n"/>
      <c r="G29" s="21" t="n"/>
    </row>
    <row r="30">
      <c r="C30" s="18" t="n"/>
      <c r="D30" s="17" t="n"/>
      <c r="E30" s="18" t="n"/>
      <c r="F30" s="21" t="n"/>
      <c r="G30" s="21" t="n"/>
    </row>
    <row r="31">
      <c r="C31" s="18" t="n"/>
      <c r="D31" s="17" t="n"/>
      <c r="E31" s="18" t="n"/>
      <c r="F31" s="21" t="n"/>
      <c r="G31" s="21" t="n"/>
    </row>
    <row r="32">
      <c r="C32" s="18" t="n"/>
      <c r="D32" s="17" t="n"/>
      <c r="E32" s="18" t="n"/>
      <c r="F32" s="21" t="n"/>
      <c r="G32" s="21" t="n"/>
    </row>
    <row r="33">
      <c r="C33" s="18" t="n"/>
      <c r="D33" s="17" t="n"/>
      <c r="E33" s="18" t="n"/>
      <c r="F33" s="21" t="n"/>
      <c r="G33" s="21" t="n"/>
    </row>
    <row r="34">
      <c r="C34" s="18" t="n"/>
      <c r="D34" s="17" t="n"/>
      <c r="E34" s="18" t="n"/>
      <c r="F34" s="21" t="n"/>
      <c r="G34" s="21" t="n"/>
    </row>
    <row r="36" ht="15.6" customHeight="1">
      <c r="A36" s="15" t="inlineStr">
        <is>
          <t>PEZZI SPECIALI — elenco (descrizione, peso e costi richiamati dai parametri qui sopra)</t>
        </is>
      </c>
    </row>
    <row r="37" ht="27.6" customHeight="1">
      <c r="A37" s="23" t="inlineStr">
        <is>
          <t>Codice</t>
        </is>
      </c>
      <c r="B37" s="23" t="inlineStr">
        <is>
          <t>Descrizione</t>
        </is>
      </c>
      <c r="C37" s="23" t="inlineStr">
        <is>
          <t>Voce</t>
        </is>
      </c>
      <c r="D37" s="23" t="inlineStr">
        <is>
          <t>Peso elemento (kg)</t>
        </is>
      </c>
      <c r="E37" s="23" t="inlineStr">
        <is>
          <t>Costo acquisto (€)</t>
        </is>
      </c>
      <c r="F37" s="23" t="inlineStr">
        <is>
          <t>Costo zincatura (€)</t>
        </is>
      </c>
    </row>
    <row r="38">
      <c r="A38" t="inlineStr">
        <is>
          <t>TTS.PF.002.IPE140</t>
        </is>
      </c>
      <c r="B38">
        <f>IFERROR(VLOOKUP($C38,$A$6:$G$27,2,FALSE),"")</f>
        <v/>
      </c>
      <c r="C38" t="inlineStr">
        <is>
          <t>TTS.PF.002.IPE140</t>
        </is>
      </c>
      <c r="D38" s="20">
        <f>IF(ISNUMBER(VLOOKUP($C38,$A$6:$G$27,5,FALSE)),VLOOKUP($C38,$A$6:$G$27,5,FALSE),"")</f>
        <v/>
      </c>
      <c r="E38" s="12">
        <f>IF(AND(ISNUMBER(VLOOKUP($C38,$A$6:$G$27,3,FALSE)),ISNUMBER(VLOOKUP($C38,$A$6:$G$27,6,FALSE))),VLOOKUP($C38,$A$6:$G$27,3,FALSE)*VLOOKUP($C38,$A$6:$G$27,6,FALSE),"")</f>
        <v/>
      </c>
      <c r="F38" s="12">
        <f>IF(AND(ISNUMBER(VLOOKUP($C38,$A$6:$G$27,3,FALSE)),ISNUMBER(VLOOKUP($C38,$A$6:$G$27,4,FALSE)),VLOOKUP($C38,$A$6:$G$27,4,FALSE)&gt;0,ISNUMBER(VLOOKUP($C38,$A$6:$G$27,7,FALSE))),VLOOKUP($C38,$A$6:$G$27,3,FALSE)*(1+VLOOKUP($C38,$A$6:$G$27,4,FALSE))*VLOOKUP($C38,$A$6:$G$27,7,FALSE),"")</f>
        <v/>
      </c>
    </row>
    <row r="39">
      <c r="A39" t="inlineStr">
        <is>
          <t>TTS.PF.003.IPE140</t>
        </is>
      </c>
      <c r="B39">
        <f>IFERROR(VLOOKUP($C39,$A$6:$G$27,2,FALSE),"")</f>
        <v/>
      </c>
      <c r="C39" t="inlineStr">
        <is>
          <t>TTS.PF.003.IPE140</t>
        </is>
      </c>
      <c r="D39" s="20">
        <f>IF(ISNUMBER(VLOOKUP($C39,$A$6:$G$27,5,FALSE)),VLOOKUP($C39,$A$6:$G$27,5,FALSE),"")</f>
        <v/>
      </c>
      <c r="E39" s="12">
        <f>IF(AND(ISNUMBER(VLOOKUP($C39,$A$6:$G$27,3,FALSE)),ISNUMBER(VLOOKUP($C39,$A$6:$G$27,6,FALSE))),VLOOKUP($C39,$A$6:$G$27,3,FALSE)*VLOOKUP($C39,$A$6:$G$27,6,FALSE),"")</f>
        <v/>
      </c>
      <c r="F39" s="12">
        <f>IF(AND(ISNUMBER(VLOOKUP($C39,$A$6:$G$27,3,FALSE)),ISNUMBER(VLOOKUP($C39,$A$6:$G$27,4,FALSE)),VLOOKUP($C39,$A$6:$G$27,4,FALSE)&gt;0,ISNUMBER(VLOOKUP($C39,$A$6:$G$27,7,FALSE))),VLOOKUP($C39,$A$6:$G$27,3,FALSE)*(1+VLOOKUP($C39,$A$6:$G$27,4,FALSE))*VLOOKUP($C39,$A$6:$G$27,7,FALSE),"")</f>
        <v/>
      </c>
    </row>
    <row r="40">
      <c r="A40" t="inlineStr">
        <is>
          <t>TTS.PF.004.IPE140</t>
        </is>
      </c>
      <c r="B40">
        <f>IFERROR(VLOOKUP($C40,$A$6:$G$27,2,FALSE),"")</f>
        <v/>
      </c>
      <c r="C40" t="inlineStr">
        <is>
          <t>TTS.PF.004.IPE140</t>
        </is>
      </c>
      <c r="D40" s="20">
        <f>IF(ISNUMBER(VLOOKUP($C40,$A$6:$G$27,5,FALSE)),VLOOKUP($C40,$A$6:$G$27,5,FALSE),"")</f>
        <v/>
      </c>
      <c r="E40" s="12">
        <f>IF(AND(ISNUMBER(VLOOKUP($C40,$A$6:$G$27,3,FALSE)),ISNUMBER(VLOOKUP($C40,$A$6:$G$27,6,FALSE))),VLOOKUP($C40,$A$6:$G$27,3,FALSE)*VLOOKUP($C40,$A$6:$G$27,6,FALSE),"")</f>
        <v/>
      </c>
      <c r="F40" s="12">
        <f>IF(AND(ISNUMBER(VLOOKUP($C40,$A$6:$G$27,3,FALSE)),ISNUMBER(VLOOKUP($C40,$A$6:$G$27,4,FALSE)),VLOOKUP($C40,$A$6:$G$27,4,FALSE)&gt;0,ISNUMBER(VLOOKUP($C40,$A$6:$G$27,7,FALSE))),VLOOKUP($C40,$A$6:$G$27,3,FALSE)*(1+VLOOKUP($C40,$A$6:$G$27,4,FALSE))*VLOOKUP($C40,$A$6:$G$27,7,FALSE),"")</f>
        <v/>
      </c>
    </row>
    <row r="41">
      <c r="A41" t="inlineStr">
        <is>
          <t>TTS.AR.4011</t>
        </is>
      </c>
      <c r="B41">
        <f>IFERROR(VLOOKUP($C41,$A$6:$G$27,2,FALSE),"")</f>
        <v/>
      </c>
      <c r="C41" t="inlineStr">
        <is>
          <t>TTS.AR.4011</t>
        </is>
      </c>
      <c r="D41" s="20">
        <f>IF(ISNUMBER(VLOOKUP($C41,$A$6:$G$27,5,FALSE)),VLOOKUP($C41,$A$6:$G$27,5,FALSE),"")</f>
        <v/>
      </c>
      <c r="E41" s="12">
        <f>IF(AND(ISNUMBER(VLOOKUP($C41,$A$6:$G$27,3,FALSE)),ISNUMBER(VLOOKUP($C41,$A$6:$G$27,6,FALSE))),VLOOKUP($C41,$A$6:$G$27,3,FALSE)*VLOOKUP($C41,$A$6:$G$27,6,FALSE),"")</f>
        <v/>
      </c>
      <c r="F41" s="12">
        <f>IF(AND(ISNUMBER(VLOOKUP($C41,$A$6:$G$27,3,FALSE)),ISNUMBER(VLOOKUP($C41,$A$6:$G$27,4,FALSE)),VLOOKUP($C41,$A$6:$G$27,4,FALSE)&gt;0,ISNUMBER(VLOOKUP($C41,$A$6:$G$27,7,FALSE))),VLOOKUP($C41,$A$6:$G$27,3,FALSE)*(1+VLOOKUP($C41,$A$6:$G$27,4,FALSE))*VLOOKUP($C41,$A$6:$G$27,7,FALSE),"")</f>
        <v/>
      </c>
    </row>
    <row r="42">
      <c r="A42" t="inlineStr">
        <is>
          <t>TTS.AR.4012</t>
        </is>
      </c>
      <c r="B42">
        <f>IFERROR(VLOOKUP($C42,$A$6:$G$27,2,FALSE),"")</f>
        <v/>
      </c>
      <c r="C42" t="inlineStr">
        <is>
          <t>TTS.AR.4012</t>
        </is>
      </c>
      <c r="D42" s="20">
        <f>IF(ISNUMBER(VLOOKUP($C42,$A$6:$G$27,5,FALSE)),VLOOKUP($C42,$A$6:$G$27,5,FALSE),"")</f>
        <v/>
      </c>
      <c r="E42" s="12">
        <f>IF(AND(ISNUMBER(VLOOKUP($C42,$A$6:$G$27,3,FALSE)),ISNUMBER(VLOOKUP($C42,$A$6:$G$27,6,FALSE))),VLOOKUP($C42,$A$6:$G$27,3,FALSE)*VLOOKUP($C42,$A$6:$G$27,6,FALSE),"")</f>
        <v/>
      </c>
      <c r="F42" s="12">
        <f>IF(AND(ISNUMBER(VLOOKUP($C42,$A$6:$G$27,3,FALSE)),ISNUMBER(VLOOKUP($C42,$A$6:$G$27,4,FALSE)),VLOOKUP($C42,$A$6:$G$27,4,FALSE)&gt;0,ISNUMBER(VLOOKUP($C42,$A$6:$G$27,7,FALSE))),VLOOKUP($C42,$A$6:$G$27,3,FALSE)*(1+VLOOKUP($C42,$A$6:$G$27,4,FALSE))*VLOOKUP($C42,$A$6:$G$27,7,FALSE),"")</f>
        <v/>
      </c>
    </row>
    <row r="43">
      <c r="A43" t="inlineStr">
        <is>
          <t>TTS.AR.5011</t>
        </is>
      </c>
      <c r="B43">
        <f>IFERROR(VLOOKUP($C43,$A$6:$G$27,2,FALSE),"")</f>
        <v/>
      </c>
      <c r="C43" t="inlineStr">
        <is>
          <t>TTS.AR.5011</t>
        </is>
      </c>
      <c r="D43" s="20">
        <f>IF(ISNUMBER(VLOOKUP($C43,$A$6:$G$27,5,FALSE)),VLOOKUP($C43,$A$6:$G$27,5,FALSE),"")</f>
        <v/>
      </c>
      <c r="E43" s="12">
        <f>IF(AND(ISNUMBER(VLOOKUP($C43,$A$6:$G$27,3,FALSE)),ISNUMBER(VLOOKUP($C43,$A$6:$G$27,6,FALSE))),VLOOKUP($C43,$A$6:$G$27,3,FALSE)*VLOOKUP($C43,$A$6:$G$27,6,FALSE),"")</f>
        <v/>
      </c>
      <c r="F43" s="12">
        <f>IF(AND(ISNUMBER(VLOOKUP($C43,$A$6:$G$27,3,FALSE)),ISNUMBER(VLOOKUP($C43,$A$6:$G$27,4,FALSE)),VLOOKUP($C43,$A$6:$G$27,4,FALSE)&gt;0,ISNUMBER(VLOOKUP($C43,$A$6:$G$27,7,FALSE))),VLOOKUP($C43,$A$6:$G$27,3,FALSE)*(1+VLOOKUP($C43,$A$6:$G$27,4,FALSE))*VLOOKUP($C43,$A$6:$G$27,7,FALSE),"")</f>
        <v/>
      </c>
    </row>
    <row r="44">
      <c r="A44" t="inlineStr">
        <is>
          <t>TTS.AR.5012</t>
        </is>
      </c>
      <c r="B44">
        <f>IFERROR(VLOOKUP($C44,$A$6:$G$27,2,FALSE),"")</f>
        <v/>
      </c>
      <c r="C44" t="inlineStr">
        <is>
          <t>TTS.AR.5012</t>
        </is>
      </c>
      <c r="D44" s="20">
        <f>IF(ISNUMBER(VLOOKUP($C44,$A$6:$G$27,5,FALSE)),VLOOKUP($C44,$A$6:$G$27,5,FALSE),"")</f>
        <v/>
      </c>
      <c r="E44" s="12">
        <f>IF(AND(ISNUMBER(VLOOKUP($C44,$A$6:$G$27,3,FALSE)),ISNUMBER(VLOOKUP($C44,$A$6:$G$27,6,FALSE))),VLOOKUP($C44,$A$6:$G$27,3,FALSE)*VLOOKUP($C44,$A$6:$G$27,6,FALSE),"")</f>
        <v/>
      </c>
      <c r="F44" s="12">
        <f>IF(AND(ISNUMBER(VLOOKUP($C44,$A$6:$G$27,3,FALSE)),ISNUMBER(VLOOKUP($C44,$A$6:$G$27,4,FALSE)),VLOOKUP($C44,$A$6:$G$27,4,FALSE)&gt;0,ISNUMBER(VLOOKUP($C44,$A$6:$G$27,7,FALSE))),VLOOKUP($C44,$A$6:$G$27,3,FALSE)*(1+VLOOKUP($C44,$A$6:$G$27,4,FALSE))*VLOOKUP($C44,$A$6:$G$27,7,FALSE),"")</f>
        <v/>
      </c>
    </row>
    <row r="45">
      <c r="A45" t="inlineStr">
        <is>
          <t>TTS.PC.002.IPE140</t>
        </is>
      </c>
      <c r="B45">
        <f>IFERROR(VLOOKUP($C45,$A$6:$G$27,2,FALSE),"")</f>
        <v/>
      </c>
      <c r="C45" t="inlineStr">
        <is>
          <t>TTS.PC.002.IPE140</t>
        </is>
      </c>
      <c r="D45" s="20">
        <f>IF(ISNUMBER(VLOOKUP($C45,$A$6:$G$27,5,FALSE)),VLOOKUP($C45,$A$6:$G$27,5,FALSE),"")</f>
        <v/>
      </c>
      <c r="E45" s="12">
        <f>IF(AND(ISNUMBER(VLOOKUP($C45,$A$6:$G$27,3,FALSE)),ISNUMBER(VLOOKUP($C45,$A$6:$G$27,6,FALSE))),VLOOKUP($C45,$A$6:$G$27,3,FALSE)*VLOOKUP($C45,$A$6:$G$27,6,FALSE),"")</f>
        <v/>
      </c>
      <c r="F45" s="12">
        <f>IF(AND(ISNUMBER(VLOOKUP($C45,$A$6:$G$27,3,FALSE)),ISNUMBER(VLOOKUP($C45,$A$6:$G$27,4,FALSE)),VLOOKUP($C45,$A$6:$G$27,4,FALSE)&gt;0,ISNUMBER(VLOOKUP($C45,$A$6:$G$27,7,FALSE))),VLOOKUP($C45,$A$6:$G$27,3,FALSE)*(1+VLOOKUP($C45,$A$6:$G$27,4,FALSE))*VLOOKUP($C45,$A$6:$G$27,7,FALSE),"")</f>
        <v/>
      </c>
    </row>
    <row r="46">
      <c r="A46" t="inlineStr">
        <is>
          <t>TTS.PC.003.IPE140</t>
        </is>
      </c>
      <c r="B46">
        <f>IFERROR(VLOOKUP($C46,$A$6:$G$27,2,FALSE),"")</f>
        <v/>
      </c>
      <c r="C46" t="inlineStr">
        <is>
          <t>TTS.PC.003.IPE140</t>
        </is>
      </c>
      <c r="D46" s="20">
        <f>IF(ISNUMBER(VLOOKUP($C46,$A$6:$G$27,5,FALSE)),VLOOKUP($C46,$A$6:$G$27,5,FALSE),"")</f>
        <v/>
      </c>
      <c r="E46" s="12">
        <f>IF(AND(ISNUMBER(VLOOKUP($C46,$A$6:$G$27,3,FALSE)),ISNUMBER(VLOOKUP($C46,$A$6:$G$27,6,FALSE))),VLOOKUP($C46,$A$6:$G$27,3,FALSE)*VLOOKUP($C46,$A$6:$G$27,6,FALSE),"")</f>
        <v/>
      </c>
      <c r="F46" s="12">
        <f>IF(AND(ISNUMBER(VLOOKUP($C46,$A$6:$G$27,3,FALSE)),ISNUMBER(VLOOKUP($C46,$A$6:$G$27,4,FALSE)),VLOOKUP($C46,$A$6:$G$27,4,FALSE)&gt;0,ISNUMBER(VLOOKUP($C46,$A$6:$G$27,7,FALSE))),VLOOKUP($C46,$A$6:$G$27,3,FALSE)*(1+VLOOKUP($C46,$A$6:$G$27,4,FALSE))*VLOOKUP($C46,$A$6:$G$27,7,FALSE),"")</f>
        <v/>
      </c>
    </row>
    <row r="47">
      <c r="A47" t="inlineStr">
        <is>
          <t>TTS.PC.2011.1076</t>
        </is>
      </c>
      <c r="B47">
        <f>IFERROR(VLOOKUP($C47,$A$6:$G$27,2,FALSE),"")</f>
        <v/>
      </c>
      <c r="C47" t="inlineStr">
        <is>
          <t>TTS.PC.2011.1076</t>
        </is>
      </c>
      <c r="D47" s="20">
        <f>IF(ISNUMBER(VLOOKUP($C47,$A$6:$G$27,5,FALSE)),VLOOKUP($C47,$A$6:$G$27,5,FALSE),"")</f>
        <v/>
      </c>
      <c r="E47" s="12">
        <f>IF(AND(ISNUMBER(VLOOKUP($C47,$A$6:$G$27,3,FALSE)),ISNUMBER(VLOOKUP($C47,$A$6:$G$27,6,FALSE))),VLOOKUP($C47,$A$6:$G$27,3,FALSE)*VLOOKUP($C47,$A$6:$G$27,6,FALSE),"")</f>
        <v/>
      </c>
      <c r="F47" s="12">
        <f>IF(AND(ISNUMBER(VLOOKUP($C47,$A$6:$G$27,3,FALSE)),ISNUMBER(VLOOKUP($C47,$A$6:$G$27,4,FALSE)),VLOOKUP($C47,$A$6:$G$27,4,FALSE)&gt;0,ISNUMBER(VLOOKUP($C47,$A$6:$G$27,7,FALSE))),VLOOKUP($C47,$A$6:$G$27,3,FALSE)*(1+VLOOKUP($C47,$A$6:$G$27,4,FALSE))*VLOOKUP($C47,$A$6:$G$27,7,FALSE),"")</f>
        <v/>
      </c>
    </row>
    <row r="48">
      <c r="A48" t="inlineStr">
        <is>
          <t>TTS.PC.2012.1076</t>
        </is>
      </c>
      <c r="B48">
        <f>IFERROR(VLOOKUP($C48,$A$6:$G$27,2,FALSE),"")</f>
        <v/>
      </c>
      <c r="C48" t="inlineStr">
        <is>
          <t>TTS.PC.2012.1076</t>
        </is>
      </c>
      <c r="D48" s="20">
        <f>IF(ISNUMBER(VLOOKUP($C48,$A$6:$G$27,5,FALSE)),VLOOKUP($C48,$A$6:$G$27,5,FALSE),"")</f>
        <v/>
      </c>
      <c r="E48" s="12">
        <f>IF(AND(ISNUMBER(VLOOKUP($C48,$A$6:$G$27,3,FALSE)),ISNUMBER(VLOOKUP($C48,$A$6:$G$27,6,FALSE))),VLOOKUP($C48,$A$6:$G$27,3,FALSE)*VLOOKUP($C48,$A$6:$G$27,6,FALSE),"")</f>
        <v/>
      </c>
      <c r="F48" s="12">
        <f>IF(AND(ISNUMBER(VLOOKUP($C48,$A$6:$G$27,3,FALSE)),ISNUMBER(VLOOKUP($C48,$A$6:$G$27,4,FALSE)),VLOOKUP($C48,$A$6:$G$27,4,FALSE)&gt;0,ISNUMBER(VLOOKUP($C48,$A$6:$G$27,7,FALSE))),VLOOKUP($C48,$A$6:$G$27,3,FALSE)*(1+VLOOKUP($C48,$A$6:$G$27,4,FALSE))*VLOOKUP($C48,$A$6:$G$27,7,FALSE),"")</f>
        <v/>
      </c>
    </row>
    <row r="49">
      <c r="A49" t="inlineStr">
        <is>
          <t>TTS.PC.2013</t>
        </is>
      </c>
      <c r="B49">
        <f>IFERROR(VLOOKUP($C49,$A$6:$G$27,2,FALSE),"")</f>
        <v/>
      </c>
      <c r="C49" t="inlineStr">
        <is>
          <t>TTS.PC.2013</t>
        </is>
      </c>
      <c r="D49" s="20">
        <f>IF(ISNUMBER(VLOOKUP($C49,$A$6:$G$27,5,FALSE)),VLOOKUP($C49,$A$6:$G$27,5,FALSE),"")</f>
        <v/>
      </c>
      <c r="E49" s="12">
        <f>IF(AND(ISNUMBER(VLOOKUP($C49,$A$6:$G$27,3,FALSE)),ISNUMBER(VLOOKUP($C49,$A$6:$G$27,6,FALSE))),VLOOKUP($C49,$A$6:$G$27,3,FALSE)*VLOOKUP($C49,$A$6:$G$27,6,FALSE),"")</f>
        <v/>
      </c>
      <c r="F49" s="12">
        <f>IF(AND(ISNUMBER(VLOOKUP($C49,$A$6:$G$27,3,FALSE)),ISNUMBER(VLOOKUP($C49,$A$6:$G$27,4,FALSE)),VLOOKUP($C49,$A$6:$G$27,4,FALSE)&gt;0,ISNUMBER(VLOOKUP($C49,$A$6:$G$27,7,FALSE))),VLOOKUP($C49,$A$6:$G$27,3,FALSE)*(1+VLOOKUP($C49,$A$6:$G$27,4,FALSE))*VLOOKUP($C49,$A$6:$G$27,7,FALSE),"")</f>
        <v/>
      </c>
    </row>
    <row r="50">
      <c r="A50" t="inlineStr">
        <is>
          <t>TTS.PC.3011</t>
        </is>
      </c>
      <c r="B50">
        <f>IFERROR(VLOOKUP($C50,$A$6:$G$27,2,FALSE),"")</f>
        <v/>
      </c>
      <c r="C50" t="inlineStr">
        <is>
          <t>TTS.PC.3011</t>
        </is>
      </c>
      <c r="D50" s="20">
        <f>IF(ISNUMBER(VLOOKUP($C50,$A$6:$G$27,5,FALSE)),VLOOKUP($C50,$A$6:$G$27,5,FALSE),"")</f>
        <v/>
      </c>
      <c r="E50" s="12">
        <f>IF(AND(ISNUMBER(VLOOKUP($C50,$A$6:$G$27,3,FALSE)),ISNUMBER(VLOOKUP($C50,$A$6:$G$27,6,FALSE))),VLOOKUP($C50,$A$6:$G$27,3,FALSE)*VLOOKUP($C50,$A$6:$G$27,6,FALSE),"")</f>
        <v/>
      </c>
      <c r="F50" s="12">
        <f>IF(AND(ISNUMBER(VLOOKUP($C50,$A$6:$G$27,3,FALSE)),ISNUMBER(VLOOKUP($C50,$A$6:$G$27,4,FALSE)),VLOOKUP($C50,$A$6:$G$27,4,FALSE)&gt;0,ISNUMBER(VLOOKUP($C50,$A$6:$G$27,7,FALSE))),VLOOKUP($C50,$A$6:$G$27,3,FALSE)*(1+VLOOKUP($C50,$A$6:$G$27,4,FALSE))*VLOOKUP($C50,$A$6:$G$27,7,FALSE),"")</f>
        <v/>
      </c>
    </row>
    <row r="51">
      <c r="A51" t="inlineStr">
        <is>
          <t>TTS.PC.3012</t>
        </is>
      </c>
      <c r="B51">
        <f>IFERROR(VLOOKUP($C51,$A$6:$G$27,2,FALSE),"")</f>
        <v/>
      </c>
      <c r="C51" t="inlineStr">
        <is>
          <t>TTS.PC.3012</t>
        </is>
      </c>
      <c r="D51" s="20">
        <f>IF(ISNUMBER(VLOOKUP($C51,$A$6:$G$27,5,FALSE)),VLOOKUP($C51,$A$6:$G$27,5,FALSE),"")</f>
        <v/>
      </c>
      <c r="E51" s="12">
        <f>IF(AND(ISNUMBER(VLOOKUP($C51,$A$6:$G$27,3,FALSE)),ISNUMBER(VLOOKUP($C51,$A$6:$G$27,6,FALSE))),VLOOKUP($C51,$A$6:$G$27,3,FALSE)*VLOOKUP($C51,$A$6:$G$27,6,FALSE),"")</f>
        <v/>
      </c>
      <c r="F51" s="12">
        <f>IF(AND(ISNUMBER(VLOOKUP($C51,$A$6:$G$27,3,FALSE)),ISNUMBER(VLOOKUP($C51,$A$6:$G$27,4,FALSE)),VLOOKUP($C51,$A$6:$G$27,4,FALSE)&gt;0,ISNUMBER(VLOOKUP($C51,$A$6:$G$27,7,FALSE))),VLOOKUP($C51,$A$6:$G$27,3,FALSE)*(1+VLOOKUP($C51,$A$6:$G$27,4,FALSE))*VLOOKUP($C51,$A$6:$G$27,7,FALSE),"")</f>
        <v/>
      </c>
    </row>
    <row r="52">
      <c r="A52" t="inlineStr">
        <is>
          <t>TTS.PC.3013</t>
        </is>
      </c>
      <c r="B52">
        <f>IFERROR(VLOOKUP($C52,$A$6:$G$27,2,FALSE),"")</f>
        <v/>
      </c>
      <c r="C52" t="inlineStr">
        <is>
          <t>TTS.PC.3013</t>
        </is>
      </c>
      <c r="D52" s="20">
        <f>IF(ISNUMBER(VLOOKUP($C52,$A$6:$G$27,5,FALSE)),VLOOKUP($C52,$A$6:$G$27,5,FALSE),"")</f>
        <v/>
      </c>
      <c r="E52" s="12">
        <f>IF(AND(ISNUMBER(VLOOKUP($C52,$A$6:$G$27,3,FALSE)),ISNUMBER(VLOOKUP($C52,$A$6:$G$27,6,FALSE))),VLOOKUP($C52,$A$6:$G$27,3,FALSE)*VLOOKUP($C52,$A$6:$G$27,6,FALSE),"")</f>
        <v/>
      </c>
      <c r="F52" s="12">
        <f>IF(AND(ISNUMBER(VLOOKUP($C52,$A$6:$G$27,3,FALSE)),ISNUMBER(VLOOKUP($C52,$A$6:$G$27,4,FALSE)),VLOOKUP($C52,$A$6:$G$27,4,FALSE)&gt;0,ISNUMBER(VLOOKUP($C52,$A$6:$G$27,7,FALSE))),VLOOKUP($C52,$A$6:$G$27,3,FALSE)*(1+VLOOKUP($C52,$A$6:$G$27,4,FALSE))*VLOOKUP($C52,$A$6:$G$27,7,FALSE),"")</f>
        <v/>
      </c>
    </row>
    <row r="53">
      <c r="A53" t="inlineStr">
        <is>
          <t>TTS.PM.002.IPE140</t>
        </is>
      </c>
      <c r="B53">
        <f>IFERROR(VLOOKUP($C53,$A$6:$G$27,2,FALSE),"")</f>
        <v/>
      </c>
      <c r="C53" t="inlineStr">
        <is>
          <t>TTS.PM.002.IPE140</t>
        </is>
      </c>
      <c r="D53" s="20">
        <f>IF(ISNUMBER(VLOOKUP($C53,$A$6:$G$27,5,FALSE)),VLOOKUP($C53,$A$6:$G$27,5,FALSE),"")</f>
        <v/>
      </c>
      <c r="E53" s="12">
        <f>IF(AND(ISNUMBER(VLOOKUP($C53,$A$6:$G$27,3,FALSE)),ISNUMBER(VLOOKUP($C53,$A$6:$G$27,6,FALSE))),VLOOKUP($C53,$A$6:$G$27,3,FALSE)*VLOOKUP($C53,$A$6:$G$27,6,FALSE),"")</f>
        <v/>
      </c>
      <c r="F53" s="12">
        <f>IF(AND(ISNUMBER(VLOOKUP($C53,$A$6:$G$27,3,FALSE)),ISNUMBER(VLOOKUP($C53,$A$6:$G$27,4,FALSE)),VLOOKUP($C53,$A$6:$G$27,4,FALSE)&gt;0,ISNUMBER(VLOOKUP($C53,$A$6:$G$27,7,FALSE))),VLOOKUP($C53,$A$6:$G$27,3,FALSE)*(1+VLOOKUP($C53,$A$6:$G$27,4,FALSE))*VLOOKUP($C53,$A$6:$G$27,7,FALSE),"")</f>
        <v/>
      </c>
    </row>
    <row r="54">
      <c r="A54" t="inlineStr">
        <is>
          <t>TTS.PM.003.IPE140</t>
        </is>
      </c>
      <c r="B54">
        <f>IFERROR(VLOOKUP($C54,$A$6:$G$27,2,FALSE),"")</f>
        <v/>
      </c>
      <c r="C54" t="inlineStr">
        <is>
          <t>TTS.PM.003.IPE140</t>
        </is>
      </c>
      <c r="D54" s="20">
        <f>IF(ISNUMBER(VLOOKUP($C54,$A$6:$G$27,5,FALSE)),VLOOKUP($C54,$A$6:$G$27,5,FALSE),"")</f>
        <v/>
      </c>
      <c r="E54" s="12">
        <f>IF(AND(ISNUMBER(VLOOKUP($C54,$A$6:$G$27,3,FALSE)),ISNUMBER(VLOOKUP($C54,$A$6:$G$27,6,FALSE))),VLOOKUP($C54,$A$6:$G$27,3,FALSE)*VLOOKUP($C54,$A$6:$G$27,6,FALSE),"")</f>
        <v/>
      </c>
      <c r="F54" s="12">
        <f>IF(AND(ISNUMBER(VLOOKUP($C54,$A$6:$G$27,3,FALSE)),ISNUMBER(VLOOKUP($C54,$A$6:$G$27,4,FALSE)),VLOOKUP($C54,$A$6:$G$27,4,FALSE)&gt;0,ISNUMBER(VLOOKUP($C54,$A$6:$G$27,7,FALSE))),VLOOKUP($C54,$A$6:$G$27,3,FALSE)*(1+VLOOKUP($C54,$A$6:$G$27,4,FALSE))*VLOOKUP($C54,$A$6:$G$27,7,FALSE),"")</f>
        <v/>
      </c>
    </row>
    <row r="55">
      <c r="A55" t="inlineStr">
        <is>
          <t>TTS.PM.2011</t>
        </is>
      </c>
      <c r="B55">
        <f>IFERROR(VLOOKUP($C55,$A$6:$G$27,2,FALSE),"")</f>
        <v/>
      </c>
      <c r="C55" t="inlineStr">
        <is>
          <t>TTS.PM.2011</t>
        </is>
      </c>
      <c r="D55" s="20">
        <f>IF(ISNUMBER(VLOOKUP($C55,$A$6:$G$27,5,FALSE)),VLOOKUP($C55,$A$6:$G$27,5,FALSE),"")</f>
        <v/>
      </c>
      <c r="E55" s="12">
        <f>IF(AND(ISNUMBER(VLOOKUP($C55,$A$6:$G$27,3,FALSE)),ISNUMBER(VLOOKUP($C55,$A$6:$G$27,6,FALSE))),VLOOKUP($C55,$A$6:$G$27,3,FALSE)*VLOOKUP($C55,$A$6:$G$27,6,FALSE),"")</f>
        <v/>
      </c>
      <c r="F55" s="12">
        <f>IF(AND(ISNUMBER(VLOOKUP($C55,$A$6:$G$27,3,FALSE)),ISNUMBER(VLOOKUP($C55,$A$6:$G$27,4,FALSE)),VLOOKUP($C55,$A$6:$G$27,4,FALSE)&gt;0,ISNUMBER(VLOOKUP($C55,$A$6:$G$27,7,FALSE))),VLOOKUP($C55,$A$6:$G$27,3,FALSE)*(1+VLOOKUP($C55,$A$6:$G$27,4,FALSE))*VLOOKUP($C55,$A$6:$G$27,7,FALSE),"")</f>
        <v/>
      </c>
    </row>
    <row r="56">
      <c r="A56" t="inlineStr">
        <is>
          <t>TTS.PM.2012</t>
        </is>
      </c>
      <c r="B56">
        <f>IFERROR(VLOOKUP($C56,$A$6:$G$27,2,FALSE),"")</f>
        <v/>
      </c>
      <c r="C56" t="inlineStr">
        <is>
          <t>TTS.PM.2012</t>
        </is>
      </c>
      <c r="D56" s="20">
        <f>IF(ISNUMBER(VLOOKUP($C56,$A$6:$G$27,5,FALSE)),VLOOKUP($C56,$A$6:$G$27,5,FALSE),"")</f>
        <v/>
      </c>
      <c r="E56" s="12">
        <f>IF(AND(ISNUMBER(VLOOKUP($C56,$A$6:$G$27,3,FALSE)),ISNUMBER(VLOOKUP($C56,$A$6:$G$27,6,FALSE))),VLOOKUP($C56,$A$6:$G$27,3,FALSE)*VLOOKUP($C56,$A$6:$G$27,6,FALSE),"")</f>
        <v/>
      </c>
      <c r="F56" s="12">
        <f>IF(AND(ISNUMBER(VLOOKUP($C56,$A$6:$G$27,3,FALSE)),ISNUMBER(VLOOKUP($C56,$A$6:$G$27,4,FALSE)),VLOOKUP($C56,$A$6:$G$27,4,FALSE)&gt;0,ISNUMBER(VLOOKUP($C56,$A$6:$G$27,7,FALSE))),VLOOKUP($C56,$A$6:$G$27,3,FALSE)*(1+VLOOKUP($C56,$A$6:$G$27,4,FALSE))*VLOOKUP($C56,$A$6:$G$27,7,FALSE),"")</f>
        <v/>
      </c>
    </row>
    <row r="57">
      <c r="A57" t="inlineStr">
        <is>
          <t>TTS.SM.001</t>
        </is>
      </c>
      <c r="B57">
        <f>IFERROR(VLOOKUP($C57,$A$6:$G$27,2,FALSE),"")</f>
        <v/>
      </c>
      <c r="C57" t="inlineStr">
        <is>
          <t>TTS.SM.001</t>
        </is>
      </c>
      <c r="D57" s="20">
        <f>IF(ISNUMBER(VLOOKUP($C57,$A$6:$G$27,5,FALSE)),VLOOKUP($C57,$A$6:$G$27,5,FALSE),"")</f>
        <v/>
      </c>
      <c r="E57" s="12">
        <f>IF(AND(ISNUMBER(VLOOKUP($C57,$A$6:$G$27,3,FALSE)),ISNUMBER(VLOOKUP($C57,$A$6:$G$27,6,FALSE))),VLOOKUP($C57,$A$6:$G$27,3,FALSE)*VLOOKUP($C57,$A$6:$G$27,6,FALSE),"")</f>
        <v/>
      </c>
      <c r="F57" s="12">
        <f>IF(AND(ISNUMBER(VLOOKUP($C57,$A$6:$G$27,3,FALSE)),ISNUMBER(VLOOKUP($C57,$A$6:$G$27,4,FALSE)),VLOOKUP($C57,$A$6:$G$27,4,FALSE)&gt;0,ISNUMBER(VLOOKUP($C57,$A$6:$G$27,7,FALSE))),VLOOKUP($C57,$A$6:$G$27,3,FALSE)*(1+VLOOKUP($C57,$A$6:$G$27,4,FALSE))*VLOOKUP($C57,$A$6:$G$27,7,FALSE),"")</f>
        <v/>
      </c>
    </row>
    <row r="58">
      <c r="A58" t="inlineStr">
        <is>
          <t>TTS.SM.002</t>
        </is>
      </c>
      <c r="B58">
        <f>IFERROR(VLOOKUP($C58,$A$6:$G$27,2,FALSE),"")</f>
        <v/>
      </c>
      <c r="C58" t="inlineStr">
        <is>
          <t>TTS.SM.002</t>
        </is>
      </c>
      <c r="D58" s="20">
        <f>IF(ISNUMBER(VLOOKUP($C58,$A$6:$G$27,5,FALSE)),VLOOKUP($C58,$A$6:$G$27,5,FALSE),"")</f>
        <v/>
      </c>
      <c r="E58" s="12">
        <f>IF(AND(ISNUMBER(VLOOKUP($C58,$A$6:$G$27,3,FALSE)),ISNUMBER(VLOOKUP($C58,$A$6:$G$27,6,FALSE))),VLOOKUP($C58,$A$6:$G$27,3,FALSE)*VLOOKUP($C58,$A$6:$G$27,6,FALSE),"")</f>
        <v/>
      </c>
      <c r="F58" s="12">
        <f>IF(AND(ISNUMBER(VLOOKUP($C58,$A$6:$G$27,3,FALSE)),ISNUMBER(VLOOKUP($C58,$A$6:$G$27,4,FALSE)),VLOOKUP($C58,$A$6:$G$27,4,FALSE)&gt;0,ISNUMBER(VLOOKUP($C58,$A$6:$G$27,7,FALSE))),VLOOKUP($C58,$A$6:$G$27,3,FALSE)*(1+VLOOKUP($C58,$A$6:$G$27,4,FALSE))*VLOOKUP($C58,$A$6:$G$27,7,FALSE),"")</f>
        <v/>
      </c>
    </row>
    <row r="59">
      <c r="A59" t="inlineStr">
        <is>
          <t>TTS.SM.003</t>
        </is>
      </c>
      <c r="B59">
        <f>IFERROR(VLOOKUP($C59,$A$6:$G$27,2,FALSE),"")</f>
        <v/>
      </c>
      <c r="C59" t="inlineStr">
        <is>
          <t>TTS.SM.003</t>
        </is>
      </c>
      <c r="D59" s="20">
        <f>IF(ISNUMBER(VLOOKUP($C59,$A$6:$G$27,5,FALSE)),VLOOKUP($C59,$A$6:$G$27,5,FALSE),"")</f>
        <v/>
      </c>
      <c r="E59" s="12">
        <f>IF(AND(ISNUMBER(VLOOKUP($C59,$A$6:$G$27,3,FALSE)),ISNUMBER(VLOOKUP($C59,$A$6:$G$27,6,FALSE))),VLOOKUP($C59,$A$6:$G$27,3,FALSE)*VLOOKUP($C59,$A$6:$G$27,6,FALSE),"")</f>
        <v/>
      </c>
      <c r="F59" s="12">
        <f>IF(AND(ISNUMBER(VLOOKUP($C59,$A$6:$G$27,3,FALSE)),ISNUMBER(VLOOKUP($C59,$A$6:$G$27,4,FALSE)),VLOOKUP($C59,$A$6:$G$27,4,FALSE)&gt;0,ISNUMBER(VLOOKUP($C59,$A$6:$G$27,7,FALSE))),VLOOKUP($C59,$A$6:$G$27,3,FALSE)*(1+VLOOKUP($C59,$A$6:$G$27,4,FALSE))*VLOOKUP($C59,$A$6:$G$27,7,FALSE),"")</f>
        <v/>
      </c>
    </row>
    <row r="60">
      <c r="D60" s="20" t="n"/>
      <c r="E60" s="12" t="n"/>
      <c r="F60" s="12" t="n"/>
    </row>
    <row r="61">
      <c r="D61" s="20" t="n"/>
      <c r="E61" s="12" t="n"/>
      <c r="F61" s="12" t="n"/>
    </row>
    <row r="62">
      <c r="D62" s="20" t="n"/>
      <c r="E62" s="12" t="n"/>
      <c r="F62" s="12" t="n"/>
    </row>
    <row r="63">
      <c r="D63" s="20" t="n"/>
      <c r="E63" s="12" t="n"/>
      <c r="F63" s="12" t="n"/>
    </row>
    <row r="64">
      <c r="D64" s="20" t="n"/>
      <c r="E64" s="12" t="n"/>
      <c r="F64" s="12" t="n"/>
    </row>
    <row r="65">
      <c r="D65" s="20" t="n"/>
      <c r="E65" s="12" t="n"/>
      <c r="F65" s="12" t="n"/>
    </row>
    <row r="66">
      <c r="D66" s="20" t="n"/>
      <c r="E66" s="12" t="n"/>
      <c r="F66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5" topLeftCell="A24" activePane="bottomLeft" state="frozen"/>
      <selection pane="bottomLeft" activeCell="A1" sqref="A1"/>
    </sheetView>
  </sheetViews>
  <sheetFormatPr baseColWidth="8" defaultRowHeight="14.4"/>
  <cols>
    <col width="22" customWidth="1" min="1" max="1"/>
    <col width="52" customWidth="1" min="2" max="2"/>
    <col width="16" customWidth="1" min="3" max="3"/>
    <col width="14" customWidth="1" min="4" max="4"/>
  </cols>
  <sheetData>
    <row r="1" ht="15.6" customHeight="1">
      <c r="A1" s="15" t="inlineStr">
        <is>
          <t>SCHEDA BULLONERIA — peso unitario e costo della minuteria/bulloneria commerciale (bulloni, dadi, rondelle)</t>
        </is>
      </c>
    </row>
    <row r="2">
      <c r="A2" s="22" t="inlineStr">
        <is>
          <t>Un rigo per codice. Peso unitario (kg) pre-compilato con valori nominali da tabelle standard (DIN 933/931 bulloni, DIN 985 dadi autobloccanti, DIN 125A rondelle) — da confermare/aggiornare a mano. Compilare il Costo (€/pz). Il LISTINO pesca da qui 'Peso elemento (kg)' e 'Prezzo unitario €' per questi codici.</t>
        </is>
      </c>
    </row>
    <row r="4" ht="15.6" customHeight="1">
      <c r="A4" s="15" t="inlineStr">
        <is>
          <t>BULLONERIA — peso unitario e costo (confermare Peso unitario, compilare Costo €/pz)</t>
        </is>
      </c>
    </row>
    <row r="5">
      <c r="A5" s="23" t="inlineStr">
        <is>
          <t>Codice</t>
        </is>
      </c>
      <c r="B5" s="23" t="inlineStr">
        <is>
          <t>Descrizione</t>
        </is>
      </c>
      <c r="C5" s="23" t="inlineStr">
        <is>
          <t>Peso unitario (kg)</t>
        </is>
      </c>
      <c r="D5" s="23" t="inlineStr">
        <is>
          <t>Costo (€/pz)</t>
        </is>
      </c>
    </row>
    <row r="6">
      <c r="A6" t="inlineStr">
        <is>
          <t>06TAP120X120</t>
        </is>
      </c>
      <c r="B6" t="inlineStr">
        <is>
          <t>Tappo profilato 120x120</t>
        </is>
      </c>
      <c r="C6" s="24" t="n"/>
      <c r="D6" s="25" t="n"/>
    </row>
    <row r="7">
      <c r="A7" t="inlineStr">
        <is>
          <t>10BZ10X30</t>
        </is>
      </c>
      <c r="B7" t="inlineStr">
        <is>
          <t>Bullone testa esagonale M10X30</t>
        </is>
      </c>
      <c r="C7" s="24" t="n">
        <v>0.0245</v>
      </c>
      <c r="D7" s="25" t="n"/>
    </row>
    <row r="8">
      <c r="A8" t="inlineStr">
        <is>
          <t>10BZ10X40</t>
        </is>
      </c>
      <c r="B8" t="inlineStr">
        <is>
          <t>Bullone testa esagonale zn M10X40</t>
        </is>
      </c>
      <c r="C8" s="24" t="n">
        <v>0.0305</v>
      </c>
      <c r="D8" s="25" t="n"/>
    </row>
    <row r="9">
      <c r="A9" t="inlineStr">
        <is>
          <t>10BZ16X140</t>
        </is>
      </c>
      <c r="B9" t="inlineStr">
        <is>
          <t>Bullone testa esagonale M16x140 mezzo filetto</t>
        </is>
      </c>
      <c r="C9" s="24" t="n">
        <v>0.21</v>
      </c>
      <c r="D9" s="25" t="n"/>
    </row>
    <row r="10">
      <c r="A10" t="inlineStr">
        <is>
          <t>10BZM10X160</t>
        </is>
      </c>
      <c r="B10" t="inlineStr">
        <is>
          <t>Bullone testa esagonale zn M10X160</t>
        </is>
      </c>
      <c r="C10" s="24" t="n">
        <v>0.095</v>
      </c>
      <c r="D10" s="25" t="n"/>
    </row>
    <row r="11">
      <c r="A11" t="inlineStr">
        <is>
          <t>10BZM10X30</t>
        </is>
      </c>
      <c r="B11" t="inlineStr">
        <is>
          <t>Bullone testa esagonale zn M10X30</t>
        </is>
      </c>
      <c r="C11" s="24" t="n">
        <v>0.0245</v>
      </c>
      <c r="D11" s="25" t="n"/>
    </row>
    <row r="12">
      <c r="A12" t="inlineStr">
        <is>
          <t>10BZM10X40</t>
        </is>
      </c>
      <c r="B12" t="inlineStr">
        <is>
          <t>Bullone testa esagonale M10X40</t>
        </is>
      </c>
      <c r="C12" s="24" t="n">
        <v>0.0305</v>
      </c>
      <c r="D12" s="25" t="n"/>
    </row>
    <row r="13">
      <c r="A13" t="inlineStr">
        <is>
          <t>10BZM16X25</t>
        </is>
      </c>
      <c r="B13" t="inlineStr">
        <is>
          <t>Bullone testa esagonale zn M16X25</t>
        </is>
      </c>
      <c r="C13" s="24" t="n">
        <v>0.052</v>
      </c>
      <c r="D13" s="25" t="n"/>
    </row>
    <row r="14">
      <c r="A14" t="inlineStr">
        <is>
          <t>10BZM16X60</t>
        </is>
      </c>
      <c r="B14" t="inlineStr">
        <is>
          <t>Bullone testa esagonale M16X60</t>
        </is>
      </c>
      <c r="C14" s="24" t="n">
        <v>0.11</v>
      </c>
      <c r="D14" s="25" t="n"/>
    </row>
    <row r="15">
      <c r="A15" t="inlineStr">
        <is>
          <t>10BZM5X20</t>
        </is>
      </c>
      <c r="B15" t="inlineStr">
        <is>
          <t>Bullone testa esagonale zn M5x20</t>
        </is>
      </c>
      <c r="C15" s="24" t="n">
        <v>0.0031</v>
      </c>
      <c r="D15" s="25" t="n"/>
    </row>
    <row r="16">
      <c r="A16" t="inlineStr">
        <is>
          <t>10BZM5X30</t>
        </is>
      </c>
      <c r="B16" t="inlineStr">
        <is>
          <t>Bullone testa esagonale zn M5x30</t>
        </is>
      </c>
      <c r="C16" s="24" t="n">
        <v>0.0042</v>
      </c>
      <c r="D16" s="25" t="n"/>
    </row>
    <row r="17">
      <c r="A17" t="inlineStr">
        <is>
          <t>10BZM6X150</t>
        </is>
      </c>
      <c r="B17" t="inlineStr">
        <is>
          <t>Bullone testa esagonale zn M6X150</t>
        </is>
      </c>
      <c r="C17" s="24" t="n">
        <v>0.026</v>
      </c>
      <c r="D17" s="25" t="n"/>
    </row>
    <row r="18">
      <c r="A18" t="inlineStr">
        <is>
          <t>10BZM6X20</t>
        </is>
      </c>
      <c r="B18" t="inlineStr">
        <is>
          <t>Bullone testa esagonale zn M6X20</t>
        </is>
      </c>
      <c r="C18" s="24" t="n">
        <v>0.0054</v>
      </c>
      <c r="D18" s="25" t="n"/>
    </row>
    <row r="19">
      <c r="A19" t="inlineStr">
        <is>
          <t>10BZM6X25</t>
        </is>
      </c>
      <c r="B19" t="inlineStr">
        <is>
          <t>Bullone testa esagonale zn M6X30</t>
        </is>
      </c>
      <c r="C19" s="24" t="n">
        <v>0.0062</v>
      </c>
      <c r="D19" s="25" t="n"/>
    </row>
    <row r="20">
      <c r="A20" t="inlineStr">
        <is>
          <t>10BZM6X30</t>
        </is>
      </c>
      <c r="B20" t="inlineStr">
        <is>
          <t>Bullone testa esagonale zn M6X30</t>
        </is>
      </c>
      <c r="C20" s="24" t="n">
        <v>0.007</v>
      </c>
      <c r="D20" s="25" t="n"/>
    </row>
    <row r="21">
      <c r="A21" t="inlineStr">
        <is>
          <t>10BZM8X150</t>
        </is>
      </c>
      <c r="B21" t="inlineStr">
        <is>
          <t>Bullone testa esagonale zn M8X150</t>
        </is>
      </c>
      <c r="C21" s="24" t="n">
        <v>0.049</v>
      </c>
      <c r="D21" s="25" t="n"/>
    </row>
    <row r="22">
      <c r="A22" t="inlineStr">
        <is>
          <t>10BZM8X20</t>
        </is>
      </c>
      <c r="B22" t="inlineStr">
        <is>
          <t>Bullone testa esagonale zn M8X20</t>
        </is>
      </c>
      <c r="C22" s="24" t="n">
        <v>0.0112</v>
      </c>
      <c r="D22" s="25" t="n"/>
    </row>
    <row r="23">
      <c r="A23" t="inlineStr">
        <is>
          <t>10BZM8X25</t>
        </is>
      </c>
      <c r="B23" t="inlineStr">
        <is>
          <t>Bullone testa esagonale zn M8X25</t>
        </is>
      </c>
      <c r="C23" s="24" t="n">
        <v>0.0129</v>
      </c>
      <c r="D23" s="25" t="n"/>
    </row>
    <row r="24">
      <c r="A24" t="inlineStr">
        <is>
          <t>10BZM8X30</t>
        </is>
      </c>
      <c r="B24" t="inlineStr">
        <is>
          <t>Bullone testa esagonale zn M8X30</t>
        </is>
      </c>
      <c r="C24" s="24" t="n">
        <v>0.0145</v>
      </c>
      <c r="D24" s="25" t="n"/>
    </row>
    <row r="25">
      <c r="A25" t="inlineStr">
        <is>
          <t>10DADAZM8</t>
        </is>
      </c>
      <c r="B25" t="inlineStr">
        <is>
          <t>Dado autobloccante M8 zn</t>
        </is>
      </c>
      <c r="C25" s="24" t="n">
        <v>0.0048</v>
      </c>
      <c r="D25" s="25" t="n"/>
    </row>
    <row r="26">
      <c r="A26" t="inlineStr">
        <is>
          <t>10DAZAM10</t>
        </is>
      </c>
      <c r="B26" t="inlineStr">
        <is>
          <t>Dado autobloccante M10</t>
        </is>
      </c>
      <c r="C26" s="24" t="n">
        <v>0.008999999999999999</v>
      </c>
      <c r="D26" s="25" t="n"/>
    </row>
    <row r="27">
      <c r="A27" t="inlineStr">
        <is>
          <t>10DAZAM16</t>
        </is>
      </c>
      <c r="B27" t="inlineStr">
        <is>
          <t>Dado autobloccante M16</t>
        </is>
      </c>
      <c r="C27" s="24" t="n">
        <v>0.036</v>
      </c>
      <c r="D27" s="25" t="n"/>
    </row>
    <row r="28">
      <c r="A28" t="inlineStr">
        <is>
          <t>10DAZAM5</t>
        </is>
      </c>
      <c r="B28" t="inlineStr">
        <is>
          <t>Dado zincato autobloc. M5</t>
        </is>
      </c>
      <c r="C28" s="24" t="n">
        <v>0.0011</v>
      </c>
      <c r="D28" s="25" t="n"/>
    </row>
    <row r="29">
      <c r="A29" t="inlineStr">
        <is>
          <t>10DAZAM6</t>
        </is>
      </c>
      <c r="B29" t="inlineStr">
        <is>
          <t>Dado autobloccante M6</t>
        </is>
      </c>
      <c r="C29" s="24" t="n">
        <v>0.0021</v>
      </c>
      <c r="D29" s="25" t="n"/>
    </row>
    <row r="30">
      <c r="A30" t="inlineStr">
        <is>
          <t>10DAZAM8</t>
        </is>
      </c>
      <c r="B30" t="inlineStr">
        <is>
          <t>Dado autobloccante M8</t>
        </is>
      </c>
      <c r="C30" s="24" t="n">
        <v>0.0048</v>
      </c>
      <c r="D30" s="25" t="n"/>
    </row>
    <row r="31">
      <c r="A31" t="inlineStr">
        <is>
          <t>10ROND10</t>
        </is>
      </c>
      <c r="B31" t="inlineStr">
        <is>
          <t>Rondella zn da 10</t>
        </is>
      </c>
      <c r="C31" s="24" t="n">
        <v>0.0039</v>
      </c>
      <c r="D31" s="25" t="n"/>
    </row>
    <row r="32">
      <c r="A32" t="inlineStr">
        <is>
          <t>10ROND16</t>
        </is>
      </c>
      <c r="B32" t="inlineStr">
        <is>
          <t>Rondella zn da 16</t>
        </is>
      </c>
      <c r="C32" s="24" t="n">
        <v>0.0135</v>
      </c>
      <c r="D32" s="25" t="n"/>
    </row>
    <row r="33">
      <c r="A33" t="inlineStr">
        <is>
          <t>10ROND5</t>
        </is>
      </c>
      <c r="B33" t="inlineStr">
        <is>
          <t>Rondella ZN da 5</t>
        </is>
      </c>
      <c r="C33" s="24" t="n">
        <v>0.0005</v>
      </c>
      <c r="D33" s="25" t="n"/>
    </row>
    <row r="34">
      <c r="A34" t="inlineStr">
        <is>
          <t>10ROND6</t>
        </is>
      </c>
      <c r="B34" t="inlineStr">
        <is>
          <t>Rondella zn 6</t>
        </is>
      </c>
      <c r="C34" s="24" t="n">
        <v>0.0011</v>
      </c>
      <c r="D34" s="25" t="n"/>
    </row>
    <row r="35">
      <c r="A35" t="inlineStr">
        <is>
          <t>10ROND8</t>
        </is>
      </c>
      <c r="B35" t="inlineStr">
        <is>
          <t>Rondella da 8 zn</t>
        </is>
      </c>
      <c r="C35" s="24" t="n">
        <v>0.0021</v>
      </c>
      <c r="D35" s="25" t="n"/>
    </row>
    <row r="36">
      <c r="A36" t="inlineStr">
        <is>
          <t>M5X30 8.8 ISO1207</t>
        </is>
      </c>
      <c r="B36" t="inlineStr">
        <is>
          <t>Bullone testa esagonale con intaglio M5x30</t>
        </is>
      </c>
      <c r="C36" s="24" t="n">
        <v>0.0042</v>
      </c>
      <c r="D36" s="25" t="n"/>
    </row>
    <row r="38" ht="15.6" customHeight="1"/>
    <row r="39" ht="27.6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C7" sqref="C7"/>
    </sheetView>
  </sheetViews>
  <sheetFormatPr baseColWidth="8" defaultRowHeight="14.4"/>
  <cols>
    <col width="30" customWidth="1" min="1" max="1"/>
    <col width="46" customWidth="1" min="2" max="2"/>
    <col width="16" customWidth="1" min="3" max="3"/>
    <col width="14" customWidth="1" min="4" max="4"/>
  </cols>
  <sheetData>
    <row r="1" ht="15.6" customHeight="1">
      <c r="A1" s="15" t="inlineStr">
        <is>
          <t>SCHEDA ELETTROMECCANICA — peso unitario e costo dei materiali elettromeccanici commerciali</t>
        </is>
      </c>
    </row>
    <row r="2">
      <c r="A2" s="22" t="inlineStr">
        <is>
          <t>Motoriduttore, cuscinetto asse, quadri/box, sensori e strumentazione. Articoli acquistati completi: compilare a mano 'Peso unitario (kg)' e 'Costo (€/pz)'. Il LISTINO pesca da qui 'Peso elemento (kg)' e 'Prezzo unitario €' per questi codici.</t>
        </is>
      </c>
    </row>
    <row r="4">
      <c r="A4" s="23" t="inlineStr">
        <is>
          <t>Codice</t>
        </is>
      </c>
      <c r="B4" s="23" t="inlineStr">
        <is>
          <t>Descrizione</t>
        </is>
      </c>
      <c r="C4" s="23" t="inlineStr">
        <is>
          <t>Peso unitario (kg)</t>
        </is>
      </c>
      <c r="D4" s="23" t="inlineStr">
        <is>
          <t>Costo (€/pz)</t>
        </is>
      </c>
    </row>
    <row r="5">
      <c r="A5" t="inlineStr">
        <is>
          <t>CHSD7-60-S112-24.15.300-L1.2</t>
        </is>
      </c>
      <c r="B5" t="inlineStr">
        <is>
          <t>Motoriduttore</t>
        </is>
      </c>
      <c r="C5" s="18" t="n">
        <v>50</v>
      </c>
      <c r="D5" s="27" t="n">
        <v>300</v>
      </c>
    </row>
    <row r="6">
      <c r="A6" t="inlineStr">
        <is>
          <t>ESQM_2_0_120_1</t>
        </is>
      </c>
      <c r="B6" t="inlineStr">
        <is>
          <t>Cuscinetto asse di rotazione</t>
        </is>
      </c>
      <c r="C6" s="18" t="n">
        <v>2</v>
      </c>
      <c r="D6" s="27" t="n">
        <v>13</v>
      </c>
    </row>
    <row r="7">
      <c r="A7" t="inlineStr">
        <is>
          <t>15T-JUNCTBOXIP65</t>
        </is>
      </c>
      <c r="B7" t="inlineStr">
        <is>
          <t>Box centralina meteo</t>
        </is>
      </c>
      <c r="C7" s="18" t="n"/>
      <c r="D7" s="27" t="n"/>
    </row>
    <row r="8">
      <c r="A8" t="inlineStr">
        <is>
          <t>B04601</t>
        </is>
      </c>
      <c r="B8" t="inlineStr">
        <is>
          <t>Quadro in vetroresina Pedro VTR 01</t>
        </is>
      </c>
      <c r="C8" s="18" t="n"/>
      <c r="D8" s="27" t="n"/>
    </row>
    <row r="9">
      <c r="A9" t="inlineStr">
        <is>
          <t>10S-FC</t>
        </is>
      </c>
      <c r="B9" t="inlineStr">
        <is>
          <t>Sensore fine corsa elettrico</t>
        </is>
      </c>
      <c r="C9" s="18" t="n"/>
      <c r="D9" s="27" t="n"/>
    </row>
    <row r="10">
      <c r="A10" t="inlineStr">
        <is>
          <t>15T-PIRANOMETRO</t>
        </is>
      </c>
      <c r="B10" t="inlineStr">
        <is>
          <t>Piranometro</t>
        </is>
      </c>
      <c r="C10" s="18" t="n"/>
      <c r="D10" s="27" t="n"/>
    </row>
    <row r="11">
      <c r="A11" t="inlineStr">
        <is>
          <t>15T-SENSVELVEN</t>
        </is>
      </c>
      <c r="B11" t="inlineStr">
        <is>
          <t>Anemometro</t>
        </is>
      </c>
      <c r="C11" s="18" t="n"/>
      <c r="D11" s="27" t="n"/>
    </row>
    <row r="12">
      <c r="A12" t="inlineStr">
        <is>
          <t>15T-TERMARIA</t>
        </is>
      </c>
      <c r="B12" t="inlineStr">
        <is>
          <t>Termometro Aria_ mSTA.l</t>
        </is>
      </c>
      <c r="C12" s="18" t="n"/>
      <c r="D12" s="27" t="n"/>
    </row>
    <row r="13">
      <c r="A13" t="inlineStr">
        <is>
          <t>15T-TERMCONTP10</t>
        </is>
      </c>
      <c r="B13" t="inlineStr">
        <is>
          <t>Termometro a contatto P100_STC-i</t>
        </is>
      </c>
      <c r="C13" s="18" t="n"/>
      <c r="D13" s="27" t="n"/>
    </row>
    <row r="14">
      <c r="A14" t="inlineStr">
        <is>
          <t>TK1024S</t>
        </is>
      </c>
      <c r="B14" t="inlineStr">
        <is>
          <t>Inclinometro</t>
        </is>
      </c>
      <c r="C14" s="18" t="n"/>
      <c r="D14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4" topLeftCell="A77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STRUTTURA'!$A$17:$E$417,5,FALSE),"")</f>
        <v/>
      </c>
      <c r="G5" s="5">
        <f>IF($B5="","",IF(ISNUMBER(MATCH($B5,'SCHEDA STRUTTURA'!$A$17:$A$147,0)),IFERROR(VLOOKUP($B5,'SCHEDA STRUTTURA'!$A$17:$G$147,6,FALSE)*1,0)+IFERROR(VLOOKUP($B5,'SCHEDA STRUTTURA'!$A$17:$G$147,7,FALSE)*1,0),IF(ISNUMBER(MATCH($B5,'SCHEDA PEZZI SPECIALI'!$A$38:$A$59,0)),IFERROR(VLOOKUP($B5,'SCHEDA PEZZI SPECIALI'!$A$38:$F$59,5,FALSE)*1,0)+IFERROR(VLOOKUP($B5,'SCHEDA PEZZI SPECIALI'!$A$38:$F$59,6,FALSE)*1,0),IF(ISNUMBER(MATCH($B5,'SCHEDA ELETTROMECCANICA'!$A$5:$A$14,0)),IFERROR(VLOOKUP($B5,'SCHEDA ELETTROMECCANICA'!$A$5:$D$14,4,FALSE)*1,0),IF(ISNUMBER(MATCH($B5,'SCHEDA BULLONERIA'!$A$6:$A$36,0)),IFERROR(VLOOKUP($B5,'SCHEDA BULLONERIA'!$A$6:$D$36,4,FALSE)*1,0),"")))))</f>
        <v/>
      </c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STRUTTURA'!$A$17:$E$417,5,FALSE),"")</f>
        <v/>
      </c>
      <c r="G6" s="5">
        <f>IF($B6="","",IF(ISNUMBER(MATCH($B6,'SCHEDA STRUTTURA'!$A$17:$A$147,0)),IFERROR(VLOOKUP($B6,'SCHEDA STRUTTURA'!$A$17:$G$147,6,FALSE)*1,0)+IFERROR(VLOOKUP($B6,'SCHEDA STRUTTURA'!$A$17:$G$147,7,FALSE)*1,0),IF(ISNUMBER(MATCH($B6,'SCHEDA PEZZI SPECIALI'!$A$38:$A$59,0)),IFERROR(VLOOKUP($B6,'SCHEDA PEZZI SPECIALI'!$A$38:$F$59,5,FALSE)*1,0)+IFERROR(VLOOKUP($B6,'SCHEDA PEZZI SPECIALI'!$A$38:$F$59,6,FALSE)*1,0),IF(ISNUMBER(MATCH($B6,'SCHEDA ELETTROMECCANICA'!$A$5:$A$14,0)),IFERROR(VLOOKUP($B6,'SCHEDA ELETTROMECCANICA'!$A$5:$D$14,4,FALSE)*1,0),IF(ISNUMBER(MATCH($B6,'SCHEDA BULLONERIA'!$A$6:$A$36,0)),IFERROR(VLOOKUP($B6,'SCHEDA BULLONERIA'!$A$6:$D$36,4,FALSE)*1,0),"")))))</f>
        <v/>
      </c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STRUTTURA'!$A$17:$E$417,5,FALSE),"")</f>
        <v/>
      </c>
      <c r="G7" s="5">
        <f>IF($B7="","",IF(ISNUMBER(MATCH($B7,'SCHEDA STRUTTURA'!$A$17:$A$147,0)),IFERROR(VLOOKUP($B7,'SCHEDA STRUTTURA'!$A$17:$G$147,6,FALSE)*1,0)+IFERROR(VLOOKUP($B7,'SCHEDA STRUTTURA'!$A$17:$G$147,7,FALSE)*1,0),IF(ISNUMBER(MATCH($B7,'SCHEDA PEZZI SPECIALI'!$A$38:$A$59,0)),IFERROR(VLOOKUP($B7,'SCHEDA PEZZI SPECIALI'!$A$38:$F$59,5,FALSE)*1,0)+IFERROR(VLOOKUP($B7,'SCHEDA PEZZI SPECIALI'!$A$38:$F$59,6,FALSE)*1,0),IF(ISNUMBER(MATCH($B7,'SCHEDA ELETTROMECCANICA'!$A$5:$A$14,0)),IFERROR(VLOOKUP($B7,'SCHEDA ELETTROMECCANICA'!$A$5:$D$14,4,FALSE)*1,0),IF(ISNUMBER(MATCH($B7,'SCHEDA BULLONERIA'!$A$6:$A$36,0)),IFERROR(VLOOKUP($B7,'SCHEDA BULLONERIA'!$A$6:$D$36,4,FALSE)*1,0),"")))))</f>
        <v/>
      </c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STRUTTURA'!$A$17:$E$417,5,FALSE),"")</f>
        <v/>
      </c>
      <c r="G8" s="5">
        <f>IF($B8="","",IF(ISNUMBER(MATCH($B8,'SCHEDA STRUTTURA'!$A$17:$A$147,0)),IFERROR(VLOOKUP($B8,'SCHEDA STRUTTURA'!$A$17:$G$147,6,FALSE)*1,0)+IFERROR(VLOOKUP($B8,'SCHEDA STRUTTURA'!$A$17:$G$147,7,FALSE)*1,0),IF(ISNUMBER(MATCH($B8,'SCHEDA PEZZI SPECIALI'!$A$38:$A$59,0)),IFERROR(VLOOKUP($B8,'SCHEDA PEZZI SPECIALI'!$A$38:$F$59,5,FALSE)*1,0)+IFERROR(VLOOKUP($B8,'SCHEDA PEZZI SPECIALI'!$A$38:$F$59,6,FALSE)*1,0),IF(ISNUMBER(MATCH($B8,'SCHEDA ELETTROMECCANICA'!$A$5:$A$14,0)),IFERROR(VLOOKUP($B8,'SCHEDA ELETTROMECCANICA'!$A$5:$D$14,4,FALSE)*1,0),IF(ISNUMBER(MATCH($B8,'SCHEDA BULLONERIA'!$A$6:$A$36,0)),IFERROR(VLOOKUP($B8,'SCHEDA BULLONERIA'!$A$6:$D$36,4,FALSE)*1,0),"")))))</f>
        <v/>
      </c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STRUTTURA'!$A$17:$E$417,5,FALSE),"")</f>
        <v/>
      </c>
      <c r="G9" s="5">
        <f>IF($B9="","",IF(ISNUMBER(MATCH($B9,'SCHEDA STRUTTURA'!$A$17:$A$147,0)),IFERROR(VLOOKUP($B9,'SCHEDA STRUTTURA'!$A$17:$G$147,6,FALSE)*1,0)+IFERROR(VLOOKUP($B9,'SCHEDA STRUTTURA'!$A$17:$G$147,7,FALSE)*1,0),IF(ISNUMBER(MATCH($B9,'SCHEDA PEZZI SPECIALI'!$A$38:$A$59,0)),IFERROR(VLOOKUP($B9,'SCHEDA PEZZI SPECIALI'!$A$38:$F$59,5,FALSE)*1,0)+IFERROR(VLOOKUP($B9,'SCHEDA PEZZI SPECIALI'!$A$38:$F$59,6,FALSE)*1,0),IF(ISNUMBER(MATCH($B9,'SCHEDA ELETTROMECCANICA'!$A$5:$A$14,0)),IFERROR(VLOOKUP($B9,'SCHEDA ELETTROMECCANICA'!$A$5:$D$14,4,FALSE)*1,0),IF(ISNUMBER(MATCH($B9,'SCHEDA BULLONERIA'!$A$6:$A$36,0)),IFERROR(VLOOKUP($B9,'SCHEDA BULLONERIA'!$A$6:$D$36,4,FALSE)*1,0),"")))))</f>
        <v/>
      </c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STRUTTURA'!$A$17:$E$417,5,FALSE),"")</f>
        <v/>
      </c>
      <c r="G10" s="5">
        <f>IF($B10="","",IF(ISNUMBER(MATCH($B10,'SCHEDA STRUTTURA'!$A$17:$A$147,0)),IFERROR(VLOOKUP($B10,'SCHEDA STRUTTURA'!$A$17:$G$147,6,FALSE)*1,0)+IFERROR(VLOOKUP($B10,'SCHEDA STRUTTURA'!$A$17:$G$147,7,FALSE)*1,0),IF(ISNUMBER(MATCH($B10,'SCHEDA PEZZI SPECIALI'!$A$38:$A$59,0)),IFERROR(VLOOKUP($B10,'SCHEDA PEZZI SPECIALI'!$A$38:$F$59,5,FALSE)*1,0)+IFERROR(VLOOKUP($B10,'SCHEDA PEZZI SPECIALI'!$A$38:$F$59,6,FALSE)*1,0),IF(ISNUMBER(MATCH($B10,'SCHEDA ELETTROMECCANICA'!$A$5:$A$14,0)),IFERROR(VLOOKUP($B10,'SCHEDA ELETTROMECCANICA'!$A$5:$D$14,4,FALSE)*1,0),IF(ISNUMBER(MATCH($B10,'SCHEDA BULLONERIA'!$A$6:$A$36,0)),IFERROR(VLOOKUP($B10,'SCHEDA BULLONERIA'!$A$6:$D$36,4,FALSE)*1,0),"")))))</f>
        <v/>
      </c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STRUTTURA'!$A$17:$E$417,5,FALSE),"")</f>
        <v/>
      </c>
      <c r="G11" s="5">
        <f>IF($B11="","",IF(ISNUMBER(MATCH($B11,'SCHEDA STRUTTURA'!$A$17:$A$147,0)),IFERROR(VLOOKUP($B11,'SCHEDA STRUTTURA'!$A$17:$G$147,6,FALSE)*1,0)+IFERROR(VLOOKUP($B11,'SCHEDA STRUTTURA'!$A$17:$G$147,7,FALSE)*1,0),IF(ISNUMBER(MATCH($B11,'SCHEDA PEZZI SPECIALI'!$A$38:$A$59,0)),IFERROR(VLOOKUP($B11,'SCHEDA PEZZI SPECIALI'!$A$38:$F$59,5,FALSE)*1,0)+IFERROR(VLOOKUP($B11,'SCHEDA PEZZI SPECIALI'!$A$38:$F$59,6,FALSE)*1,0),IF(ISNUMBER(MATCH($B11,'SCHEDA ELETTROMECCANICA'!$A$5:$A$14,0)),IFERROR(VLOOKUP($B11,'SCHEDA ELETTROMECCANICA'!$A$5:$D$14,4,FALSE)*1,0),IF(ISNUMBER(MATCH($B11,'SCHEDA BULLONERIA'!$A$6:$A$36,0)),IFERROR(VLOOKUP($B11,'SCHEDA BULLONERIA'!$A$6:$D$36,4,FALSE)*1,0),"")))))</f>
        <v/>
      </c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STRUTTURA'!$A$17:$E$417,5,FALSE),"")</f>
        <v/>
      </c>
      <c r="G12" s="5">
        <f>IF($B12="","",IF(ISNUMBER(MATCH($B12,'SCHEDA STRUTTURA'!$A$17:$A$147,0)),IFERROR(VLOOKUP($B12,'SCHEDA STRUTTURA'!$A$17:$G$147,6,FALSE)*1,0)+IFERROR(VLOOKUP($B12,'SCHEDA STRUTTURA'!$A$17:$G$147,7,FALSE)*1,0),IF(ISNUMBER(MATCH($B12,'SCHEDA PEZZI SPECIALI'!$A$38:$A$59,0)),IFERROR(VLOOKUP($B12,'SCHEDA PEZZI SPECIALI'!$A$38:$F$59,5,FALSE)*1,0)+IFERROR(VLOOKUP($B12,'SCHEDA PEZZI SPECIALI'!$A$38:$F$59,6,FALSE)*1,0),IF(ISNUMBER(MATCH($B12,'SCHEDA ELETTROMECCANICA'!$A$5:$A$14,0)),IFERROR(VLOOKUP($B12,'SCHEDA ELETTROMECCANICA'!$A$5:$D$14,4,FALSE)*1,0),IF(ISNUMBER(MATCH($B12,'SCHEDA BULLONERIA'!$A$6:$A$36,0)),IFERROR(VLOOKUP($B12,'SCHEDA BULLONERIA'!$A$6:$D$36,4,FALSE)*1,0),"")))))</f>
        <v/>
      </c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STRUTTURA'!$A$17:$E$417,5,FALSE),"")</f>
        <v/>
      </c>
      <c r="G13" s="5">
        <f>IF($B13="","",IF(ISNUMBER(MATCH($B13,'SCHEDA STRUTTURA'!$A$17:$A$147,0)),IFERROR(VLOOKUP($B13,'SCHEDA STRUTTURA'!$A$17:$G$147,6,FALSE)*1,0)+IFERROR(VLOOKUP($B13,'SCHEDA STRUTTURA'!$A$17:$G$147,7,FALSE)*1,0),IF(ISNUMBER(MATCH($B13,'SCHEDA PEZZI SPECIALI'!$A$38:$A$59,0)),IFERROR(VLOOKUP($B13,'SCHEDA PEZZI SPECIALI'!$A$38:$F$59,5,FALSE)*1,0)+IFERROR(VLOOKUP($B13,'SCHEDA PEZZI SPECIALI'!$A$38:$F$59,6,FALSE)*1,0),IF(ISNUMBER(MATCH($B13,'SCHEDA ELETTROMECCANICA'!$A$5:$A$14,0)),IFERROR(VLOOKUP($B13,'SCHEDA ELETTROMECCANICA'!$A$5:$D$14,4,FALSE)*1,0),IF(ISNUMBER(MATCH($B13,'SCHEDA BULLONERIA'!$A$6:$A$36,0)),IFERROR(VLOOKUP($B13,'SCHEDA BULLONERIA'!$A$6:$D$36,4,FALSE)*1,0),"")))))</f>
        <v/>
      </c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STRUTTURA'!$A$17:$E$417,5,FALSE),"")</f>
        <v/>
      </c>
      <c r="G14" s="5">
        <f>IF($B14="","",IF(ISNUMBER(MATCH($B14,'SCHEDA STRUTTURA'!$A$17:$A$147,0)),IFERROR(VLOOKUP($B14,'SCHEDA STRUTTURA'!$A$17:$G$147,6,FALSE)*1,0)+IFERROR(VLOOKUP($B14,'SCHEDA STRUTTURA'!$A$17:$G$147,7,FALSE)*1,0),IF(ISNUMBER(MATCH($B14,'SCHEDA PEZZI SPECIALI'!$A$38:$A$59,0)),IFERROR(VLOOKUP($B14,'SCHEDA PEZZI SPECIALI'!$A$38:$F$59,5,FALSE)*1,0)+IFERROR(VLOOKUP($B14,'SCHEDA PEZZI SPECIALI'!$A$38:$F$59,6,FALSE)*1,0),IF(ISNUMBER(MATCH($B14,'SCHEDA ELETTROMECCANICA'!$A$5:$A$14,0)),IFERROR(VLOOKUP($B14,'SCHEDA ELETTROMECCANICA'!$A$5:$D$14,4,FALSE)*1,0),IF(ISNUMBER(MATCH($B14,'SCHEDA BULLONERIA'!$A$6:$A$36,0)),IFERROR(VLOOKUP($B14,'SCHEDA BULLONERIA'!$A$6:$D$36,4,FALSE)*1,0),"")))))</f>
        <v/>
      </c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STRUTTURA'!$A$17:$E$417,5,FALSE),"")</f>
        <v/>
      </c>
      <c r="G15" s="5">
        <f>IF($B15="","",IF(ISNUMBER(MATCH($B15,'SCHEDA STRUTTURA'!$A$17:$A$147,0)),IFERROR(VLOOKUP($B15,'SCHEDA STRUTTURA'!$A$17:$G$147,6,FALSE)*1,0)+IFERROR(VLOOKUP($B15,'SCHEDA STRUTTURA'!$A$17:$G$147,7,FALSE)*1,0),IF(ISNUMBER(MATCH($B15,'SCHEDA PEZZI SPECIALI'!$A$38:$A$59,0)),IFERROR(VLOOKUP($B15,'SCHEDA PEZZI SPECIALI'!$A$38:$F$59,5,FALSE)*1,0)+IFERROR(VLOOKUP($B15,'SCHEDA PEZZI SPECIALI'!$A$38:$F$59,6,FALSE)*1,0),IF(ISNUMBER(MATCH($B15,'SCHEDA ELETTROMECCANICA'!$A$5:$A$14,0)),IFERROR(VLOOKUP($B15,'SCHEDA ELETTROMECCANICA'!$A$5:$D$14,4,FALSE)*1,0),IF(ISNUMBER(MATCH($B15,'SCHEDA BULLONERIA'!$A$6:$A$36,0)),IFERROR(VLOOKUP($B15,'SCHEDA BULLONERIA'!$A$6:$D$36,4,FALSE)*1,0),"")))))</f>
        <v/>
      </c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STRUTTURA'!$A$17:$E$417,5,FALSE),"")</f>
        <v/>
      </c>
      <c r="G16" s="5">
        <f>IF($B16="","",IF(ISNUMBER(MATCH($B16,'SCHEDA STRUTTURA'!$A$17:$A$147,0)),IFERROR(VLOOKUP($B16,'SCHEDA STRUTTURA'!$A$17:$G$147,6,FALSE)*1,0)+IFERROR(VLOOKUP($B16,'SCHEDA STRUTTURA'!$A$17:$G$147,7,FALSE)*1,0),IF(ISNUMBER(MATCH($B16,'SCHEDA PEZZI SPECIALI'!$A$38:$A$59,0)),IFERROR(VLOOKUP($B16,'SCHEDA PEZZI SPECIALI'!$A$38:$F$59,5,FALSE)*1,0)+IFERROR(VLOOKUP($B16,'SCHEDA PEZZI SPECIALI'!$A$38:$F$59,6,FALSE)*1,0),IF(ISNUMBER(MATCH($B16,'SCHEDA ELETTROMECCANICA'!$A$5:$A$14,0)),IFERROR(VLOOKUP($B16,'SCHEDA ELETTROMECCANICA'!$A$5:$D$14,4,FALSE)*1,0),IF(ISNUMBER(MATCH($B16,'SCHEDA BULLONERIA'!$A$6:$A$36,0)),IFERROR(VLOOKUP($B16,'SCHEDA BULLONERIA'!$A$6:$D$36,4,FALSE)*1,0),"")))))</f>
        <v/>
      </c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STRUTTURA'!$A$17:$E$417,5,FALSE),"")</f>
        <v/>
      </c>
      <c r="G17" s="5">
        <f>IF($B17="","",IF(ISNUMBER(MATCH($B17,'SCHEDA STRUTTURA'!$A$17:$A$147,0)),IFERROR(VLOOKUP($B17,'SCHEDA STRUTTURA'!$A$17:$G$147,6,FALSE)*1,0)+IFERROR(VLOOKUP($B17,'SCHEDA STRUTTURA'!$A$17:$G$147,7,FALSE)*1,0),IF(ISNUMBER(MATCH($B17,'SCHEDA PEZZI SPECIALI'!$A$38:$A$59,0)),IFERROR(VLOOKUP($B17,'SCHEDA PEZZI SPECIALI'!$A$38:$F$59,5,FALSE)*1,0)+IFERROR(VLOOKUP($B17,'SCHEDA PEZZI SPECIALI'!$A$38:$F$59,6,FALSE)*1,0),IF(ISNUMBER(MATCH($B17,'SCHEDA ELETTROMECCANICA'!$A$5:$A$14,0)),IFERROR(VLOOKUP($B17,'SCHEDA ELETTROMECCANICA'!$A$5:$D$14,4,FALSE)*1,0),IF(ISNUMBER(MATCH($B17,'SCHEDA BULLONERIA'!$A$6:$A$36,0)),IFERROR(VLOOKUP($B17,'SCHEDA BULLONERIA'!$A$6:$D$36,4,FALSE)*1,0),"")))))</f>
        <v/>
      </c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STRUTTURA'!$A$17:$E$417,5,FALSE),"")</f>
        <v/>
      </c>
      <c r="G18" s="5">
        <f>IF($B18="","",IF(ISNUMBER(MATCH($B18,'SCHEDA STRUTTURA'!$A$17:$A$147,0)),IFERROR(VLOOKUP($B18,'SCHEDA STRUTTURA'!$A$17:$G$147,6,FALSE)*1,0)+IFERROR(VLOOKUP($B18,'SCHEDA STRUTTURA'!$A$17:$G$147,7,FALSE)*1,0),IF(ISNUMBER(MATCH($B18,'SCHEDA PEZZI SPECIALI'!$A$38:$A$59,0)),IFERROR(VLOOKUP($B18,'SCHEDA PEZZI SPECIALI'!$A$38:$F$59,5,FALSE)*1,0)+IFERROR(VLOOKUP($B18,'SCHEDA PEZZI SPECIALI'!$A$38:$F$59,6,FALSE)*1,0),IF(ISNUMBER(MATCH($B18,'SCHEDA ELETTROMECCANICA'!$A$5:$A$14,0)),IFERROR(VLOOKUP($B18,'SCHEDA ELETTROMECCANICA'!$A$5:$D$14,4,FALSE)*1,0),IF(ISNUMBER(MATCH($B18,'SCHEDA BULLONERIA'!$A$6:$A$36,0)),IFERROR(VLOOKUP($B18,'SCHEDA BULLONERIA'!$A$6:$D$36,4,FALSE)*1,0),"")))))</f>
        <v/>
      </c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STRUTTURA'!$A$17:$E$417,5,FALSE),"")</f>
        <v/>
      </c>
      <c r="G19" s="5">
        <f>IF($B19="","",IF(ISNUMBER(MATCH($B19,'SCHEDA STRUTTURA'!$A$17:$A$147,0)),IFERROR(VLOOKUP($B19,'SCHEDA STRUTTURA'!$A$17:$G$147,6,FALSE)*1,0)+IFERROR(VLOOKUP($B19,'SCHEDA STRUTTURA'!$A$17:$G$147,7,FALSE)*1,0),IF(ISNUMBER(MATCH($B19,'SCHEDA PEZZI SPECIALI'!$A$38:$A$59,0)),IFERROR(VLOOKUP($B19,'SCHEDA PEZZI SPECIALI'!$A$38:$F$59,5,FALSE)*1,0)+IFERROR(VLOOKUP($B19,'SCHEDA PEZZI SPECIALI'!$A$38:$F$59,6,FALSE)*1,0),IF(ISNUMBER(MATCH($B19,'SCHEDA ELETTROMECCANICA'!$A$5:$A$14,0)),IFERROR(VLOOKUP($B19,'SCHEDA ELETTROMECCANICA'!$A$5:$D$14,4,FALSE)*1,0),IF(ISNUMBER(MATCH($B19,'SCHEDA BULLONERIA'!$A$6:$A$36,0)),IFERROR(VLOOKUP($B19,'SCHEDA BULLONERIA'!$A$6:$D$36,4,FALSE)*1,0),"")))))</f>
        <v/>
      </c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STRUTTURA'!$A$17:$E$417,5,FALSE),"")</f>
        <v/>
      </c>
      <c r="G20" s="5">
        <f>IF($B20="","",IF(ISNUMBER(MATCH($B20,'SCHEDA STRUTTURA'!$A$17:$A$147,0)),IFERROR(VLOOKUP($B20,'SCHEDA STRUTTURA'!$A$17:$G$147,6,FALSE)*1,0)+IFERROR(VLOOKUP($B20,'SCHEDA STRUTTURA'!$A$17:$G$147,7,FALSE)*1,0),IF(ISNUMBER(MATCH($B20,'SCHEDA PEZZI SPECIALI'!$A$38:$A$59,0)),IFERROR(VLOOKUP($B20,'SCHEDA PEZZI SPECIALI'!$A$38:$F$59,5,FALSE)*1,0)+IFERROR(VLOOKUP($B20,'SCHEDA PEZZI SPECIALI'!$A$38:$F$59,6,FALSE)*1,0),IF(ISNUMBER(MATCH($B20,'SCHEDA ELETTROMECCANICA'!$A$5:$A$14,0)),IFERROR(VLOOKUP($B20,'SCHEDA ELETTROMECCANICA'!$A$5:$D$14,4,FALSE)*1,0),IF(ISNUMBER(MATCH($B20,'SCHEDA BULLONERIA'!$A$6:$A$36,0)),IFERROR(VLOOKUP($B20,'SCHEDA BULLONERIA'!$A$6:$D$36,4,FALSE)*1,0),"")))))</f>
        <v/>
      </c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STRUTTURA'!$A$17:$E$417,5,FALSE),"")</f>
        <v/>
      </c>
      <c r="G21" s="5">
        <f>IF($B21="","",IF(ISNUMBER(MATCH($B21,'SCHEDA STRUTTURA'!$A$17:$A$147,0)),IFERROR(VLOOKUP($B21,'SCHEDA STRUTTURA'!$A$17:$G$147,6,FALSE)*1,0)+IFERROR(VLOOKUP($B21,'SCHEDA STRUTTURA'!$A$17:$G$147,7,FALSE)*1,0),IF(ISNUMBER(MATCH($B21,'SCHEDA PEZZI SPECIALI'!$A$38:$A$59,0)),IFERROR(VLOOKUP($B21,'SCHEDA PEZZI SPECIALI'!$A$38:$F$59,5,FALSE)*1,0)+IFERROR(VLOOKUP($B21,'SCHEDA PEZZI SPECIALI'!$A$38:$F$59,6,FALSE)*1,0),IF(ISNUMBER(MATCH($B21,'SCHEDA ELETTROMECCANICA'!$A$5:$A$14,0)),IFERROR(VLOOKUP($B21,'SCHEDA ELETTROMECCANICA'!$A$5:$D$14,4,FALSE)*1,0),IF(ISNUMBER(MATCH($B21,'SCHEDA BULLONERIA'!$A$6:$A$36,0)),IFERROR(VLOOKUP($B21,'SCHEDA BULLONERIA'!$A$6:$D$36,4,FALSE)*1,0),"")))))</f>
        <v/>
      </c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STRUTTURA'!$A$17:$E$417,5,FALSE),"")</f>
        <v/>
      </c>
      <c r="G22" s="5">
        <f>IF($B22="","",IF(ISNUMBER(MATCH($B22,'SCHEDA STRUTTURA'!$A$17:$A$147,0)),IFERROR(VLOOKUP($B22,'SCHEDA STRUTTURA'!$A$17:$G$147,6,FALSE)*1,0)+IFERROR(VLOOKUP($B22,'SCHEDA STRUTTURA'!$A$17:$G$147,7,FALSE)*1,0),IF(ISNUMBER(MATCH($B22,'SCHEDA PEZZI SPECIALI'!$A$38:$A$59,0)),IFERROR(VLOOKUP($B22,'SCHEDA PEZZI SPECIALI'!$A$38:$F$59,5,FALSE)*1,0)+IFERROR(VLOOKUP($B22,'SCHEDA PEZZI SPECIALI'!$A$38:$F$59,6,FALSE)*1,0),IF(ISNUMBER(MATCH($B22,'SCHEDA ELETTROMECCANICA'!$A$5:$A$14,0)),IFERROR(VLOOKUP($B22,'SCHEDA ELETTROMECCANICA'!$A$5:$D$14,4,FALSE)*1,0),IF(ISNUMBER(MATCH($B22,'SCHEDA BULLONERIA'!$A$6:$A$36,0)),IFERROR(VLOOKUP($B22,'SCHEDA BULLONERIA'!$A$6:$D$36,4,FALSE)*1,0),"")))))</f>
        <v/>
      </c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STRUTTURA'!$A$17:$E$417,5,FALSE),"")</f>
        <v/>
      </c>
      <c r="G23" s="5">
        <f>IF($B23="","",IF(ISNUMBER(MATCH($B23,'SCHEDA STRUTTURA'!$A$17:$A$147,0)),IFERROR(VLOOKUP($B23,'SCHEDA STRUTTURA'!$A$17:$G$147,6,FALSE)*1,0)+IFERROR(VLOOKUP($B23,'SCHEDA STRUTTURA'!$A$17:$G$147,7,FALSE)*1,0),IF(ISNUMBER(MATCH($B23,'SCHEDA PEZZI SPECIALI'!$A$38:$A$59,0)),IFERROR(VLOOKUP($B23,'SCHEDA PEZZI SPECIALI'!$A$38:$F$59,5,FALSE)*1,0)+IFERROR(VLOOKUP($B23,'SCHEDA PEZZI SPECIALI'!$A$38:$F$59,6,FALSE)*1,0),IF(ISNUMBER(MATCH($B23,'SCHEDA ELETTROMECCANICA'!$A$5:$A$14,0)),IFERROR(VLOOKUP($B23,'SCHEDA ELETTROMECCANICA'!$A$5:$D$14,4,FALSE)*1,0),IF(ISNUMBER(MATCH($B23,'SCHEDA BULLONERIA'!$A$6:$A$36,0)),IFERROR(VLOOKUP($B23,'SCHEDA BULLONERIA'!$A$6:$D$36,4,FALSE)*1,0),"")))))</f>
        <v/>
      </c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STRUTTURA'!$A$17:$E$417,5,FALSE),"")</f>
        <v/>
      </c>
      <c r="G24" s="5">
        <f>IF($B24="","",IF(ISNUMBER(MATCH($B24,'SCHEDA STRUTTURA'!$A$17:$A$147,0)),IFERROR(VLOOKUP($B24,'SCHEDA STRUTTURA'!$A$17:$G$147,6,FALSE)*1,0)+IFERROR(VLOOKUP($B24,'SCHEDA STRUTTURA'!$A$17:$G$147,7,FALSE)*1,0),IF(ISNUMBER(MATCH($B24,'SCHEDA PEZZI SPECIALI'!$A$38:$A$59,0)),IFERROR(VLOOKUP($B24,'SCHEDA PEZZI SPECIALI'!$A$38:$F$59,5,FALSE)*1,0)+IFERROR(VLOOKUP($B24,'SCHEDA PEZZI SPECIALI'!$A$38:$F$59,6,FALSE)*1,0),IF(ISNUMBER(MATCH($B24,'SCHEDA ELETTROMECCANICA'!$A$5:$A$14,0)),IFERROR(VLOOKUP($B24,'SCHEDA ELETTROMECCANICA'!$A$5:$D$14,4,FALSE)*1,0),IF(ISNUMBER(MATCH($B24,'SCHEDA BULLONERIA'!$A$6:$A$36,0)),IFERROR(VLOOKUP($B24,'SCHEDA BULLONERIA'!$A$6:$D$36,4,FALSE)*1,0),"")))))</f>
        <v/>
      </c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STRUTTURA'!$A$17:$E$417,5,FALSE),"")</f>
        <v/>
      </c>
      <c r="G25" s="5">
        <f>IF($B25="","",IF(ISNUMBER(MATCH($B25,'SCHEDA STRUTTURA'!$A$17:$A$147,0)),IFERROR(VLOOKUP($B25,'SCHEDA STRUTTURA'!$A$17:$G$147,6,FALSE)*1,0)+IFERROR(VLOOKUP($B25,'SCHEDA STRUTTURA'!$A$17:$G$147,7,FALSE)*1,0),IF(ISNUMBER(MATCH($B25,'SCHEDA PEZZI SPECIALI'!$A$38:$A$59,0)),IFERROR(VLOOKUP($B25,'SCHEDA PEZZI SPECIALI'!$A$38:$F$59,5,FALSE)*1,0)+IFERROR(VLOOKUP($B25,'SCHEDA PEZZI SPECIALI'!$A$38:$F$59,6,FALSE)*1,0),IF(ISNUMBER(MATCH($B25,'SCHEDA ELETTROMECCANICA'!$A$5:$A$14,0)),IFERROR(VLOOKUP($B25,'SCHEDA ELETTROMECCANICA'!$A$5:$D$14,4,FALSE)*1,0),IF(ISNUMBER(MATCH($B25,'SCHEDA BULLONERIA'!$A$6:$A$36,0)),IFERROR(VLOOKUP($B25,'SCHEDA BULLONERIA'!$A$6:$D$36,4,FALSE)*1,0),"")))))</f>
        <v/>
      </c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STRUTTURA'!$A$17:$E$417,5,FALSE),"")</f>
        <v/>
      </c>
      <c r="G26" s="5">
        <f>IF($B26="","",IF(ISNUMBER(MATCH($B26,'SCHEDA STRUTTURA'!$A$17:$A$147,0)),IFERROR(VLOOKUP($B26,'SCHEDA STRUTTURA'!$A$17:$G$147,6,FALSE)*1,0)+IFERROR(VLOOKUP($B26,'SCHEDA STRUTTURA'!$A$17:$G$147,7,FALSE)*1,0),IF(ISNUMBER(MATCH($B26,'SCHEDA PEZZI SPECIALI'!$A$38:$A$59,0)),IFERROR(VLOOKUP($B26,'SCHEDA PEZZI SPECIALI'!$A$38:$F$59,5,FALSE)*1,0)+IFERROR(VLOOKUP($B26,'SCHEDA PEZZI SPECIALI'!$A$38:$F$59,6,FALSE)*1,0),IF(ISNUMBER(MATCH($B26,'SCHEDA ELETTROMECCANICA'!$A$5:$A$14,0)),IFERROR(VLOOKUP($B26,'SCHEDA ELETTROMECCANICA'!$A$5:$D$14,4,FALSE)*1,0),IF(ISNUMBER(MATCH($B26,'SCHEDA BULLONERIA'!$A$6:$A$36,0)),IFERROR(VLOOKUP($B26,'SCHEDA BULLONERIA'!$A$6:$D$36,4,FALSE)*1,0),"")))))</f>
        <v/>
      </c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TTS.AR.2011</t>
        </is>
      </c>
      <c r="C27" s="4" t="inlineStr">
        <is>
          <t>Gaffa giunzione asse</t>
        </is>
      </c>
      <c r="D27" s="4" t="inlineStr">
        <is>
          <t>Carpenteria metallica</t>
        </is>
      </c>
      <c r="E27" s="11" t="inlineStr">
        <is>
          <t>pz</t>
        </is>
      </c>
      <c r="F27" s="9">
        <f>IFERROR(VLOOKUP($B27,'SCHEDA STRUTTURA'!$A$16:$E$416,5,FALSE),"")</f>
        <v/>
      </c>
      <c r="G27" s="5">
        <f>IF($B27="","",IF(ISNUMBER(MATCH($B27,'SCHEDA STRUTTURA'!$A$17:$A$147,0)),IFERROR(VLOOKUP($B27,'SCHEDA STRUTTURA'!$A$17:$G$147,6,FALSE)*1,0)+IFERROR(VLOOKUP($B27,'SCHEDA STRUTTURA'!$A$17:$G$147,7,FALSE)*1,0),IF(ISNUMBER(MATCH($B27,'SCHEDA PEZZI SPECIALI'!$A$38:$A$59,0)),IFERROR(VLOOKUP($B27,'SCHEDA PEZZI SPECIALI'!$A$38:$F$59,5,FALSE)*1,0)+IFERROR(VLOOKUP($B27,'SCHEDA PEZZI SPECIALI'!$A$38:$F$59,6,FALSE)*1,0),IF(ISNUMBER(MATCH($B27,'SCHEDA ELETTROMECCANICA'!$A$5:$A$14,0)),IFERROR(VLOOKUP($B27,'SCHEDA ELETTROMECCANICA'!$A$5:$D$14,4,FALSE)*1,0),IF(ISNUMBER(MATCH($B27,'SCHEDA BULLONERIA'!$A$6:$A$36,0)),IFERROR(VLOOKUP($B27,'SCHEDA BULLONERIA'!$A$6:$D$36,4,FALSE)*1,0),"")))))</f>
        <v/>
      </c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TTS.AR.3011</t>
        </is>
      </c>
      <c r="C28" s="4" t="inlineStr">
        <is>
          <t>Supporto a L superiore omega</t>
        </is>
      </c>
      <c r="D28" s="4" t="inlineStr">
        <is>
          <t>Carpenteria metallica</t>
        </is>
      </c>
      <c r="E28" s="11" t="inlineStr">
        <is>
          <t>pz</t>
        </is>
      </c>
      <c r="F28" s="9">
        <f>IFERROR(VLOOKUP($B28,'SCHEDA STRUTTURA'!$A$17:$E$417,5,FALSE),"")</f>
        <v/>
      </c>
      <c r="G28" s="5">
        <f>IF($B28="","",IF(ISNUMBER(MATCH($B28,'SCHEDA STRUTTURA'!$A$17:$A$147,0)),IFERROR(VLOOKUP($B28,'SCHEDA STRUTTURA'!$A$17:$G$147,6,FALSE)*1,0)+IFERROR(VLOOKUP($B28,'SCHEDA STRUTTURA'!$A$17:$G$147,7,FALSE)*1,0),IF(ISNUMBER(MATCH($B28,'SCHEDA PEZZI SPECIALI'!$A$38:$A$59,0)),IFERROR(VLOOKUP($B28,'SCHEDA PEZZI SPECIALI'!$A$38:$F$59,5,FALSE)*1,0)+IFERROR(VLOOKUP($B28,'SCHEDA PEZZI SPECIALI'!$A$38:$F$59,6,FALSE)*1,0),IF(ISNUMBER(MATCH($B28,'SCHEDA ELETTROMECCANICA'!$A$5:$A$14,0)),IFERROR(VLOOKUP($B28,'SCHEDA ELETTROMECCANICA'!$A$5:$D$14,4,FALSE)*1,0),IF(ISNUMBER(MATCH($B28,'SCHEDA BULLONERIA'!$A$6:$A$36,0)),IFERROR(VLOOKUP($B28,'SCHEDA BULLONERIA'!$A$6:$D$36,4,FALSE)*1,0),"")))))</f>
        <v/>
      </c>
      <c r="H28" s="4" t="inlineStr">
        <is>
          <t>KIT OMEGA+pannelli</t>
        </is>
      </c>
      <c r="I28" s="11" t="n">
        <v>1</v>
      </c>
    </row>
    <row r="29">
      <c r="A29" s="11" t="n">
        <v>25</v>
      </c>
      <c r="B29" s="4" t="inlineStr">
        <is>
          <t>TTS.AR.3012</t>
        </is>
      </c>
      <c r="C29" s="4" t="inlineStr">
        <is>
          <t>Supporto a V inferiore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STRUTTURA'!$A$17:$E$417,5,FALSE),"")</f>
        <v/>
      </c>
      <c r="G29" s="5">
        <f>IF($B29="","",IF(ISNUMBER(MATCH($B29,'SCHEDA STRUTTURA'!$A$17:$A$147,0)),IFERROR(VLOOKUP($B29,'SCHEDA STRUTTURA'!$A$17:$G$147,6,FALSE)*1,0)+IFERROR(VLOOKUP($B29,'SCHEDA STRUTTURA'!$A$17:$G$147,7,FALSE)*1,0),IF(ISNUMBER(MATCH($B29,'SCHEDA PEZZI SPECIALI'!$A$38:$A$59,0)),IFERROR(VLOOKUP($B29,'SCHEDA PEZZI SPECIALI'!$A$38:$F$59,5,FALSE)*1,0)+IFERROR(VLOOKUP($B29,'SCHEDA PEZZI SPECIALI'!$A$38:$F$59,6,FALSE)*1,0),IF(ISNUMBER(MATCH($B29,'SCHEDA ELETTROMECCANICA'!$A$5:$A$14,0)),IFERROR(VLOOKUP($B29,'SCHEDA ELETTROMECCANICA'!$A$5:$D$14,4,FALSE)*1,0),IF(ISNUMBER(MATCH($B29,'SCHEDA BULLONERIA'!$A$6:$A$36,0)),IFERROR(VLOOKUP($B29,'SCHEDA BULLONERIA'!$A$6:$D$36,4,FALSE)*1,0),"")))))</f>
        <v/>
      </c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TTS.AR.3013</t>
        </is>
      </c>
      <c r="C30" s="4" t="inlineStr">
        <is>
          <t>Gaffa sotto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STRUTTURA'!$A$17:$E$417,5,FALSE),"")</f>
        <v/>
      </c>
      <c r="G30" s="5">
        <f>IF($B30="","",IF(ISNUMBER(MATCH($B30,'SCHEDA STRUTTURA'!$A$17:$A$147,0)),IFERROR(VLOOKUP($B30,'SCHEDA STRUTTURA'!$A$17:$G$147,6,FALSE)*1,0)+IFERROR(VLOOKUP($B30,'SCHEDA STRUTTURA'!$A$17:$G$147,7,FALSE)*1,0),IF(ISNUMBER(MATCH($B30,'SCHEDA PEZZI SPECIALI'!$A$38:$A$59,0)),IFERROR(VLOOKUP($B30,'SCHEDA PEZZI SPECIALI'!$A$38:$F$59,5,FALSE)*1,0)+IFERROR(VLOOKUP($B30,'SCHEDA PEZZI SPECIALI'!$A$38:$F$59,6,FALSE)*1,0),IF(ISNUMBER(MATCH($B30,'SCHEDA ELETTROMECCANICA'!$A$5:$A$14,0)),IFERROR(VLOOKUP($B30,'SCHEDA ELETTROMECCANICA'!$A$5:$D$14,4,FALSE)*1,0),IF(ISNUMBER(MATCH($B30,'SCHEDA BULLONERIA'!$A$6:$A$36,0)),IFERROR(VLOOKUP($B30,'SCHEDA BULLONERIA'!$A$6:$D$36,4,FALSE)*1,0),"")))))</f>
        <v/>
      </c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TTS.AR.3014</t>
        </is>
      </c>
      <c r="C31" s="4" t="inlineStr">
        <is>
          <t>Omega supporto pannello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STRUTTURA'!$A$17:$E$417,5,FALSE),"")</f>
        <v/>
      </c>
      <c r="G31" s="5">
        <f>IF($B31="","",IF(ISNUMBER(MATCH($B31,'SCHEDA STRUTTURA'!$A$17:$A$147,0)),IFERROR(VLOOKUP($B31,'SCHEDA STRUTTURA'!$A$17:$G$147,6,FALSE)*1,0)+IFERROR(VLOOKUP($B31,'SCHEDA STRUTTURA'!$A$17:$G$147,7,FALSE)*1,0),IF(ISNUMBER(MATCH($B31,'SCHEDA PEZZI SPECIALI'!$A$38:$A$59,0)),IFERROR(VLOOKUP($B31,'SCHEDA PEZZI SPECIALI'!$A$38:$F$59,5,FALSE)*1,0)+IFERROR(VLOOKUP($B31,'SCHEDA PEZZI SPECIALI'!$A$38:$F$59,6,FALSE)*1,0),IF(ISNUMBER(MATCH($B31,'SCHEDA ELETTROMECCANICA'!$A$5:$A$14,0)),IFERROR(VLOOKUP($B31,'SCHEDA ELETTROMECCANICA'!$A$5:$D$14,4,FALSE)*1,0),IF(ISNUMBER(MATCH($B31,'SCHEDA BULLONERIA'!$A$6:$A$36,0)),IFERROR(VLOOKUP($B31,'SCHEDA BULLONERIA'!$A$6:$D$36,4,FALSE)*1,0),"")))))</f>
        <v/>
      </c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TTS.AR.3014.18</t>
        </is>
      </c>
      <c r="C32" s="4" t="inlineStr">
        <is>
          <t>Omega supporto pannello mm1,8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STRUTTURA'!$A$17:$E$417,5,FALSE),"")</f>
        <v/>
      </c>
      <c r="G32" s="5">
        <f>IF($B32="","",IF(ISNUMBER(MATCH($B32,'SCHEDA STRUTTURA'!$A$17:$A$147,0)),IFERROR(VLOOKUP($B32,'SCHEDA STRUTTURA'!$A$17:$G$147,6,FALSE)*1,0)+IFERROR(VLOOKUP($B32,'SCHEDA STRUTTURA'!$A$17:$G$147,7,FALSE)*1,0),IF(ISNUMBER(MATCH($B32,'SCHEDA PEZZI SPECIALI'!$A$38:$A$59,0)),IFERROR(VLOOKUP($B32,'SCHEDA PEZZI SPECIALI'!$A$38:$F$59,5,FALSE)*1,0)+IFERROR(VLOOKUP($B32,'SCHEDA PEZZI SPECIALI'!$A$38:$F$59,6,FALSE)*1,0),IF(ISNUMBER(MATCH($B32,'SCHEDA ELETTROMECCANICA'!$A$5:$A$14,0)),IFERROR(VLOOKUP($B32,'SCHEDA ELETTROMECCANICA'!$A$5:$D$14,4,FALSE)*1,0),IF(ISNUMBER(MATCH($B32,'SCHEDA BULLONERIA'!$A$6:$A$36,0)),IFERROR(VLOOKUP($B32,'SCHEDA BULLONERIA'!$A$6:$D$36,4,FALSE)*1,0),"")))))</f>
        <v/>
      </c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TTS.AR.4011</t>
        </is>
      </c>
      <c r="C33" s="4" t="inlineStr">
        <is>
          <t>Supporto superiore inclinometro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PEZZI SPECIALI'!$A$38:$F$400,4,FALSE),"")</f>
        <v/>
      </c>
      <c r="G33" s="5">
        <f>IF($B33="","",IF(ISNUMBER(MATCH($B33,'SCHEDA STRUTTURA'!$A$17:$A$147,0)),IFERROR(VLOOKUP($B33,'SCHEDA STRUTTURA'!$A$17:$G$147,6,FALSE)*1,0)+IFERROR(VLOOKUP($B33,'SCHEDA STRUTTURA'!$A$17:$G$147,7,FALSE)*1,0),IF(ISNUMBER(MATCH($B33,'SCHEDA PEZZI SPECIALI'!$A$38:$A$59,0)),IFERROR(VLOOKUP($B33,'SCHEDA PEZZI SPECIALI'!$A$38:$F$59,5,FALSE)*1,0)+IFERROR(VLOOKUP($B33,'SCHEDA PEZZI SPECIALI'!$A$38:$F$59,6,FALSE)*1,0),IF(ISNUMBER(MATCH($B33,'SCHEDA ELETTROMECCANICA'!$A$5:$A$14,0)),IFERROR(VLOOKUP($B33,'SCHEDA ELETTROMECCANICA'!$A$5:$D$14,4,FALSE)*1,0),IF(ISNUMBER(MATCH($B33,'SCHEDA BULLONERIA'!$A$6:$A$36,0)),IFERROR(VLOOKUP($B33,'SCHEDA BULLONERIA'!$A$6:$D$36,4,FALSE)*1,0),"")))))</f>
        <v/>
      </c>
      <c r="H33" s="4" t="inlineStr">
        <is>
          <t>KIT INCLINOMETRO</t>
        </is>
      </c>
      <c r="I33" s="11" t="n">
        <v>1</v>
      </c>
    </row>
    <row r="34">
      <c r="A34" s="11" t="n">
        <v>30</v>
      </c>
      <c r="B34" s="4" t="inlineStr">
        <is>
          <t>TTS.AR.4012</t>
        </is>
      </c>
      <c r="C34" s="4" t="inlineStr">
        <is>
          <t>Supporto inferiore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PEZZI SPECIALI'!$A$38:$F$400,4,FALSE),"")</f>
        <v/>
      </c>
      <c r="G34" s="5">
        <f>IF($B34="","",IF(ISNUMBER(MATCH($B34,'SCHEDA STRUTTURA'!$A$17:$A$147,0)),IFERROR(VLOOKUP($B34,'SCHEDA STRUTTURA'!$A$17:$G$147,6,FALSE)*1,0)+IFERROR(VLOOKUP($B34,'SCHEDA STRUTTURA'!$A$17:$G$147,7,FALSE)*1,0),IF(ISNUMBER(MATCH($B34,'SCHEDA PEZZI SPECIALI'!$A$38:$A$59,0)),IFERROR(VLOOKUP($B34,'SCHEDA PEZZI SPECIALI'!$A$38:$F$59,5,FALSE)*1,0)+IFERROR(VLOOKUP($B34,'SCHEDA PEZZI SPECIALI'!$A$38:$F$59,6,FALSE)*1,0),IF(ISNUMBER(MATCH($B34,'SCHEDA ELETTROMECCANICA'!$A$5:$A$14,0)),IFERROR(VLOOKUP($B34,'SCHEDA ELETTROMECCANICA'!$A$5:$D$14,4,FALSE)*1,0),IF(ISNUMBER(MATCH($B34,'SCHEDA BULLONERIA'!$A$6:$A$36,0)),IFERROR(VLOOKUP($B34,'SCHEDA BULLONERIA'!$A$6:$D$36,4,FALSE)*1,0),"")))))</f>
        <v/>
      </c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TTS.AR.5011</t>
        </is>
      </c>
      <c r="C35" s="4" t="inlineStr">
        <is>
          <t>Piastra ad L supporto fine corsa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PEZZI SPECIALI'!$A$38:$F$400,4,FALSE),"")</f>
        <v/>
      </c>
      <c r="G35" s="5">
        <f>IF($B35="","",IF(ISNUMBER(MATCH($B35,'SCHEDA STRUTTURA'!$A$17:$A$147,0)),IFERROR(VLOOKUP($B35,'SCHEDA STRUTTURA'!$A$17:$G$147,6,FALSE)*1,0)+IFERROR(VLOOKUP($B35,'SCHEDA STRUTTURA'!$A$17:$G$147,7,FALSE)*1,0),IF(ISNUMBER(MATCH($B35,'SCHEDA PEZZI SPECIALI'!$A$38:$A$59,0)),IFERROR(VLOOKUP($B35,'SCHEDA PEZZI SPECIALI'!$A$38:$F$59,5,FALSE)*1,0)+IFERROR(VLOOKUP($B35,'SCHEDA PEZZI SPECIALI'!$A$38:$F$59,6,FALSE)*1,0),IF(ISNUMBER(MATCH($B35,'SCHEDA ELETTROMECCANICA'!$A$5:$A$14,0)),IFERROR(VLOOKUP($B35,'SCHEDA ELETTROMECCANICA'!$A$5:$D$14,4,FALSE)*1,0),IF(ISNUMBER(MATCH($B35,'SCHEDA BULLONERIA'!$A$6:$A$36,0)),IFERROR(VLOOKUP($B35,'SCHEDA BULLONERIA'!$A$6:$D$36,4,FALSE)*1,0),"")))))</f>
        <v/>
      </c>
      <c r="H35" s="4" t="inlineStr">
        <is>
          <t>KIT FINE CORSA</t>
        </is>
      </c>
      <c r="I35" s="11" t="n">
        <v>1</v>
      </c>
    </row>
    <row r="36">
      <c r="A36" s="11" t="n">
        <v>32</v>
      </c>
      <c r="B36" s="4" t="inlineStr">
        <is>
          <t>TTS.AR.5012</t>
        </is>
      </c>
      <c r="C36" s="4" t="inlineStr">
        <is>
          <t>Leva battente sensore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PEZZI SPECIALI'!$A$38:$F$400,4,FALSE),"")</f>
        <v/>
      </c>
      <c r="G36" s="5">
        <f>IF($B36="","",IF(ISNUMBER(MATCH($B36,'SCHEDA STRUTTURA'!$A$17:$A$147,0)),IFERROR(VLOOKUP($B36,'SCHEDA STRUTTURA'!$A$17:$G$147,6,FALSE)*1,0)+IFERROR(VLOOKUP($B36,'SCHEDA STRUTTURA'!$A$17:$G$147,7,FALSE)*1,0),IF(ISNUMBER(MATCH($B36,'SCHEDA PEZZI SPECIALI'!$A$38:$A$59,0)),IFERROR(VLOOKUP($B36,'SCHEDA PEZZI SPECIALI'!$A$38:$F$59,5,FALSE)*1,0)+IFERROR(VLOOKUP($B36,'SCHEDA PEZZI SPECIALI'!$A$38:$F$59,6,FALSE)*1,0),IF(ISNUMBER(MATCH($B36,'SCHEDA ELETTROMECCANICA'!$A$5:$A$14,0)),IFERROR(VLOOKUP($B36,'SCHEDA ELETTROMECCANICA'!$A$5:$D$14,4,FALSE)*1,0),IF(ISNUMBER(MATCH($B36,'SCHEDA BULLONERIA'!$A$6:$A$36,0)),IFERROR(VLOOKUP($B36,'SCHEDA BULLONERIA'!$A$6:$D$36,4,FALSE)*1,0),"")))))</f>
        <v/>
      </c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TTS.PC.001.IPE140.23</t>
        </is>
      </c>
      <c r="C37" s="4" t="inlineStr">
        <is>
          <t>Pilastro cuscinetto trave IPE 140 mt.2,30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STRUTTURA'!$A$17:$E$417,5,FALSE),"")</f>
        <v/>
      </c>
      <c r="G37" s="5">
        <f>IF($B37="","",IF(ISNUMBER(MATCH($B37,'SCHEDA STRUTTURA'!$A$17:$A$147,0)),IFERROR(VLOOKUP($B37,'SCHEDA STRUTTURA'!$A$17:$G$147,6,FALSE)*1,0)+IFERROR(VLOOKUP($B37,'SCHEDA STRUTTURA'!$A$17:$G$147,7,FALSE)*1,0),IF(ISNUMBER(MATCH($B37,'SCHEDA PEZZI SPECIALI'!$A$38:$A$59,0)),IFERROR(VLOOKUP($B37,'SCHEDA PEZZI SPECIALI'!$A$38:$F$59,5,FALSE)*1,0)+IFERROR(VLOOKUP($B37,'SCHEDA PEZZI SPECIALI'!$A$38:$F$59,6,FALSE)*1,0),IF(ISNUMBER(MATCH($B37,'SCHEDA ELETTROMECCANICA'!$A$5:$A$14,0)),IFERROR(VLOOKUP($B37,'SCHEDA ELETTROMECCANICA'!$A$5:$D$14,4,FALSE)*1,0),IF(ISNUMBER(MATCH($B37,'SCHEDA BULLONERIA'!$A$6:$A$36,0)),IFERROR(VLOOKUP($B37,'SCHEDA BULLONERIA'!$A$6:$D$36,4,FALSE)*1,0),"")))))</f>
        <v/>
      </c>
      <c r="H37" s="4" t="inlineStr">
        <is>
          <t>PILASTRO CUSCINETTO</t>
        </is>
      </c>
      <c r="I37" s="11" t="n">
        <v>1</v>
      </c>
    </row>
    <row r="38">
      <c r="A38" s="11" t="n">
        <v>34</v>
      </c>
      <c r="B38" s="4" t="inlineStr">
        <is>
          <t>TTS.PC.001.IPEA140.23</t>
        </is>
      </c>
      <c r="C38" s="4" t="inlineStr">
        <is>
          <t>Pilastro cuscinetto trave IPEA 140 mt.2,30 (alleggerita)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STRUTTURA'!$A$17:$E$417,5,FALSE),"")</f>
        <v/>
      </c>
      <c r="G38" s="5">
        <f>IF($B38="","",IF(ISNUMBER(MATCH($B38,'SCHEDA STRUTTURA'!$A$17:$A$147,0)),IFERROR(VLOOKUP($B38,'SCHEDA STRUTTURA'!$A$17:$G$147,6,FALSE)*1,0)+IFERROR(VLOOKUP($B38,'SCHEDA STRUTTURA'!$A$17:$G$147,7,FALSE)*1,0),IF(ISNUMBER(MATCH($B38,'SCHEDA PEZZI SPECIALI'!$A$38:$A$59,0)),IFERROR(VLOOKUP($B38,'SCHEDA PEZZI SPECIALI'!$A$38:$F$59,5,FALSE)*1,0)+IFERROR(VLOOKUP($B38,'SCHEDA PEZZI SPECIALI'!$A$38:$F$59,6,FALSE)*1,0),IF(ISNUMBER(MATCH($B38,'SCHEDA ELETTROMECCANICA'!$A$5:$A$14,0)),IFERROR(VLOOKUP($B38,'SCHEDA ELETTROMECCANICA'!$A$5:$D$14,4,FALSE)*1,0),IF(ISNUMBER(MATCH($B38,'SCHEDA BULLONERIA'!$A$6:$A$36,0)),IFERROR(VLOOKUP($B38,'SCHEDA BULLONERIA'!$A$6:$D$36,4,FALSE)*1,0),"")))))</f>
        <v/>
      </c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TTS.PC.001.IPE140.28</t>
        </is>
      </c>
      <c r="C39" s="4" t="inlineStr">
        <is>
          <t>Pilastro cuscinetto trave IPE 140 mt.2,80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STRUTTURA'!$A$17:$E$417,5,FALSE),"")</f>
        <v/>
      </c>
      <c r="G39" s="5">
        <f>IF($B39="","",IF(ISNUMBER(MATCH($B39,'SCHEDA STRUTTURA'!$A$17:$A$147,0)),IFERROR(VLOOKUP($B39,'SCHEDA STRUTTURA'!$A$17:$G$147,6,FALSE)*1,0)+IFERROR(VLOOKUP($B39,'SCHEDA STRUTTURA'!$A$17:$G$147,7,FALSE)*1,0),IF(ISNUMBER(MATCH($B39,'SCHEDA PEZZI SPECIALI'!$A$38:$A$59,0)),IFERROR(VLOOKUP($B39,'SCHEDA PEZZI SPECIALI'!$A$38:$F$59,5,FALSE)*1,0)+IFERROR(VLOOKUP($B39,'SCHEDA PEZZI SPECIALI'!$A$38:$F$59,6,FALSE)*1,0),IF(ISNUMBER(MATCH($B39,'SCHEDA ELETTROMECCANICA'!$A$5:$A$14,0)),IFERROR(VLOOKUP($B39,'SCHEDA ELETTROMECCANICA'!$A$5:$D$14,4,FALSE)*1,0),IF(ISNUMBER(MATCH($B39,'SCHEDA BULLONERIA'!$A$6:$A$36,0)),IFERROR(VLOOKUP($B39,'SCHEDA BULLONERIA'!$A$6:$D$36,4,FALSE)*1,0),"")))))</f>
        <v/>
      </c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TTS.PC.001.IPEA140.28</t>
        </is>
      </c>
      <c r="C40" s="4" t="inlineStr">
        <is>
          <t>Pilastro cuscinetto trave IPEA 140 mt.2,80 (alleggerita)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STRUTTURA'!$A$17:$E$417,5,FALSE),"")</f>
        <v/>
      </c>
      <c r="G40" s="5">
        <f>IF($B40="","",IF(ISNUMBER(MATCH($B40,'SCHEDA STRUTTURA'!$A$17:$A$147,0)),IFERROR(VLOOKUP($B40,'SCHEDA STRUTTURA'!$A$17:$G$147,6,FALSE)*1,0)+IFERROR(VLOOKUP($B40,'SCHEDA STRUTTURA'!$A$17:$G$147,7,FALSE)*1,0),IF(ISNUMBER(MATCH($B40,'SCHEDA PEZZI SPECIALI'!$A$38:$A$59,0)),IFERROR(VLOOKUP($B40,'SCHEDA PEZZI SPECIALI'!$A$38:$F$59,5,FALSE)*1,0)+IFERROR(VLOOKUP($B40,'SCHEDA PEZZI SPECIALI'!$A$38:$F$59,6,FALSE)*1,0),IF(ISNUMBER(MATCH($B40,'SCHEDA ELETTROMECCANICA'!$A$5:$A$14,0)),IFERROR(VLOOKUP($B40,'SCHEDA ELETTROMECCANICA'!$A$5:$D$14,4,FALSE)*1,0),IF(ISNUMBER(MATCH($B40,'SCHEDA BULLONERIA'!$A$6:$A$36,0)),IFERROR(VLOOKUP($B40,'SCHEDA BULLONERIA'!$A$6:$D$36,4,FALSE)*1,0),"")))))</f>
        <v/>
      </c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TTS.PC.001.IPE140.29</t>
        </is>
      </c>
      <c r="C41" s="4" t="inlineStr">
        <is>
          <t>Pilastro cuscinetto trave IPE 140 mt.2,90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STRUTTURA'!$A$17:$E$417,5,FALSE),"")</f>
        <v/>
      </c>
      <c r="G41" s="5">
        <f>IF($B41="","",IF(ISNUMBER(MATCH($B41,'SCHEDA STRUTTURA'!$A$17:$A$147,0)),IFERROR(VLOOKUP($B41,'SCHEDA STRUTTURA'!$A$17:$G$147,6,FALSE)*1,0)+IFERROR(VLOOKUP($B41,'SCHEDA STRUTTURA'!$A$17:$G$147,7,FALSE)*1,0),IF(ISNUMBER(MATCH($B41,'SCHEDA PEZZI SPECIALI'!$A$38:$A$59,0)),IFERROR(VLOOKUP($B41,'SCHEDA PEZZI SPECIALI'!$A$38:$F$59,5,FALSE)*1,0)+IFERROR(VLOOKUP($B41,'SCHEDA PEZZI SPECIALI'!$A$38:$F$59,6,FALSE)*1,0),IF(ISNUMBER(MATCH($B41,'SCHEDA ELETTROMECCANICA'!$A$5:$A$14,0)),IFERROR(VLOOKUP($B41,'SCHEDA ELETTROMECCANICA'!$A$5:$D$14,4,FALSE)*1,0),IF(ISNUMBER(MATCH($B41,'SCHEDA BULLONERIA'!$A$6:$A$36,0)),IFERROR(VLOOKUP($B41,'SCHEDA BULLONERIA'!$A$6:$D$36,4,FALSE)*1,0),"")))))</f>
        <v/>
      </c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TTS.PC.001.IPEA140.29</t>
        </is>
      </c>
      <c r="C42" s="4" t="inlineStr">
        <is>
          <t>Pilastro cuscinetto trave IPEA 140 mt.2,90 (alleggerita)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STRUTTURA'!$A$17:$E$417,5,FALSE),"")</f>
        <v/>
      </c>
      <c r="G42" s="5">
        <f>IF($B42="","",IF(ISNUMBER(MATCH($B42,'SCHEDA STRUTTURA'!$A$17:$A$147,0)),IFERROR(VLOOKUP($B42,'SCHEDA STRUTTURA'!$A$17:$G$147,6,FALSE)*1,0)+IFERROR(VLOOKUP($B42,'SCHEDA STRUTTURA'!$A$17:$G$147,7,FALSE)*1,0),IF(ISNUMBER(MATCH($B42,'SCHEDA PEZZI SPECIALI'!$A$38:$A$59,0)),IFERROR(VLOOKUP($B42,'SCHEDA PEZZI SPECIALI'!$A$38:$F$59,5,FALSE)*1,0)+IFERROR(VLOOKUP($B42,'SCHEDA PEZZI SPECIALI'!$A$38:$F$59,6,FALSE)*1,0),IF(ISNUMBER(MATCH($B42,'SCHEDA ELETTROMECCANICA'!$A$5:$A$14,0)),IFERROR(VLOOKUP($B42,'SCHEDA ELETTROMECCANICA'!$A$5:$D$14,4,FALSE)*1,0),IF(ISNUMBER(MATCH($B42,'SCHEDA BULLONERIA'!$A$6:$A$36,0)),IFERROR(VLOOKUP($B42,'SCHEDA BULLONERIA'!$A$6:$D$36,4,FALSE)*1,0),"")))))</f>
        <v/>
      </c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TTS.PC.001.IPE140.30</t>
        </is>
      </c>
      <c r="C43" s="4" t="inlineStr">
        <is>
          <t>Pilastro cuscinetto trave IPE 140 mt.3,00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STRUTTURA'!$A$17:$E$417,5,FALSE),"")</f>
        <v/>
      </c>
      <c r="G43" s="5">
        <f>IF($B43="","",IF(ISNUMBER(MATCH($B43,'SCHEDA STRUTTURA'!$A$17:$A$147,0)),IFERROR(VLOOKUP($B43,'SCHEDA STRUTTURA'!$A$17:$G$147,6,FALSE)*1,0)+IFERROR(VLOOKUP($B43,'SCHEDA STRUTTURA'!$A$17:$G$147,7,FALSE)*1,0),IF(ISNUMBER(MATCH($B43,'SCHEDA PEZZI SPECIALI'!$A$38:$A$59,0)),IFERROR(VLOOKUP($B43,'SCHEDA PEZZI SPECIALI'!$A$38:$F$59,5,FALSE)*1,0)+IFERROR(VLOOKUP($B43,'SCHEDA PEZZI SPECIALI'!$A$38:$F$59,6,FALSE)*1,0),IF(ISNUMBER(MATCH($B43,'SCHEDA ELETTROMECCANICA'!$A$5:$A$14,0)),IFERROR(VLOOKUP($B43,'SCHEDA ELETTROMECCANICA'!$A$5:$D$14,4,FALSE)*1,0),IF(ISNUMBER(MATCH($B43,'SCHEDA BULLONERIA'!$A$6:$A$36,0)),IFERROR(VLOOKUP($B43,'SCHEDA BULLONERIA'!$A$6:$D$36,4,FALSE)*1,0),"")))))</f>
        <v/>
      </c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TTS.PC.001.IPEA140.30</t>
        </is>
      </c>
      <c r="C44" s="4" t="inlineStr">
        <is>
          <t>Pilastro cuscinetto trave IPEA 140 mt.3,00 (alleggerita)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STRUTTURA'!$A$17:$E$417,5,FALSE),"")</f>
        <v/>
      </c>
      <c r="G44" s="5">
        <f>IF($B44="","",IF(ISNUMBER(MATCH($B44,'SCHEDA STRUTTURA'!$A$17:$A$147,0)),IFERROR(VLOOKUP($B44,'SCHEDA STRUTTURA'!$A$17:$G$147,6,FALSE)*1,0)+IFERROR(VLOOKUP($B44,'SCHEDA STRUTTURA'!$A$17:$G$147,7,FALSE)*1,0),IF(ISNUMBER(MATCH($B44,'SCHEDA PEZZI SPECIALI'!$A$38:$A$59,0)),IFERROR(VLOOKUP($B44,'SCHEDA PEZZI SPECIALI'!$A$38:$F$59,5,FALSE)*1,0)+IFERROR(VLOOKUP($B44,'SCHEDA PEZZI SPECIALI'!$A$38:$F$59,6,FALSE)*1,0),IF(ISNUMBER(MATCH($B44,'SCHEDA ELETTROMECCANICA'!$A$5:$A$14,0)),IFERROR(VLOOKUP($B44,'SCHEDA ELETTROMECCANICA'!$A$5:$D$14,4,FALSE)*1,0),IF(ISNUMBER(MATCH($B44,'SCHEDA BULLONERIA'!$A$6:$A$36,0)),IFERROR(VLOOKUP($B44,'SCHEDA BULLONERIA'!$A$6:$D$36,4,FALSE)*1,0),"")))))</f>
        <v/>
      </c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TTS.PC.001.IPE140.31</t>
        </is>
      </c>
      <c r="C45" s="4" t="inlineStr">
        <is>
          <t>Pilastro cuscinetto trave IPE 140 mt.3,10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STRUTTURA'!$A$17:$E$417,5,FALSE),"")</f>
        <v/>
      </c>
      <c r="G45" s="5">
        <f>IF($B45="","",IF(ISNUMBER(MATCH($B45,'SCHEDA STRUTTURA'!$A$17:$A$147,0)),IFERROR(VLOOKUP($B45,'SCHEDA STRUTTURA'!$A$17:$G$147,6,FALSE)*1,0)+IFERROR(VLOOKUP($B45,'SCHEDA STRUTTURA'!$A$17:$G$147,7,FALSE)*1,0),IF(ISNUMBER(MATCH($B45,'SCHEDA PEZZI SPECIALI'!$A$38:$A$59,0)),IFERROR(VLOOKUP($B45,'SCHEDA PEZZI SPECIALI'!$A$38:$F$59,5,FALSE)*1,0)+IFERROR(VLOOKUP($B45,'SCHEDA PEZZI SPECIALI'!$A$38:$F$59,6,FALSE)*1,0),IF(ISNUMBER(MATCH($B45,'SCHEDA ELETTROMECCANICA'!$A$5:$A$14,0)),IFERROR(VLOOKUP($B45,'SCHEDA ELETTROMECCANICA'!$A$5:$D$14,4,FALSE)*1,0),IF(ISNUMBER(MATCH($B45,'SCHEDA BULLONERIA'!$A$6:$A$36,0)),IFERROR(VLOOKUP($B45,'SCHEDA BULLONERIA'!$A$6:$D$36,4,FALSE)*1,0),"")))))</f>
        <v/>
      </c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TTS.PC.001.IPEA140.31</t>
        </is>
      </c>
      <c r="C46" s="4" t="inlineStr">
        <is>
          <t>Pilastro cuscinetto trave IPEA 140 mt.3,10 (alleggerita)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STRUTTURA'!$A$17:$E$417,5,FALSE),"")</f>
        <v/>
      </c>
      <c r="G46" s="5">
        <f>IF($B46="","",IF(ISNUMBER(MATCH($B46,'SCHEDA STRUTTURA'!$A$17:$A$147,0)),IFERROR(VLOOKUP($B46,'SCHEDA STRUTTURA'!$A$17:$G$147,6,FALSE)*1,0)+IFERROR(VLOOKUP($B46,'SCHEDA STRUTTURA'!$A$17:$G$147,7,FALSE)*1,0),IF(ISNUMBER(MATCH($B46,'SCHEDA PEZZI SPECIALI'!$A$38:$A$59,0)),IFERROR(VLOOKUP($B46,'SCHEDA PEZZI SPECIALI'!$A$38:$F$59,5,FALSE)*1,0)+IFERROR(VLOOKUP($B46,'SCHEDA PEZZI SPECIALI'!$A$38:$F$59,6,FALSE)*1,0),IF(ISNUMBER(MATCH($B46,'SCHEDA ELETTROMECCANICA'!$A$5:$A$14,0)),IFERROR(VLOOKUP($B46,'SCHEDA ELETTROMECCANICA'!$A$5:$D$14,4,FALSE)*1,0),IF(ISNUMBER(MATCH($B46,'SCHEDA BULLONERIA'!$A$6:$A$36,0)),IFERROR(VLOOKUP($B46,'SCHEDA BULLONERIA'!$A$6:$D$36,4,FALSE)*1,0),"")))))</f>
        <v/>
      </c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TTS.PC.001.IPE140.32</t>
        </is>
      </c>
      <c r="C47" s="4" t="inlineStr">
        <is>
          <t>Pilastro cuscinetto trave IPE 140 mt.3,20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STRUTTURA'!$A$17:$E$417,5,FALSE),"")</f>
        <v/>
      </c>
      <c r="G47" s="5">
        <f>IF($B47="","",IF(ISNUMBER(MATCH($B47,'SCHEDA STRUTTURA'!$A$17:$A$147,0)),IFERROR(VLOOKUP($B47,'SCHEDA STRUTTURA'!$A$17:$G$147,6,FALSE)*1,0)+IFERROR(VLOOKUP($B47,'SCHEDA STRUTTURA'!$A$17:$G$147,7,FALSE)*1,0),IF(ISNUMBER(MATCH($B47,'SCHEDA PEZZI SPECIALI'!$A$38:$A$59,0)),IFERROR(VLOOKUP($B47,'SCHEDA PEZZI SPECIALI'!$A$38:$F$59,5,FALSE)*1,0)+IFERROR(VLOOKUP($B47,'SCHEDA PEZZI SPECIALI'!$A$38:$F$59,6,FALSE)*1,0),IF(ISNUMBER(MATCH($B47,'SCHEDA ELETTROMECCANICA'!$A$5:$A$14,0)),IFERROR(VLOOKUP($B47,'SCHEDA ELETTROMECCANICA'!$A$5:$D$14,4,FALSE)*1,0),IF(ISNUMBER(MATCH($B47,'SCHEDA BULLONERIA'!$A$6:$A$36,0)),IFERROR(VLOOKUP($B47,'SCHEDA BULLONERIA'!$A$6:$D$36,4,FALSE)*1,0),"")))))</f>
        <v/>
      </c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TTS.PC.001.IPEA140.32</t>
        </is>
      </c>
      <c r="C48" s="4" t="inlineStr">
        <is>
          <t>Pilastro cuscinetto trave IPEA 140 mt.3,20 (alleggerita)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STRUTTURA'!$A$17:$E$417,5,FALSE),"")</f>
        <v/>
      </c>
      <c r="G48" s="5">
        <f>IF($B48="","",IF(ISNUMBER(MATCH($B48,'SCHEDA STRUTTURA'!$A$17:$A$147,0)),IFERROR(VLOOKUP($B48,'SCHEDA STRUTTURA'!$A$17:$G$147,6,FALSE)*1,0)+IFERROR(VLOOKUP($B48,'SCHEDA STRUTTURA'!$A$17:$G$147,7,FALSE)*1,0),IF(ISNUMBER(MATCH($B48,'SCHEDA PEZZI SPECIALI'!$A$38:$A$59,0)),IFERROR(VLOOKUP($B48,'SCHEDA PEZZI SPECIALI'!$A$38:$F$59,5,FALSE)*1,0)+IFERROR(VLOOKUP($B48,'SCHEDA PEZZI SPECIALI'!$A$38:$F$59,6,FALSE)*1,0),IF(ISNUMBER(MATCH($B48,'SCHEDA ELETTROMECCANICA'!$A$5:$A$14,0)),IFERROR(VLOOKUP($B48,'SCHEDA ELETTROMECCANICA'!$A$5:$D$14,4,FALSE)*1,0),IF(ISNUMBER(MATCH($B48,'SCHEDA BULLONERIA'!$A$6:$A$36,0)),IFERROR(VLOOKUP($B48,'SCHEDA BULLONERIA'!$A$6:$D$36,4,FALSE)*1,0),"")))))</f>
        <v/>
      </c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TTS.PC.001.IPE140.33</t>
        </is>
      </c>
      <c r="C49" s="4" t="inlineStr">
        <is>
          <t>Pilastro cuscinetto trave IPE 140 mt.3,30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STRUTTURA'!$A$17:$E$417,5,FALSE),"")</f>
        <v/>
      </c>
      <c r="G49" s="5">
        <f>IF($B49="","",IF(ISNUMBER(MATCH($B49,'SCHEDA STRUTTURA'!$A$17:$A$147,0)),IFERROR(VLOOKUP($B49,'SCHEDA STRUTTURA'!$A$17:$G$147,6,FALSE)*1,0)+IFERROR(VLOOKUP($B49,'SCHEDA STRUTTURA'!$A$17:$G$147,7,FALSE)*1,0),IF(ISNUMBER(MATCH($B49,'SCHEDA PEZZI SPECIALI'!$A$38:$A$59,0)),IFERROR(VLOOKUP($B49,'SCHEDA PEZZI SPECIALI'!$A$38:$F$59,5,FALSE)*1,0)+IFERROR(VLOOKUP($B49,'SCHEDA PEZZI SPECIALI'!$A$38:$F$59,6,FALSE)*1,0),IF(ISNUMBER(MATCH($B49,'SCHEDA ELETTROMECCANICA'!$A$5:$A$14,0)),IFERROR(VLOOKUP($B49,'SCHEDA ELETTROMECCANICA'!$A$5:$D$14,4,FALSE)*1,0),IF(ISNUMBER(MATCH($B49,'SCHEDA BULLONERIA'!$A$6:$A$36,0)),IFERROR(VLOOKUP($B49,'SCHEDA BULLONERIA'!$A$6:$D$36,4,FALSE)*1,0),"")))))</f>
        <v/>
      </c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TTS.PC.001.IPEA140.33</t>
        </is>
      </c>
      <c r="C50" s="4" t="inlineStr">
        <is>
          <t>Pilastro cuscinetto trave IPEA 140 mt.3,30 (alleggerita)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STRUTTURA'!$A$17:$E$417,5,FALSE),"")</f>
        <v/>
      </c>
      <c r="G50" s="5">
        <f>IF($B50="","",IF(ISNUMBER(MATCH($B50,'SCHEDA STRUTTURA'!$A$17:$A$147,0)),IFERROR(VLOOKUP($B50,'SCHEDA STRUTTURA'!$A$17:$G$147,6,FALSE)*1,0)+IFERROR(VLOOKUP($B50,'SCHEDA STRUTTURA'!$A$17:$G$147,7,FALSE)*1,0),IF(ISNUMBER(MATCH($B50,'SCHEDA PEZZI SPECIALI'!$A$38:$A$59,0)),IFERROR(VLOOKUP($B50,'SCHEDA PEZZI SPECIALI'!$A$38:$F$59,5,FALSE)*1,0)+IFERROR(VLOOKUP($B50,'SCHEDA PEZZI SPECIALI'!$A$38:$F$59,6,FALSE)*1,0),IF(ISNUMBER(MATCH($B50,'SCHEDA ELETTROMECCANICA'!$A$5:$A$14,0)),IFERROR(VLOOKUP($B50,'SCHEDA ELETTROMECCANICA'!$A$5:$D$14,4,FALSE)*1,0),IF(ISNUMBER(MATCH($B50,'SCHEDA BULLONERIA'!$A$6:$A$36,0)),IFERROR(VLOOKUP($B50,'SCHEDA BULLONERIA'!$A$6:$D$36,4,FALSE)*1,0),"")))))</f>
        <v/>
      </c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TTS.PC.001.IPE140.34</t>
        </is>
      </c>
      <c r="C51" s="4" t="inlineStr">
        <is>
          <t>Pilastro cuscinetto trave IPE 140 mt.3,40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STRUTTURA'!$A$17:$E$417,5,FALSE),"")</f>
        <v/>
      </c>
      <c r="G51" s="5">
        <f>IF($B51="","",IF(ISNUMBER(MATCH($B51,'SCHEDA STRUTTURA'!$A$17:$A$147,0)),IFERROR(VLOOKUP($B51,'SCHEDA STRUTTURA'!$A$17:$G$147,6,FALSE)*1,0)+IFERROR(VLOOKUP($B51,'SCHEDA STRUTTURA'!$A$17:$G$147,7,FALSE)*1,0),IF(ISNUMBER(MATCH($B51,'SCHEDA PEZZI SPECIALI'!$A$38:$A$59,0)),IFERROR(VLOOKUP($B51,'SCHEDA PEZZI SPECIALI'!$A$38:$F$59,5,FALSE)*1,0)+IFERROR(VLOOKUP($B51,'SCHEDA PEZZI SPECIALI'!$A$38:$F$59,6,FALSE)*1,0),IF(ISNUMBER(MATCH($B51,'SCHEDA ELETTROMECCANICA'!$A$5:$A$14,0)),IFERROR(VLOOKUP($B51,'SCHEDA ELETTROMECCANICA'!$A$5:$D$14,4,FALSE)*1,0),IF(ISNUMBER(MATCH($B51,'SCHEDA BULLONERIA'!$A$6:$A$36,0)),IFERROR(VLOOKUP($B51,'SCHEDA BULLONERIA'!$A$6:$D$36,4,FALSE)*1,0),"")))))</f>
        <v/>
      </c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TTS.PC.001.IPEA140.34</t>
        </is>
      </c>
      <c r="C52" s="4" t="inlineStr">
        <is>
          <t>Pilastro cuscinetto trave IPEA 140 mt.3,40 (alleggerita)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STRUTTURA'!$A$17:$E$417,5,FALSE),"")</f>
        <v/>
      </c>
      <c r="G52" s="5">
        <f>IF($B52="","",IF(ISNUMBER(MATCH($B52,'SCHEDA STRUTTURA'!$A$17:$A$147,0)),IFERROR(VLOOKUP($B52,'SCHEDA STRUTTURA'!$A$17:$G$147,6,FALSE)*1,0)+IFERROR(VLOOKUP($B52,'SCHEDA STRUTTURA'!$A$17:$G$147,7,FALSE)*1,0),IF(ISNUMBER(MATCH($B52,'SCHEDA PEZZI SPECIALI'!$A$38:$A$59,0)),IFERROR(VLOOKUP($B52,'SCHEDA PEZZI SPECIALI'!$A$38:$F$59,5,FALSE)*1,0)+IFERROR(VLOOKUP($B52,'SCHEDA PEZZI SPECIALI'!$A$38:$F$59,6,FALSE)*1,0),IF(ISNUMBER(MATCH($B52,'SCHEDA ELETTROMECCANICA'!$A$5:$A$14,0)),IFERROR(VLOOKUP($B52,'SCHEDA ELETTROMECCANICA'!$A$5:$D$14,4,FALSE)*1,0),IF(ISNUMBER(MATCH($B52,'SCHEDA BULLONERIA'!$A$6:$A$36,0)),IFERROR(VLOOKUP($B52,'SCHEDA BULLONERIA'!$A$6:$D$36,4,FALSE)*1,0),"")))))</f>
        <v/>
      </c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TTS.PC.001.IPE140.35</t>
        </is>
      </c>
      <c r="C53" s="4" t="inlineStr">
        <is>
          <t>Pilastro cuscinetto trave IPE 140 mt.3,50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STRUTTURA'!$A$17:$E$417,5,FALSE),"")</f>
        <v/>
      </c>
      <c r="G53" s="5">
        <f>IF($B53="","",IF(ISNUMBER(MATCH($B53,'SCHEDA STRUTTURA'!$A$17:$A$147,0)),IFERROR(VLOOKUP($B53,'SCHEDA STRUTTURA'!$A$17:$G$147,6,FALSE)*1,0)+IFERROR(VLOOKUP($B53,'SCHEDA STRUTTURA'!$A$17:$G$147,7,FALSE)*1,0),IF(ISNUMBER(MATCH($B53,'SCHEDA PEZZI SPECIALI'!$A$38:$A$59,0)),IFERROR(VLOOKUP($B53,'SCHEDA PEZZI SPECIALI'!$A$38:$F$59,5,FALSE)*1,0)+IFERROR(VLOOKUP($B53,'SCHEDA PEZZI SPECIALI'!$A$38:$F$59,6,FALSE)*1,0),IF(ISNUMBER(MATCH($B53,'SCHEDA ELETTROMECCANICA'!$A$5:$A$14,0)),IFERROR(VLOOKUP($B53,'SCHEDA ELETTROMECCANICA'!$A$5:$D$14,4,FALSE)*1,0),IF(ISNUMBER(MATCH($B53,'SCHEDA BULLONERIA'!$A$6:$A$36,0)),IFERROR(VLOOKUP($B53,'SCHEDA BULLONERIA'!$A$6:$D$36,4,FALSE)*1,0),"")))))</f>
        <v/>
      </c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TTS.PC.001.IPEA140.35</t>
        </is>
      </c>
      <c r="C54" s="4" t="inlineStr">
        <is>
          <t>Pilastro cuscinetto trave IPEA 140 mt.3,50 (alleggerita)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STRUTTURA'!$A$17:$E$417,5,FALSE),"")</f>
        <v/>
      </c>
      <c r="G54" s="5">
        <f>IF($B54="","",IF(ISNUMBER(MATCH($B54,'SCHEDA STRUTTURA'!$A$17:$A$147,0)),IFERROR(VLOOKUP($B54,'SCHEDA STRUTTURA'!$A$17:$G$147,6,FALSE)*1,0)+IFERROR(VLOOKUP($B54,'SCHEDA STRUTTURA'!$A$17:$G$147,7,FALSE)*1,0),IF(ISNUMBER(MATCH($B54,'SCHEDA PEZZI SPECIALI'!$A$38:$A$59,0)),IFERROR(VLOOKUP($B54,'SCHEDA PEZZI SPECIALI'!$A$38:$F$59,5,FALSE)*1,0)+IFERROR(VLOOKUP($B54,'SCHEDA PEZZI SPECIALI'!$A$38:$F$59,6,FALSE)*1,0),IF(ISNUMBER(MATCH($B54,'SCHEDA ELETTROMECCANICA'!$A$5:$A$14,0)),IFERROR(VLOOKUP($B54,'SCHEDA ELETTROMECCANICA'!$A$5:$D$14,4,FALSE)*1,0),IF(ISNUMBER(MATCH($B54,'SCHEDA BULLONERIA'!$A$6:$A$36,0)),IFERROR(VLOOKUP($B54,'SCHEDA BULLONERIA'!$A$6:$D$36,4,FALSE)*1,0),"")))))</f>
        <v/>
      </c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TTS.PC.001.IPE140.36</t>
        </is>
      </c>
      <c r="C55" s="4" t="inlineStr">
        <is>
          <t>Pilastro cuscinetto trave IPE 140 mt.3,60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STRUTTURA'!$A$17:$E$417,5,FALSE),"")</f>
        <v/>
      </c>
      <c r="G55" s="5">
        <f>IF($B55="","",IF(ISNUMBER(MATCH($B55,'SCHEDA STRUTTURA'!$A$17:$A$147,0)),IFERROR(VLOOKUP($B55,'SCHEDA STRUTTURA'!$A$17:$G$147,6,FALSE)*1,0)+IFERROR(VLOOKUP($B55,'SCHEDA STRUTTURA'!$A$17:$G$147,7,FALSE)*1,0),IF(ISNUMBER(MATCH($B55,'SCHEDA PEZZI SPECIALI'!$A$38:$A$59,0)),IFERROR(VLOOKUP($B55,'SCHEDA PEZZI SPECIALI'!$A$38:$F$59,5,FALSE)*1,0)+IFERROR(VLOOKUP($B55,'SCHEDA PEZZI SPECIALI'!$A$38:$F$59,6,FALSE)*1,0),IF(ISNUMBER(MATCH($B55,'SCHEDA ELETTROMECCANICA'!$A$5:$A$14,0)),IFERROR(VLOOKUP($B55,'SCHEDA ELETTROMECCANICA'!$A$5:$D$14,4,FALSE)*1,0),IF(ISNUMBER(MATCH($B55,'SCHEDA BULLONERIA'!$A$6:$A$36,0)),IFERROR(VLOOKUP($B55,'SCHEDA BULLONERIA'!$A$6:$D$36,4,FALSE)*1,0),"")))))</f>
        <v/>
      </c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TTS.PC.001.IPEA140.36</t>
        </is>
      </c>
      <c r="C56" s="4" t="inlineStr">
        <is>
          <t>Pilastro cuscinetto trave IPEA 140 mt.3,60 (alleggerita)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STRUTTURA'!$A$17:$E$417,5,FALSE),"")</f>
        <v/>
      </c>
      <c r="G56" s="5">
        <f>IF($B56="","",IF(ISNUMBER(MATCH($B56,'SCHEDA STRUTTURA'!$A$17:$A$147,0)),IFERROR(VLOOKUP($B56,'SCHEDA STRUTTURA'!$A$17:$G$147,6,FALSE)*1,0)+IFERROR(VLOOKUP($B56,'SCHEDA STRUTTURA'!$A$17:$G$147,7,FALSE)*1,0),IF(ISNUMBER(MATCH($B56,'SCHEDA PEZZI SPECIALI'!$A$38:$A$59,0)),IFERROR(VLOOKUP($B56,'SCHEDA PEZZI SPECIALI'!$A$38:$F$59,5,FALSE)*1,0)+IFERROR(VLOOKUP($B56,'SCHEDA PEZZI SPECIALI'!$A$38:$F$59,6,FALSE)*1,0),IF(ISNUMBER(MATCH($B56,'SCHEDA ELETTROMECCANICA'!$A$5:$A$14,0)),IFERROR(VLOOKUP($B56,'SCHEDA ELETTROMECCANICA'!$A$5:$D$14,4,FALSE)*1,0),IF(ISNUMBER(MATCH($B56,'SCHEDA BULLONERIA'!$A$6:$A$36,0)),IFERROR(VLOOKUP($B56,'SCHEDA BULLONERIA'!$A$6:$D$36,4,FALSE)*1,0),"")))))</f>
        <v/>
      </c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TTS.PC.001.IPE140.37</t>
        </is>
      </c>
      <c r="C57" s="4" t="inlineStr">
        <is>
          <t>Pilastro cuscinetto trave IPE 140 mt.3,70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STRUTTURA'!$A$17:$E$417,5,FALSE),"")</f>
        <v/>
      </c>
      <c r="G57" s="5">
        <f>IF($B57="","",IF(ISNUMBER(MATCH($B57,'SCHEDA STRUTTURA'!$A$17:$A$147,0)),IFERROR(VLOOKUP($B57,'SCHEDA STRUTTURA'!$A$17:$G$147,6,FALSE)*1,0)+IFERROR(VLOOKUP($B57,'SCHEDA STRUTTURA'!$A$17:$G$147,7,FALSE)*1,0),IF(ISNUMBER(MATCH($B57,'SCHEDA PEZZI SPECIALI'!$A$38:$A$59,0)),IFERROR(VLOOKUP($B57,'SCHEDA PEZZI SPECIALI'!$A$38:$F$59,5,FALSE)*1,0)+IFERROR(VLOOKUP($B57,'SCHEDA PEZZI SPECIALI'!$A$38:$F$59,6,FALSE)*1,0),IF(ISNUMBER(MATCH($B57,'SCHEDA ELETTROMECCANICA'!$A$5:$A$14,0)),IFERROR(VLOOKUP($B57,'SCHEDA ELETTROMECCANICA'!$A$5:$D$14,4,FALSE)*1,0),IF(ISNUMBER(MATCH($B57,'SCHEDA BULLONERIA'!$A$6:$A$36,0)),IFERROR(VLOOKUP($B57,'SCHEDA BULLONERIA'!$A$6:$D$36,4,FALSE)*1,0),"")))))</f>
        <v/>
      </c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TTS.PC.001.IPEA140.37</t>
        </is>
      </c>
      <c r="C58" s="4" t="inlineStr">
        <is>
          <t>Pilastro cuscinetto trave IPEA 140 mt.3,70 (alleggerita)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STRUTTURA'!$A$17:$E$417,5,FALSE),"")</f>
        <v/>
      </c>
      <c r="G58" s="5">
        <f>IF($B58="","",IF(ISNUMBER(MATCH($B58,'SCHEDA STRUTTURA'!$A$17:$A$147,0)),IFERROR(VLOOKUP($B58,'SCHEDA STRUTTURA'!$A$17:$G$147,6,FALSE)*1,0)+IFERROR(VLOOKUP($B58,'SCHEDA STRUTTURA'!$A$17:$G$147,7,FALSE)*1,0),IF(ISNUMBER(MATCH($B58,'SCHEDA PEZZI SPECIALI'!$A$38:$A$59,0)),IFERROR(VLOOKUP($B58,'SCHEDA PEZZI SPECIALI'!$A$38:$F$59,5,FALSE)*1,0)+IFERROR(VLOOKUP($B58,'SCHEDA PEZZI SPECIALI'!$A$38:$F$59,6,FALSE)*1,0),IF(ISNUMBER(MATCH($B58,'SCHEDA ELETTROMECCANICA'!$A$5:$A$14,0)),IFERROR(VLOOKUP($B58,'SCHEDA ELETTROMECCANICA'!$A$5:$D$14,4,FALSE)*1,0),IF(ISNUMBER(MATCH($B58,'SCHEDA BULLONERIA'!$A$6:$A$36,0)),IFERROR(VLOOKUP($B58,'SCHEDA BULLONERIA'!$A$6:$D$36,4,FALSE)*1,0),"")))))</f>
        <v/>
      </c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TTS.PC.001.IPE140.38</t>
        </is>
      </c>
      <c r="C59" s="4" t="inlineStr">
        <is>
          <t>Pilastro cuscinetto trave IPE 140 mt.3,80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STRUTTURA'!$A$17:$E$417,5,FALSE),"")</f>
        <v/>
      </c>
      <c r="G59" s="5">
        <f>IF($B59="","",IF(ISNUMBER(MATCH($B59,'SCHEDA STRUTTURA'!$A$17:$A$147,0)),IFERROR(VLOOKUP($B59,'SCHEDA STRUTTURA'!$A$17:$G$147,6,FALSE)*1,0)+IFERROR(VLOOKUP($B59,'SCHEDA STRUTTURA'!$A$17:$G$147,7,FALSE)*1,0),IF(ISNUMBER(MATCH($B59,'SCHEDA PEZZI SPECIALI'!$A$38:$A$59,0)),IFERROR(VLOOKUP($B59,'SCHEDA PEZZI SPECIALI'!$A$38:$F$59,5,FALSE)*1,0)+IFERROR(VLOOKUP($B59,'SCHEDA PEZZI SPECIALI'!$A$38:$F$59,6,FALSE)*1,0),IF(ISNUMBER(MATCH($B59,'SCHEDA ELETTROMECCANICA'!$A$5:$A$14,0)),IFERROR(VLOOKUP($B59,'SCHEDA ELETTROMECCANICA'!$A$5:$D$14,4,FALSE)*1,0),IF(ISNUMBER(MATCH($B59,'SCHEDA BULLONERIA'!$A$6:$A$36,0)),IFERROR(VLOOKUP($B59,'SCHEDA BULLONERIA'!$A$6:$D$36,4,FALSE)*1,0),"")))))</f>
        <v/>
      </c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TTS.PC.001.IPEA140.38</t>
        </is>
      </c>
      <c r="C60" s="4" t="inlineStr">
        <is>
          <t>Pilastro cuscinetto trave IPEA 140 mt.3,80 (alleggerita)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STRUTTURA'!$A$17:$E$417,5,FALSE),"")</f>
        <v/>
      </c>
      <c r="G60" s="5">
        <f>IF($B60="","",IF(ISNUMBER(MATCH($B60,'SCHEDA STRUTTURA'!$A$17:$A$147,0)),IFERROR(VLOOKUP($B60,'SCHEDA STRUTTURA'!$A$17:$G$147,6,FALSE)*1,0)+IFERROR(VLOOKUP($B60,'SCHEDA STRUTTURA'!$A$17:$G$147,7,FALSE)*1,0),IF(ISNUMBER(MATCH($B60,'SCHEDA PEZZI SPECIALI'!$A$38:$A$59,0)),IFERROR(VLOOKUP($B60,'SCHEDA PEZZI SPECIALI'!$A$38:$F$59,5,FALSE)*1,0)+IFERROR(VLOOKUP($B60,'SCHEDA PEZZI SPECIALI'!$A$38:$F$59,6,FALSE)*1,0),IF(ISNUMBER(MATCH($B60,'SCHEDA ELETTROMECCANICA'!$A$5:$A$14,0)),IFERROR(VLOOKUP($B60,'SCHEDA ELETTROMECCANICA'!$A$5:$D$14,4,FALSE)*1,0),IF(ISNUMBER(MATCH($B60,'SCHEDA BULLONERIA'!$A$6:$A$36,0)),IFERROR(VLOOKUP($B60,'SCHEDA BULLONERIA'!$A$6:$D$36,4,FALSE)*1,0),"")))))</f>
        <v/>
      </c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TTS.PC.001.IPE140.39</t>
        </is>
      </c>
      <c r="C61" s="4" t="inlineStr">
        <is>
          <t>Pilastro cuscinetto trave IPE 140 mt.3,90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STRUTTURA'!$A$17:$E$417,5,FALSE),"")</f>
        <v/>
      </c>
      <c r="G61" s="5">
        <f>IF($B61="","",IF(ISNUMBER(MATCH($B61,'SCHEDA STRUTTURA'!$A$17:$A$147,0)),IFERROR(VLOOKUP($B61,'SCHEDA STRUTTURA'!$A$17:$G$147,6,FALSE)*1,0)+IFERROR(VLOOKUP($B61,'SCHEDA STRUTTURA'!$A$17:$G$147,7,FALSE)*1,0),IF(ISNUMBER(MATCH($B61,'SCHEDA PEZZI SPECIALI'!$A$38:$A$59,0)),IFERROR(VLOOKUP($B61,'SCHEDA PEZZI SPECIALI'!$A$38:$F$59,5,FALSE)*1,0)+IFERROR(VLOOKUP($B61,'SCHEDA PEZZI SPECIALI'!$A$38:$F$59,6,FALSE)*1,0),IF(ISNUMBER(MATCH($B61,'SCHEDA ELETTROMECCANICA'!$A$5:$A$14,0)),IFERROR(VLOOKUP($B61,'SCHEDA ELETTROMECCANICA'!$A$5:$D$14,4,FALSE)*1,0),IF(ISNUMBER(MATCH($B61,'SCHEDA BULLONERIA'!$A$6:$A$36,0)),IFERROR(VLOOKUP($B61,'SCHEDA BULLONERIA'!$A$6:$D$36,4,FALSE)*1,0),"")))))</f>
        <v/>
      </c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TTS.PC.001.IPEA140.39</t>
        </is>
      </c>
      <c r="C62" s="4" t="inlineStr">
        <is>
          <t>Pilastro cuscinetto trave IPEA 140 mt.3,90 (alleggerita)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STRUTTURA'!$A$17:$E$417,5,FALSE),"")</f>
        <v/>
      </c>
      <c r="G62" s="5">
        <f>IF($B62="","",IF(ISNUMBER(MATCH($B62,'SCHEDA STRUTTURA'!$A$17:$A$147,0)),IFERROR(VLOOKUP($B62,'SCHEDA STRUTTURA'!$A$17:$G$147,6,FALSE)*1,0)+IFERROR(VLOOKUP($B62,'SCHEDA STRUTTURA'!$A$17:$G$147,7,FALSE)*1,0),IF(ISNUMBER(MATCH($B62,'SCHEDA PEZZI SPECIALI'!$A$38:$A$59,0)),IFERROR(VLOOKUP($B62,'SCHEDA PEZZI SPECIALI'!$A$38:$F$59,5,FALSE)*1,0)+IFERROR(VLOOKUP($B62,'SCHEDA PEZZI SPECIALI'!$A$38:$F$59,6,FALSE)*1,0),IF(ISNUMBER(MATCH($B62,'SCHEDA ELETTROMECCANICA'!$A$5:$A$14,0)),IFERROR(VLOOKUP($B62,'SCHEDA ELETTROMECCANICA'!$A$5:$D$14,4,FALSE)*1,0),IF(ISNUMBER(MATCH($B62,'SCHEDA BULLONERIA'!$A$6:$A$36,0)),IFERROR(VLOOKUP($B62,'SCHEDA BULLONERIA'!$A$6:$D$36,4,FALSE)*1,0),"")))))</f>
        <v/>
      </c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TTS.PC.001.IPE140.40</t>
        </is>
      </c>
      <c r="C63" s="4" t="inlineStr">
        <is>
          <t>Pilastro cuscinetto trave IPE 140 mt.4,00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STRUTTURA'!$A$17:$E$417,5,FALSE),"")</f>
        <v/>
      </c>
      <c r="G63" s="5">
        <f>IF($B63="","",IF(ISNUMBER(MATCH($B63,'SCHEDA STRUTTURA'!$A$17:$A$147,0)),IFERROR(VLOOKUP($B63,'SCHEDA STRUTTURA'!$A$17:$G$147,6,FALSE)*1,0)+IFERROR(VLOOKUP($B63,'SCHEDA STRUTTURA'!$A$17:$G$147,7,FALSE)*1,0),IF(ISNUMBER(MATCH($B63,'SCHEDA PEZZI SPECIALI'!$A$38:$A$59,0)),IFERROR(VLOOKUP($B63,'SCHEDA PEZZI SPECIALI'!$A$38:$F$59,5,FALSE)*1,0)+IFERROR(VLOOKUP($B63,'SCHEDA PEZZI SPECIALI'!$A$38:$F$59,6,FALSE)*1,0),IF(ISNUMBER(MATCH($B63,'SCHEDA ELETTROMECCANICA'!$A$5:$A$14,0)),IFERROR(VLOOKUP($B63,'SCHEDA ELETTROMECCANICA'!$A$5:$D$14,4,FALSE)*1,0),IF(ISNUMBER(MATCH($B63,'SCHEDA BULLONERIA'!$A$6:$A$36,0)),IFERROR(VLOOKUP($B63,'SCHEDA BULLONERIA'!$A$6:$D$36,4,FALSE)*1,0),"")))))</f>
        <v/>
      </c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TTS.PC.001.IPEA140.40</t>
        </is>
      </c>
      <c r="C64" s="4" t="inlineStr">
        <is>
          <t>Pilastro cuscinetto trave IPEA 140 mt.4,00 (alleggerita)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STRUTTURA'!$A$17:$E$417,5,FALSE),"")</f>
        <v/>
      </c>
      <c r="G64" s="5">
        <f>IF($B64="","",IF(ISNUMBER(MATCH($B64,'SCHEDA STRUTTURA'!$A$17:$A$147,0)),IFERROR(VLOOKUP($B64,'SCHEDA STRUTTURA'!$A$17:$G$147,6,FALSE)*1,0)+IFERROR(VLOOKUP($B64,'SCHEDA STRUTTURA'!$A$17:$G$147,7,FALSE)*1,0),IF(ISNUMBER(MATCH($B64,'SCHEDA PEZZI SPECIALI'!$A$38:$A$59,0)),IFERROR(VLOOKUP($B64,'SCHEDA PEZZI SPECIALI'!$A$38:$F$59,5,FALSE)*1,0)+IFERROR(VLOOKUP($B64,'SCHEDA PEZZI SPECIALI'!$A$38:$F$59,6,FALSE)*1,0),IF(ISNUMBER(MATCH($B64,'SCHEDA ELETTROMECCANICA'!$A$5:$A$14,0)),IFERROR(VLOOKUP($B64,'SCHEDA ELETTROMECCANICA'!$A$5:$D$14,4,FALSE)*1,0),IF(ISNUMBER(MATCH($B64,'SCHEDA BULLONERIA'!$A$6:$A$36,0)),IFERROR(VLOOKUP($B64,'SCHEDA BULLONERIA'!$A$6:$D$36,4,FALSE)*1,0),"")))))</f>
        <v/>
      </c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TTS.PC.001.IPE140.41</t>
        </is>
      </c>
      <c r="C65" s="4" t="inlineStr">
        <is>
          <t>Pilastro cuscinetto trave IPE 140 mt.4,10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STRUTTURA'!$A$17:$E$417,5,FALSE),"")</f>
        <v/>
      </c>
      <c r="G65" s="5">
        <f>IF($B65="","",IF(ISNUMBER(MATCH($B65,'SCHEDA STRUTTURA'!$A$17:$A$147,0)),IFERROR(VLOOKUP($B65,'SCHEDA STRUTTURA'!$A$17:$G$147,6,FALSE)*1,0)+IFERROR(VLOOKUP($B65,'SCHEDA STRUTTURA'!$A$17:$G$147,7,FALSE)*1,0),IF(ISNUMBER(MATCH($B65,'SCHEDA PEZZI SPECIALI'!$A$38:$A$59,0)),IFERROR(VLOOKUP($B65,'SCHEDA PEZZI SPECIALI'!$A$38:$F$59,5,FALSE)*1,0)+IFERROR(VLOOKUP($B65,'SCHEDA PEZZI SPECIALI'!$A$38:$F$59,6,FALSE)*1,0),IF(ISNUMBER(MATCH($B65,'SCHEDA ELETTROMECCANICA'!$A$5:$A$14,0)),IFERROR(VLOOKUP($B65,'SCHEDA ELETTROMECCANICA'!$A$5:$D$14,4,FALSE)*1,0),IF(ISNUMBER(MATCH($B65,'SCHEDA BULLONERIA'!$A$6:$A$36,0)),IFERROR(VLOOKUP($B65,'SCHEDA BULLONERIA'!$A$6:$D$36,4,FALSE)*1,0),"")))))</f>
        <v/>
      </c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TTS.PC.001.IPEA140.41</t>
        </is>
      </c>
      <c r="C66" s="4" t="inlineStr">
        <is>
          <t>Pilastro cuscinetto trave IPEA 140 mt.4,10 (alleggerita)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STRUTTURA'!$A$17:$E$417,5,FALSE),"")</f>
        <v/>
      </c>
      <c r="G66" s="5">
        <f>IF($B66="","",IF(ISNUMBER(MATCH($B66,'SCHEDA STRUTTURA'!$A$17:$A$147,0)),IFERROR(VLOOKUP($B66,'SCHEDA STRUTTURA'!$A$17:$G$147,6,FALSE)*1,0)+IFERROR(VLOOKUP($B66,'SCHEDA STRUTTURA'!$A$17:$G$147,7,FALSE)*1,0),IF(ISNUMBER(MATCH($B66,'SCHEDA PEZZI SPECIALI'!$A$38:$A$59,0)),IFERROR(VLOOKUP($B66,'SCHEDA PEZZI SPECIALI'!$A$38:$F$59,5,FALSE)*1,0)+IFERROR(VLOOKUP($B66,'SCHEDA PEZZI SPECIALI'!$A$38:$F$59,6,FALSE)*1,0),IF(ISNUMBER(MATCH($B66,'SCHEDA ELETTROMECCANICA'!$A$5:$A$14,0)),IFERROR(VLOOKUP($B66,'SCHEDA ELETTROMECCANICA'!$A$5:$D$14,4,FALSE)*1,0),IF(ISNUMBER(MATCH($B66,'SCHEDA BULLONERIA'!$A$6:$A$36,0)),IFERROR(VLOOKUP($B66,'SCHEDA BULLONERIA'!$A$6:$D$36,4,FALSE)*1,0),"")))))</f>
        <v/>
      </c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TTS.PC.001.IPE140.42</t>
        </is>
      </c>
      <c r="C67" s="4" t="inlineStr">
        <is>
          <t>Pilastro cuscinetto trave IPE 140 mt.4,20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STRUTTURA'!$A$17:$E$417,5,FALSE),"")</f>
        <v/>
      </c>
      <c r="G67" s="5">
        <f>IF($B67="","",IF(ISNUMBER(MATCH($B67,'SCHEDA STRUTTURA'!$A$17:$A$147,0)),IFERROR(VLOOKUP($B67,'SCHEDA STRUTTURA'!$A$17:$G$147,6,FALSE)*1,0)+IFERROR(VLOOKUP($B67,'SCHEDA STRUTTURA'!$A$17:$G$147,7,FALSE)*1,0),IF(ISNUMBER(MATCH($B67,'SCHEDA PEZZI SPECIALI'!$A$38:$A$59,0)),IFERROR(VLOOKUP($B67,'SCHEDA PEZZI SPECIALI'!$A$38:$F$59,5,FALSE)*1,0)+IFERROR(VLOOKUP($B67,'SCHEDA PEZZI SPECIALI'!$A$38:$F$59,6,FALSE)*1,0),IF(ISNUMBER(MATCH($B67,'SCHEDA ELETTROMECCANICA'!$A$5:$A$14,0)),IFERROR(VLOOKUP($B67,'SCHEDA ELETTROMECCANICA'!$A$5:$D$14,4,FALSE)*1,0),IF(ISNUMBER(MATCH($B67,'SCHEDA BULLONERIA'!$A$6:$A$36,0)),IFERROR(VLOOKUP($B67,'SCHEDA BULLONERIA'!$A$6:$D$36,4,FALSE)*1,0),"")))))</f>
        <v/>
      </c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TTS.PC.001.IPEA140.42</t>
        </is>
      </c>
      <c r="C68" s="4" t="inlineStr">
        <is>
          <t>Pilastro cuscinetto trave IPEA 140 mt.4,20 (alleggerita)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STRUTTURA'!$A$17:$E$417,5,FALSE),"")</f>
        <v/>
      </c>
      <c r="G68" s="5">
        <f>IF($B68="","",IF(ISNUMBER(MATCH($B68,'SCHEDA STRUTTURA'!$A$17:$A$147,0)),IFERROR(VLOOKUP($B68,'SCHEDA STRUTTURA'!$A$17:$G$147,6,FALSE)*1,0)+IFERROR(VLOOKUP($B68,'SCHEDA STRUTTURA'!$A$17:$G$147,7,FALSE)*1,0),IF(ISNUMBER(MATCH($B68,'SCHEDA PEZZI SPECIALI'!$A$38:$A$59,0)),IFERROR(VLOOKUP($B68,'SCHEDA PEZZI SPECIALI'!$A$38:$F$59,5,FALSE)*1,0)+IFERROR(VLOOKUP($B68,'SCHEDA PEZZI SPECIALI'!$A$38:$F$59,6,FALSE)*1,0),IF(ISNUMBER(MATCH($B68,'SCHEDA ELETTROMECCANICA'!$A$5:$A$14,0)),IFERROR(VLOOKUP($B68,'SCHEDA ELETTROMECCANICA'!$A$5:$D$14,4,FALSE)*1,0),IF(ISNUMBER(MATCH($B68,'SCHEDA BULLONERIA'!$A$6:$A$36,0)),IFERROR(VLOOKUP($B68,'SCHEDA BULLONERIA'!$A$6:$D$36,4,FALSE)*1,0),"")))))</f>
        <v/>
      </c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TTS.PC.001.IPE140.43</t>
        </is>
      </c>
      <c r="C69" s="4" t="inlineStr">
        <is>
          <t>Pilastro cuscinetto trave IPE 140 mt.4,30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STRUTTURA'!$A$17:$E$417,5,FALSE),"")</f>
        <v/>
      </c>
      <c r="G69" s="5">
        <f>IF($B69="","",IF(ISNUMBER(MATCH($B69,'SCHEDA STRUTTURA'!$A$17:$A$147,0)),IFERROR(VLOOKUP($B69,'SCHEDA STRUTTURA'!$A$17:$G$147,6,FALSE)*1,0)+IFERROR(VLOOKUP($B69,'SCHEDA STRUTTURA'!$A$17:$G$147,7,FALSE)*1,0),IF(ISNUMBER(MATCH($B69,'SCHEDA PEZZI SPECIALI'!$A$38:$A$59,0)),IFERROR(VLOOKUP($B69,'SCHEDA PEZZI SPECIALI'!$A$38:$F$59,5,FALSE)*1,0)+IFERROR(VLOOKUP($B69,'SCHEDA PEZZI SPECIALI'!$A$38:$F$59,6,FALSE)*1,0),IF(ISNUMBER(MATCH($B69,'SCHEDA ELETTROMECCANICA'!$A$5:$A$14,0)),IFERROR(VLOOKUP($B69,'SCHEDA ELETTROMECCANICA'!$A$5:$D$14,4,FALSE)*1,0),IF(ISNUMBER(MATCH($B69,'SCHEDA BULLONERIA'!$A$6:$A$36,0)),IFERROR(VLOOKUP($B69,'SCHEDA BULLONERIA'!$A$6:$D$36,4,FALSE)*1,0),"")))))</f>
        <v/>
      </c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TTS.PC.001.IPEA140.43</t>
        </is>
      </c>
      <c r="C70" s="4" t="inlineStr">
        <is>
          <t>Pilastro cuscinetto trave IPEA 140 mt.4,30 (alleggerita)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STRUTTURA'!$A$17:$E$417,5,FALSE),"")</f>
        <v/>
      </c>
      <c r="G70" s="5">
        <f>IF($B70="","",IF(ISNUMBER(MATCH($B70,'SCHEDA STRUTTURA'!$A$17:$A$147,0)),IFERROR(VLOOKUP($B70,'SCHEDA STRUTTURA'!$A$17:$G$147,6,FALSE)*1,0)+IFERROR(VLOOKUP($B70,'SCHEDA STRUTTURA'!$A$17:$G$147,7,FALSE)*1,0),IF(ISNUMBER(MATCH($B70,'SCHEDA PEZZI SPECIALI'!$A$38:$A$59,0)),IFERROR(VLOOKUP($B70,'SCHEDA PEZZI SPECIALI'!$A$38:$F$59,5,FALSE)*1,0)+IFERROR(VLOOKUP($B70,'SCHEDA PEZZI SPECIALI'!$A$38:$F$59,6,FALSE)*1,0),IF(ISNUMBER(MATCH($B70,'SCHEDA ELETTROMECCANICA'!$A$5:$A$14,0)),IFERROR(VLOOKUP($B70,'SCHEDA ELETTROMECCANICA'!$A$5:$D$14,4,FALSE)*1,0),IF(ISNUMBER(MATCH($B70,'SCHEDA BULLONERIA'!$A$6:$A$36,0)),IFERROR(VLOOKUP($B70,'SCHEDA BULLONERIA'!$A$6:$D$36,4,FALSE)*1,0),"")))))</f>
        <v/>
      </c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TTS.PC.001.IPE140.44</t>
        </is>
      </c>
      <c r="C71" s="4" t="inlineStr">
        <is>
          <t>Pilastro cuscinetto trave IPE 140 mt.4,40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STRUTTURA'!$A$17:$E$417,5,FALSE),"")</f>
        <v/>
      </c>
      <c r="G71" s="5">
        <f>IF($B71="","",IF(ISNUMBER(MATCH($B71,'SCHEDA STRUTTURA'!$A$17:$A$147,0)),IFERROR(VLOOKUP($B71,'SCHEDA STRUTTURA'!$A$17:$G$147,6,FALSE)*1,0)+IFERROR(VLOOKUP($B71,'SCHEDA STRUTTURA'!$A$17:$G$147,7,FALSE)*1,0),IF(ISNUMBER(MATCH($B71,'SCHEDA PEZZI SPECIALI'!$A$38:$A$59,0)),IFERROR(VLOOKUP($B71,'SCHEDA PEZZI SPECIALI'!$A$38:$F$59,5,FALSE)*1,0)+IFERROR(VLOOKUP($B71,'SCHEDA PEZZI SPECIALI'!$A$38:$F$59,6,FALSE)*1,0),IF(ISNUMBER(MATCH($B71,'SCHEDA ELETTROMECCANICA'!$A$5:$A$14,0)),IFERROR(VLOOKUP($B71,'SCHEDA ELETTROMECCANICA'!$A$5:$D$14,4,FALSE)*1,0),IF(ISNUMBER(MATCH($B71,'SCHEDA BULLONERIA'!$A$6:$A$36,0)),IFERROR(VLOOKUP($B71,'SCHEDA BULLONERIA'!$A$6:$D$36,4,FALSE)*1,0),"")))))</f>
        <v/>
      </c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TTS.PC.001.IPEA140.44</t>
        </is>
      </c>
      <c r="C72" s="4" t="inlineStr">
        <is>
          <t>Pilastro cuscinetto trave IPEA 140 mt.4,40 (alleggerita)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STRUTTURA'!$A$17:$E$417,5,FALSE),"")</f>
        <v/>
      </c>
      <c r="G72" s="5">
        <f>IF($B72="","",IF(ISNUMBER(MATCH($B72,'SCHEDA STRUTTURA'!$A$17:$A$147,0)),IFERROR(VLOOKUP($B72,'SCHEDA STRUTTURA'!$A$17:$G$147,6,FALSE)*1,0)+IFERROR(VLOOKUP($B72,'SCHEDA STRUTTURA'!$A$17:$G$147,7,FALSE)*1,0),IF(ISNUMBER(MATCH($B72,'SCHEDA PEZZI SPECIALI'!$A$38:$A$59,0)),IFERROR(VLOOKUP($B72,'SCHEDA PEZZI SPECIALI'!$A$38:$F$59,5,FALSE)*1,0)+IFERROR(VLOOKUP($B72,'SCHEDA PEZZI SPECIALI'!$A$38:$F$59,6,FALSE)*1,0),IF(ISNUMBER(MATCH($B72,'SCHEDA ELETTROMECCANICA'!$A$5:$A$14,0)),IFERROR(VLOOKUP($B72,'SCHEDA ELETTROMECCANICA'!$A$5:$D$14,4,FALSE)*1,0),IF(ISNUMBER(MATCH($B72,'SCHEDA BULLONERIA'!$A$6:$A$36,0)),IFERROR(VLOOKUP($B72,'SCHEDA BULLONERIA'!$A$6:$D$36,4,FALSE)*1,0),"")))))</f>
        <v/>
      </c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TTS.PC.001.IPE140.45</t>
        </is>
      </c>
      <c r="C73" s="4" t="inlineStr">
        <is>
          <t>Pilastro cuscinetto trave IPE 140 mt.4,50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STRUTTURA'!$A$17:$E$417,5,FALSE),"")</f>
        <v/>
      </c>
      <c r="G73" s="5">
        <f>IF($B73="","",IF(ISNUMBER(MATCH($B73,'SCHEDA STRUTTURA'!$A$17:$A$147,0)),IFERROR(VLOOKUP($B73,'SCHEDA STRUTTURA'!$A$17:$G$147,6,FALSE)*1,0)+IFERROR(VLOOKUP($B73,'SCHEDA STRUTTURA'!$A$17:$G$147,7,FALSE)*1,0),IF(ISNUMBER(MATCH($B73,'SCHEDA PEZZI SPECIALI'!$A$38:$A$59,0)),IFERROR(VLOOKUP($B73,'SCHEDA PEZZI SPECIALI'!$A$38:$F$59,5,FALSE)*1,0)+IFERROR(VLOOKUP($B73,'SCHEDA PEZZI SPECIALI'!$A$38:$F$59,6,FALSE)*1,0),IF(ISNUMBER(MATCH($B73,'SCHEDA ELETTROMECCANICA'!$A$5:$A$14,0)),IFERROR(VLOOKUP($B73,'SCHEDA ELETTROMECCANICA'!$A$5:$D$14,4,FALSE)*1,0),IF(ISNUMBER(MATCH($B73,'SCHEDA BULLONERIA'!$A$6:$A$36,0)),IFERROR(VLOOKUP($B73,'SCHEDA BULLONERIA'!$A$6:$D$36,4,FALSE)*1,0),"")))))</f>
        <v/>
      </c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TTS.PC.001.IPEA140.45</t>
        </is>
      </c>
      <c r="C74" s="4" t="inlineStr">
        <is>
          <t>Pilastro cuscinetto trave IPEA 140 mt.4,50 (alleggerita)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STRUTTURA'!$A$17:$E$417,5,FALSE),"")</f>
        <v/>
      </c>
      <c r="G74" s="5">
        <f>IF($B74="","",IF(ISNUMBER(MATCH($B74,'SCHEDA STRUTTURA'!$A$17:$A$147,0)),IFERROR(VLOOKUP($B74,'SCHEDA STRUTTURA'!$A$17:$G$147,6,FALSE)*1,0)+IFERROR(VLOOKUP($B74,'SCHEDA STRUTTURA'!$A$17:$G$147,7,FALSE)*1,0),IF(ISNUMBER(MATCH($B74,'SCHEDA PEZZI SPECIALI'!$A$38:$A$59,0)),IFERROR(VLOOKUP($B74,'SCHEDA PEZZI SPECIALI'!$A$38:$F$59,5,FALSE)*1,0)+IFERROR(VLOOKUP($B74,'SCHEDA PEZZI SPECIALI'!$A$38:$F$59,6,FALSE)*1,0),IF(ISNUMBER(MATCH($B74,'SCHEDA ELETTROMECCANICA'!$A$5:$A$14,0)),IFERROR(VLOOKUP($B74,'SCHEDA ELETTROMECCANICA'!$A$5:$D$14,4,FALSE)*1,0),IF(ISNUMBER(MATCH($B74,'SCHEDA BULLONERIA'!$A$6:$A$36,0)),IFERROR(VLOOKUP($B74,'SCHEDA BULLONERIA'!$A$6:$D$36,4,FALSE)*1,0),"")))))</f>
        <v/>
      </c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TTS.PC.001.IPE140.23.FI</t>
        </is>
      </c>
      <c r="C75" s="4" t="inlineStr">
        <is>
          <t>Pilastro cuscinetto trave ipe140 x mt. 2,30 con foratura alloggiamento inverter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STRUTTURA'!$A$17:$E$417,5,FALSE),"")</f>
        <v/>
      </c>
      <c r="G75" s="5">
        <f>IF($B75="","",IF(ISNUMBER(MATCH($B75,'SCHEDA STRUTTURA'!$A$17:$A$147,0)),IFERROR(VLOOKUP($B75,'SCHEDA STRUTTURA'!$A$17:$G$147,6,FALSE)*1,0)+IFERROR(VLOOKUP($B75,'SCHEDA STRUTTURA'!$A$17:$G$147,7,FALSE)*1,0),IF(ISNUMBER(MATCH($B75,'SCHEDA PEZZI SPECIALI'!$A$38:$A$59,0)),IFERROR(VLOOKUP($B75,'SCHEDA PEZZI SPECIALI'!$A$38:$F$59,5,FALSE)*1,0)+IFERROR(VLOOKUP($B75,'SCHEDA PEZZI SPECIALI'!$A$38:$F$59,6,FALSE)*1,0),IF(ISNUMBER(MATCH($B75,'SCHEDA ELETTROMECCANICA'!$A$5:$A$14,0)),IFERROR(VLOOKUP($B75,'SCHEDA ELETTROMECCANICA'!$A$5:$D$14,4,FALSE)*1,0),IF(ISNUMBER(MATCH($B75,'SCHEDA BULLONERIA'!$A$6:$A$36,0)),IFERROR(VLOOKUP($B75,'SCHEDA BULLONERIA'!$A$6:$D$36,4,FALSE)*1,0),"")))))</f>
        <v/>
      </c>
      <c r="H75" s="4" t="inlineStr">
        <is>
          <t>kit quadri inverter</t>
        </is>
      </c>
      <c r="I75" s="11" t="n">
        <v>1</v>
      </c>
    </row>
    <row r="76">
      <c r="A76" s="11" t="n">
        <v>72</v>
      </c>
      <c r="B76" s="4" t="inlineStr">
        <is>
          <t>TTS.PC.001.IPEA140.23.FI</t>
        </is>
      </c>
      <c r="C76" s="4" t="inlineStr">
        <is>
          <t>Pilastro cuscinetto trave ipea140 x mt. 2,30 con foratura alloggiamento inverter (alleggerita)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STRUTTURA'!$A$17:$E$417,5,FALSE),"")</f>
        <v/>
      </c>
      <c r="G76" s="5">
        <f>IF($B76="","",IF(ISNUMBER(MATCH($B76,'SCHEDA STRUTTURA'!$A$17:$A$147,0)),IFERROR(VLOOKUP($B76,'SCHEDA STRUTTURA'!$A$17:$G$147,6,FALSE)*1,0)+IFERROR(VLOOKUP($B76,'SCHEDA STRUTTURA'!$A$17:$G$147,7,FALSE)*1,0),IF(ISNUMBER(MATCH($B76,'SCHEDA PEZZI SPECIALI'!$A$38:$A$59,0)),IFERROR(VLOOKUP($B76,'SCHEDA PEZZI SPECIALI'!$A$38:$F$59,5,FALSE)*1,0)+IFERROR(VLOOKUP($B76,'SCHEDA PEZZI SPECIALI'!$A$38:$F$59,6,FALSE)*1,0),IF(ISNUMBER(MATCH($B76,'SCHEDA ELETTROMECCANICA'!$A$5:$A$14,0)),IFERROR(VLOOKUP($B76,'SCHEDA ELETTROMECCANICA'!$A$5:$D$14,4,FALSE)*1,0),IF(ISNUMBER(MATCH($B76,'SCHEDA BULLONERIA'!$A$6:$A$36,0)),IFERROR(VLOOKUP($B76,'SCHEDA BULLONERIA'!$A$6:$D$36,4,FALSE)*1,0),"")))))</f>
        <v/>
      </c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TTS.PC.001.IPE140.23.FQA</t>
        </is>
      </c>
      <c r="C77" s="4" t="inlineStr">
        <is>
          <t>Pilastro cuscinetto trave ipe140 x mt. 2,30 con foratura alloggiamento quadro area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STRUTTURA'!$A$17:$E$417,5,FALSE),"")</f>
        <v/>
      </c>
      <c r="G77" s="5">
        <f>IF($B77="","",IF(ISNUMBER(MATCH($B77,'SCHEDA STRUTTURA'!$A$17:$A$147,0)),IFERROR(VLOOKUP($B77,'SCHEDA STRUTTURA'!$A$17:$G$147,6,FALSE)*1,0)+IFERROR(VLOOKUP($B77,'SCHEDA STRUTTURA'!$A$17:$G$147,7,FALSE)*1,0),IF(ISNUMBER(MATCH($B77,'SCHEDA PEZZI SPECIALI'!$A$38:$A$59,0)),IFERROR(VLOOKUP($B77,'SCHEDA PEZZI SPECIALI'!$A$38:$F$59,5,FALSE)*1,0)+IFERROR(VLOOKUP($B77,'SCHEDA PEZZI SPECIALI'!$A$38:$F$59,6,FALSE)*1,0),IF(ISNUMBER(MATCH($B77,'SCHEDA ELETTROMECCANICA'!$A$5:$A$14,0)),IFERROR(VLOOKUP($B77,'SCHEDA ELETTROMECCANICA'!$A$5:$D$14,4,FALSE)*1,0),IF(ISNUMBER(MATCH($B77,'SCHEDA BULLONERIA'!$A$6:$A$36,0)),IFERROR(VLOOKUP($B77,'SCHEDA BULLONERIA'!$A$6:$D$36,4,FALSE)*1,0),"")))))</f>
        <v/>
      </c>
      <c r="H77" s="4" t="inlineStr">
        <is>
          <t>kit quadri area</t>
        </is>
      </c>
      <c r="I77" s="11" t="n">
        <v>1</v>
      </c>
    </row>
    <row r="78">
      <c r="A78" s="11" t="n">
        <v>74</v>
      </c>
      <c r="B78" s="4" t="inlineStr">
        <is>
          <t>TTS.PC.001.IPEA140.23.FQA</t>
        </is>
      </c>
      <c r="C78" s="4" t="inlineStr">
        <is>
          <t>Pilastro cuscinetto trave ipea140 x mt. 2,30 con foratura alloggiamento quadro area (alleggerita)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STRUTTURA'!$A$17:$E$417,5,FALSE),"")</f>
        <v/>
      </c>
      <c r="G78" s="5">
        <f>IF($B78="","",IF(ISNUMBER(MATCH($B78,'SCHEDA STRUTTURA'!$A$17:$A$147,0)),IFERROR(VLOOKUP($B78,'SCHEDA STRUTTURA'!$A$17:$G$147,6,FALSE)*1,0)+IFERROR(VLOOKUP($B78,'SCHEDA STRUTTURA'!$A$17:$G$147,7,FALSE)*1,0),IF(ISNUMBER(MATCH($B78,'SCHEDA PEZZI SPECIALI'!$A$38:$A$59,0)),IFERROR(VLOOKUP($B78,'SCHEDA PEZZI SPECIALI'!$A$38:$F$59,5,FALSE)*1,0)+IFERROR(VLOOKUP($B78,'SCHEDA PEZZI SPECIALI'!$A$38:$F$59,6,FALSE)*1,0),IF(ISNUMBER(MATCH($B78,'SCHEDA ELETTROMECCANICA'!$A$5:$A$14,0)),IFERROR(VLOOKUP($B78,'SCHEDA ELETTROMECCANICA'!$A$5:$D$14,4,FALSE)*1,0),IF(ISNUMBER(MATCH($B78,'SCHEDA BULLONERIA'!$A$6:$A$36,0)),IFERROR(VLOOKUP($B78,'SCHEDA BULLONERIA'!$A$6:$D$36,4,FALSE)*1,0),"")))))</f>
        <v/>
      </c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TTS.PC.002.IPE140</t>
        </is>
      </c>
      <c r="C79" s="4" t="inlineStr">
        <is>
          <t>Supporto laterale testa cuscinetto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PEZZI SPECIALI'!$A$38:$F$400,4,FALSE),"")</f>
        <v/>
      </c>
      <c r="G79" s="5">
        <f>IF($B79="","",IF(ISNUMBER(MATCH($B79,'SCHEDA STRUTTURA'!$A$17:$A$147,0)),IFERROR(VLOOKUP($B79,'SCHEDA STRUTTURA'!$A$17:$G$147,6,FALSE)*1,0)+IFERROR(VLOOKUP($B79,'SCHEDA STRUTTURA'!$A$17:$G$147,7,FALSE)*1,0),IF(ISNUMBER(MATCH($B79,'SCHEDA PEZZI SPECIALI'!$A$38:$A$59,0)),IFERROR(VLOOKUP($B79,'SCHEDA PEZZI SPECIALI'!$A$38:$F$59,5,FALSE)*1,0)+IFERROR(VLOOKUP($B79,'SCHEDA PEZZI SPECIALI'!$A$38:$F$59,6,FALSE)*1,0),IF(ISNUMBER(MATCH($B79,'SCHEDA ELETTROMECCANICA'!$A$5:$A$14,0)),IFERROR(VLOOKUP($B79,'SCHEDA ELETTROMECCANICA'!$A$5:$D$14,4,FALSE)*1,0),IF(ISNUMBER(MATCH($B79,'SCHEDA BULLONERIA'!$A$6:$A$36,0)),IFERROR(VLOOKUP($B79,'SCHEDA BULLONERIA'!$A$6:$D$36,4,FALSE)*1,0),"")))))</f>
        <v/>
      </c>
      <c r="H79" s="4" t="inlineStr">
        <is>
          <t>PILASTRO CUSCINETTO</t>
        </is>
      </c>
      <c r="I79" s="11" t="n">
        <v>1</v>
      </c>
    </row>
    <row r="80">
      <c r="A80" s="11" t="n">
        <v>76</v>
      </c>
      <c r="B80" s="4" t="inlineStr">
        <is>
          <t>TTS.PC.003.IPE140</t>
        </is>
      </c>
      <c r="C80" s="4" t="inlineStr">
        <is>
          <t>Supporto testa cuscinetto</t>
        </is>
      </c>
      <c r="D80" s="4" t="inlineStr">
        <is>
          <t>Carpenteria metallica</t>
        </is>
      </c>
      <c r="E80" s="11" t="inlineStr">
        <is>
          <t>pz</t>
        </is>
      </c>
      <c r="F80" s="9">
        <f>IFERROR(VLOOKUP($B80,'SCHEDA PEZZI SPECIALI'!$A$38:$F$400,4,FALSE),"")</f>
        <v/>
      </c>
      <c r="G80" s="5">
        <f>IF($B80="","",IF(ISNUMBER(MATCH($B80,'SCHEDA STRUTTURA'!$A$17:$A$147,0)),IFERROR(VLOOKUP($B80,'SCHEDA STRUTTURA'!$A$17:$G$147,6,FALSE)*1,0)+IFERROR(VLOOKUP($B80,'SCHEDA STRUTTURA'!$A$17:$G$147,7,FALSE)*1,0),IF(ISNUMBER(MATCH($B80,'SCHEDA PEZZI SPECIALI'!$A$38:$A$59,0)),IFERROR(VLOOKUP($B80,'SCHEDA PEZZI SPECIALI'!$A$38:$F$59,5,FALSE)*1,0)+IFERROR(VLOOKUP($B80,'SCHEDA PEZZI SPECIALI'!$A$38:$F$59,6,FALSE)*1,0),IF(ISNUMBER(MATCH($B80,'SCHEDA ELETTROMECCANICA'!$A$5:$A$14,0)),IFERROR(VLOOKUP($B80,'SCHEDA ELETTROMECCANICA'!$A$5:$D$14,4,FALSE)*1,0),IF(ISNUMBER(MATCH($B80,'SCHEDA BULLONERIA'!$A$6:$A$36,0)),IFERROR(VLOOKUP($B80,'SCHEDA BULLONERIA'!$A$6:$D$36,4,FALSE)*1,0),"")))))</f>
        <v/>
      </c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TTS.PC.2011.1076</t>
        </is>
      </c>
      <c r="C81" s="4" t="inlineStr">
        <is>
          <t>Angolare 40x40x4 lungo 1076 mm. supporto inferiore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PEZZI SPECIALI'!$A$38:$F$400,4,FALSE),"")</f>
        <v/>
      </c>
      <c r="G81" s="5">
        <f>IF($B81="","",IF(ISNUMBER(MATCH($B81,'SCHEDA STRUTTURA'!$A$17:$A$147,0)),IFERROR(VLOOKUP($B81,'SCHEDA STRUTTURA'!$A$17:$G$147,6,FALSE)*1,0)+IFERROR(VLOOKUP($B81,'SCHEDA STRUTTURA'!$A$17:$G$147,7,FALSE)*1,0),IF(ISNUMBER(MATCH($B81,'SCHEDA PEZZI SPECIALI'!$A$38:$A$59,0)),IFERROR(VLOOKUP($B81,'SCHEDA PEZZI SPECIALI'!$A$38:$F$59,5,FALSE)*1,0)+IFERROR(VLOOKUP($B81,'SCHEDA PEZZI SPECIALI'!$A$38:$F$59,6,FALSE)*1,0),IF(ISNUMBER(MATCH($B81,'SCHEDA ELETTROMECCANICA'!$A$5:$A$14,0)),IFERROR(VLOOKUP($B81,'SCHEDA ELETTROMECCANICA'!$A$5:$D$14,4,FALSE)*1,0),IF(ISNUMBER(MATCH($B81,'SCHEDA BULLONERIA'!$A$6:$A$36,0)),IFERROR(VLOOKUP($B81,'SCHEDA BULLONERIA'!$A$6:$D$36,4,FALSE)*1,0),"")))))</f>
        <v/>
      </c>
      <c r="H81" s="4" t="inlineStr">
        <is>
          <t>kit quadri inverter</t>
        </is>
      </c>
      <c r="I81" s="11" t="n">
        <v>1</v>
      </c>
    </row>
    <row r="82">
      <c r="A82" s="11" t="n">
        <v>78</v>
      </c>
      <c r="B82" s="4" t="inlineStr">
        <is>
          <t>TTS.PC.2012.1076</t>
        </is>
      </c>
      <c r="C82" s="4" t="inlineStr">
        <is>
          <t>Angolare 40x40x4 lungo1076 mm. supporto superiore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PEZZI SPECIALI'!$A$38:$F$400,4,FALSE),"")</f>
        <v/>
      </c>
      <c r="G82" s="5">
        <f>IF($B82="","",IF(ISNUMBER(MATCH($B82,'SCHEDA STRUTTURA'!$A$17:$A$147,0)),IFERROR(VLOOKUP($B82,'SCHEDA STRUTTURA'!$A$17:$G$147,6,FALSE)*1,0)+IFERROR(VLOOKUP($B82,'SCHEDA STRUTTURA'!$A$17:$G$147,7,FALSE)*1,0),IF(ISNUMBER(MATCH($B82,'SCHEDA PEZZI SPECIALI'!$A$38:$A$59,0)),IFERROR(VLOOKUP($B82,'SCHEDA PEZZI SPECIALI'!$A$38:$F$59,5,FALSE)*1,0)+IFERROR(VLOOKUP($B82,'SCHEDA PEZZI SPECIALI'!$A$38:$F$59,6,FALSE)*1,0),IF(ISNUMBER(MATCH($B82,'SCHEDA ELETTROMECCANICA'!$A$5:$A$14,0)),IFERROR(VLOOKUP($B82,'SCHEDA ELETTROMECCANICA'!$A$5:$D$14,4,FALSE)*1,0),IF(ISNUMBER(MATCH($B82,'SCHEDA BULLONERIA'!$A$6:$A$36,0)),IFERROR(VLOOKUP($B82,'SCHEDA BULLONERIA'!$A$6:$D$36,4,FALSE)*1,0),"")))))</f>
        <v/>
      </c>
      <c r="H82" s="4" t="inlineStr">
        <is>
          <t>kit quadri inverter</t>
        </is>
      </c>
      <c r="I82" s="11" t="n">
        <v>1</v>
      </c>
    </row>
    <row r="83">
      <c r="A83" s="11" t="n">
        <v>79</v>
      </c>
      <c r="B83" s="4" t="inlineStr">
        <is>
          <t>TTS.PC.2013</t>
        </is>
      </c>
      <c r="C83" s="4" t="inlineStr">
        <is>
          <t>Palo MAX lungo mt.2,040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PEZZI SPECIALI'!$A$38:$F$400,4,FALSE),"")</f>
        <v/>
      </c>
      <c r="G83" s="5">
        <f>IF($B83="","",IF(ISNUMBER(MATCH($B83,'SCHEDA STRUTTURA'!$A$17:$A$147,0)),IFERROR(VLOOKUP($B83,'SCHEDA STRUTTURA'!$A$17:$G$147,6,FALSE)*1,0)+IFERROR(VLOOKUP($B83,'SCHEDA STRUTTURA'!$A$17:$G$147,7,FALSE)*1,0),IF(ISNUMBER(MATCH($B83,'SCHEDA PEZZI SPECIALI'!$A$38:$A$59,0)),IFERROR(VLOOKUP($B83,'SCHEDA PEZZI SPECIALI'!$A$38:$F$59,5,FALSE)*1,0)+IFERROR(VLOOKUP($B83,'SCHEDA PEZZI SPECIALI'!$A$38:$F$59,6,FALSE)*1,0),IF(ISNUMBER(MATCH($B83,'SCHEDA ELETTROMECCANICA'!$A$5:$A$14,0)),IFERROR(VLOOKUP($B83,'SCHEDA ELETTROMECCANICA'!$A$5:$D$14,4,FALSE)*1,0),IF(ISNUMBER(MATCH($B83,'SCHEDA BULLONERIA'!$A$6:$A$36,0)),IFERROR(VLOOKUP($B83,'SCHEDA BULLONERIA'!$A$6:$D$36,4,FALSE)*1,0),"")))))</f>
        <v/>
      </c>
      <c r="H83" s="4" t="inlineStr">
        <is>
          <t>kit quadri inverter</t>
        </is>
      </c>
      <c r="I83" s="11" t="n">
        <v>1</v>
      </c>
    </row>
    <row r="84">
      <c r="A84" s="11" t="n">
        <v>80</v>
      </c>
      <c r="B84" s="4" t="inlineStr">
        <is>
          <t>TTS.PC.3011</t>
        </is>
      </c>
      <c r="C84" s="4" t="inlineStr">
        <is>
          <t>Angolare 40x40x4 lungo 869 mm. superiore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PEZZI SPECIALI'!$A$38:$F$400,4,FALSE),"")</f>
        <v/>
      </c>
      <c r="G84" s="5">
        <f>IF($B84="","",IF(ISNUMBER(MATCH($B84,'SCHEDA STRUTTURA'!$A$17:$A$147,0)),IFERROR(VLOOKUP($B84,'SCHEDA STRUTTURA'!$A$17:$G$147,6,FALSE)*1,0)+IFERROR(VLOOKUP($B84,'SCHEDA STRUTTURA'!$A$17:$G$147,7,FALSE)*1,0),IF(ISNUMBER(MATCH($B84,'SCHEDA PEZZI SPECIALI'!$A$38:$A$59,0)),IFERROR(VLOOKUP($B84,'SCHEDA PEZZI SPECIALI'!$A$38:$F$59,5,FALSE)*1,0)+IFERROR(VLOOKUP($B84,'SCHEDA PEZZI SPECIALI'!$A$38:$F$59,6,FALSE)*1,0),IF(ISNUMBER(MATCH($B84,'SCHEDA ELETTROMECCANICA'!$A$5:$A$14,0)),IFERROR(VLOOKUP($B84,'SCHEDA ELETTROMECCANICA'!$A$5:$D$14,4,FALSE)*1,0),IF(ISNUMBER(MATCH($B84,'SCHEDA BULLONERIA'!$A$6:$A$36,0)),IFERROR(VLOOKUP($B84,'SCHEDA BULLONERIA'!$A$6:$D$36,4,FALSE)*1,0),"")))))</f>
        <v/>
      </c>
      <c r="H84" s="4" t="inlineStr">
        <is>
          <t>kit quadri area</t>
        </is>
      </c>
      <c r="I84" s="11" t="n">
        <v>1</v>
      </c>
    </row>
    <row r="85">
      <c r="A85" s="11" t="n">
        <v>81</v>
      </c>
      <c r="B85" s="4" t="inlineStr">
        <is>
          <t>TTS.PC.3012</t>
        </is>
      </c>
      <c r="C85" s="4" t="inlineStr">
        <is>
          <t>Angolare 40x40x4 lungo 869 mm.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PEZZI SPECIALI'!$A$38:$F$400,4,FALSE),"")</f>
        <v/>
      </c>
      <c r="G85" s="5">
        <f>IF($B85="","",IF(ISNUMBER(MATCH($B85,'SCHEDA STRUTTURA'!$A$17:$A$147,0)),IFERROR(VLOOKUP($B85,'SCHEDA STRUTTURA'!$A$17:$G$147,6,FALSE)*1,0)+IFERROR(VLOOKUP($B85,'SCHEDA STRUTTURA'!$A$17:$G$147,7,FALSE)*1,0),IF(ISNUMBER(MATCH($B85,'SCHEDA PEZZI SPECIALI'!$A$38:$A$59,0)),IFERROR(VLOOKUP($B85,'SCHEDA PEZZI SPECIALI'!$A$38:$F$59,5,FALSE)*1,0)+IFERROR(VLOOKUP($B85,'SCHEDA PEZZI SPECIALI'!$A$38:$F$59,6,FALSE)*1,0),IF(ISNUMBER(MATCH($B85,'SCHEDA ELETTROMECCANICA'!$A$5:$A$14,0)),IFERROR(VLOOKUP($B85,'SCHEDA ELETTROMECCANICA'!$A$5:$D$14,4,FALSE)*1,0),IF(ISNUMBER(MATCH($B85,'SCHEDA BULLONERIA'!$A$6:$A$36,0)),IFERROR(VLOOKUP($B85,'SCHEDA BULLONERIA'!$A$6:$D$36,4,FALSE)*1,0),"")))))</f>
        <v/>
      </c>
      <c r="H85" s="4" t="inlineStr">
        <is>
          <t>kit quadri area</t>
        </is>
      </c>
      <c r="I85" s="11" t="n">
        <v>1</v>
      </c>
    </row>
    <row r="86">
      <c r="A86" s="11" t="n">
        <v>82</v>
      </c>
      <c r="B86" s="4" t="inlineStr">
        <is>
          <t>TTS.PC.3013</t>
        </is>
      </c>
      <c r="C86" s="4" t="inlineStr">
        <is>
          <t>Palo MAX lungo mt.2,150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PEZZI SPECIALI'!$A$38:$F$400,4,FALSE),"")</f>
        <v/>
      </c>
      <c r="G86" s="5">
        <f>IF($B86="","",IF(ISNUMBER(MATCH($B86,'SCHEDA STRUTTURA'!$A$17:$A$147,0)),IFERROR(VLOOKUP($B86,'SCHEDA STRUTTURA'!$A$17:$G$147,6,FALSE)*1,0)+IFERROR(VLOOKUP($B86,'SCHEDA STRUTTURA'!$A$17:$G$147,7,FALSE)*1,0),IF(ISNUMBER(MATCH($B86,'SCHEDA PEZZI SPECIALI'!$A$38:$A$59,0)),IFERROR(VLOOKUP($B86,'SCHEDA PEZZI SPECIALI'!$A$38:$F$59,5,FALSE)*1,0)+IFERROR(VLOOKUP($B86,'SCHEDA PEZZI SPECIALI'!$A$38:$F$59,6,FALSE)*1,0),IF(ISNUMBER(MATCH($B86,'SCHEDA ELETTROMECCANICA'!$A$5:$A$14,0)),IFERROR(VLOOKUP($B86,'SCHEDA ELETTROMECCANICA'!$A$5:$D$14,4,FALSE)*1,0),IF(ISNUMBER(MATCH($B86,'SCHEDA BULLONERIA'!$A$6:$A$36,0)),IFERROR(VLOOKUP($B86,'SCHEDA BULLONERIA'!$A$6:$D$36,4,FALSE)*1,0),"")))))</f>
        <v/>
      </c>
      <c r="H86" s="4" t="inlineStr">
        <is>
          <t>kit quadri area</t>
        </is>
      </c>
      <c r="I86" s="11" t="n">
        <v>1</v>
      </c>
    </row>
    <row r="87">
      <c r="A87" s="11" t="n">
        <v>83</v>
      </c>
      <c r="B87" s="4" t="inlineStr">
        <is>
          <t>TTS.PF.001.IPE140.30</t>
        </is>
      </c>
      <c r="C87" s="4" t="inlineStr">
        <is>
          <t>Pilastro fondazione trave IPE140 mt.3,00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STRUTTURA'!$A$17:$E$417,5,FALSE),"")</f>
        <v/>
      </c>
      <c r="G87" s="5">
        <f>IF($B87="","",IF(ISNUMBER(MATCH($B87,'SCHEDA STRUTTURA'!$A$17:$A$147,0)),IFERROR(VLOOKUP($B87,'SCHEDA STRUTTURA'!$A$17:$G$147,6,FALSE)*1,0)+IFERROR(VLOOKUP($B87,'SCHEDA STRUTTURA'!$A$17:$G$147,7,FALSE)*1,0),IF(ISNUMBER(MATCH($B87,'SCHEDA PEZZI SPECIALI'!$A$38:$A$59,0)),IFERROR(VLOOKUP($B87,'SCHEDA PEZZI SPECIALI'!$A$38:$F$59,5,FALSE)*1,0)+IFERROR(VLOOKUP($B87,'SCHEDA PEZZI SPECIALI'!$A$38:$F$59,6,FALSE)*1,0),IF(ISNUMBER(MATCH($B87,'SCHEDA ELETTROMECCANICA'!$A$5:$A$14,0)),IFERROR(VLOOKUP($B87,'SCHEDA ELETTROMECCANICA'!$A$5:$D$14,4,FALSE)*1,0),IF(ISNUMBER(MATCH($B87,'SCHEDA BULLONERIA'!$A$6:$A$36,0)),IFERROR(VLOOKUP($B87,'SCHEDA BULLONERIA'!$A$6:$D$36,4,FALSE)*1,0),"")))))</f>
        <v/>
      </c>
      <c r="H87" s="4" t="inlineStr">
        <is>
          <t>PILASTRO MOTORE, PILASTRO CUSCINETTO</t>
        </is>
      </c>
      <c r="I87" s="11" t="n">
        <v>2</v>
      </c>
    </row>
    <row r="88">
      <c r="A88" s="11" t="n">
        <v>84</v>
      </c>
      <c r="B88" s="4" t="inlineStr">
        <is>
          <t>TTS.PF.001.IPEA140.30</t>
        </is>
      </c>
      <c r="C88" s="4" t="inlineStr">
        <is>
          <t>Pilastro fondazione trave IPEA140 mt.3,00 (alleggerita)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STRUTTURA'!$A$17:$E$417,5,FALSE),"")</f>
        <v/>
      </c>
      <c r="G88" s="5">
        <f>IF($B88="","",IF(ISNUMBER(MATCH($B88,'SCHEDA STRUTTURA'!$A$17:$A$147,0)),IFERROR(VLOOKUP($B88,'SCHEDA STRUTTURA'!$A$17:$G$147,6,FALSE)*1,0)+IFERROR(VLOOKUP($B88,'SCHEDA STRUTTURA'!$A$17:$G$147,7,FALSE)*1,0),IF(ISNUMBER(MATCH($B88,'SCHEDA PEZZI SPECIALI'!$A$38:$A$59,0)),IFERROR(VLOOKUP($B88,'SCHEDA PEZZI SPECIALI'!$A$38:$F$59,5,FALSE)*1,0)+IFERROR(VLOOKUP($B88,'SCHEDA PEZZI SPECIALI'!$A$38:$F$59,6,FALSE)*1,0),IF(ISNUMBER(MATCH($B88,'SCHEDA ELETTROMECCANICA'!$A$5:$A$14,0)),IFERROR(VLOOKUP($B88,'SCHEDA ELETTROMECCANICA'!$A$5:$D$14,4,FALSE)*1,0),IF(ISNUMBER(MATCH($B88,'SCHEDA BULLONERIA'!$A$6:$A$36,0)),IFERROR(VLOOKUP($B88,'SCHEDA BULLONERIA'!$A$6:$D$36,4,FALSE)*1,0),"")))))</f>
        <v/>
      </c>
      <c r="H88" s="4" t="inlineStr">
        <is>
          <t>PILASTRO MOTORE</t>
        </is>
      </c>
      <c r="I88" s="11" t="n">
        <v>1</v>
      </c>
    </row>
    <row r="89">
      <c r="A89" s="11" t="n">
        <v>85</v>
      </c>
      <c r="B89" s="4" t="inlineStr">
        <is>
          <t>TTS.PF.001.IPE140.26</t>
        </is>
      </c>
      <c r="C89" s="4" t="inlineStr">
        <is>
          <t>Pilastro fondazione trave IPE140 mt.2,60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STRUTTURA'!$A$17:$E$417,5,FALSE),"")</f>
        <v/>
      </c>
      <c r="G89" s="5">
        <f>IF($B89="","",IF(ISNUMBER(MATCH($B89,'SCHEDA STRUTTURA'!$A$17:$A$147,0)),IFERROR(VLOOKUP($B89,'SCHEDA STRUTTURA'!$A$17:$G$147,6,FALSE)*1,0)+IFERROR(VLOOKUP($B89,'SCHEDA STRUTTURA'!$A$17:$G$147,7,FALSE)*1,0),IF(ISNUMBER(MATCH($B89,'SCHEDA PEZZI SPECIALI'!$A$38:$A$59,0)),IFERROR(VLOOKUP($B89,'SCHEDA PEZZI SPECIALI'!$A$38:$F$59,5,FALSE)*1,0)+IFERROR(VLOOKUP($B89,'SCHEDA PEZZI SPECIALI'!$A$38:$F$59,6,FALSE)*1,0),IF(ISNUMBER(MATCH($B89,'SCHEDA ELETTROMECCANICA'!$A$5:$A$14,0)),IFERROR(VLOOKUP($B89,'SCHEDA ELETTROMECCANICA'!$A$5:$D$14,4,FALSE)*1,0),IF(ISNUMBER(MATCH($B89,'SCHEDA BULLONERIA'!$A$6:$A$36,0)),IFERROR(VLOOKUP($B89,'SCHEDA BULLONERIA'!$A$6:$D$36,4,FALSE)*1,0),"")))))</f>
        <v/>
      </c>
      <c r="H89" s="4" t="inlineStr">
        <is>
          <t>PILASTRO MOTORE</t>
        </is>
      </c>
      <c r="I89" s="11" t="n">
        <v>1</v>
      </c>
    </row>
    <row r="90">
      <c r="A90" s="11" t="n">
        <v>86</v>
      </c>
      <c r="B90" s="4" t="inlineStr">
        <is>
          <t>TTS.PF.001.IPEA140.26</t>
        </is>
      </c>
      <c r="C90" s="4" t="inlineStr">
        <is>
          <t>Pilastro fondazione trave IPEA140 mt.2,60 (alleggerita)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STRUTTURA'!$A$17:$E$417,5,FALSE),"")</f>
        <v/>
      </c>
      <c r="G90" s="5">
        <f>IF($B90="","",IF(ISNUMBER(MATCH($B90,'SCHEDA STRUTTURA'!$A$17:$A$147,0)),IFERROR(VLOOKUP($B90,'SCHEDA STRUTTURA'!$A$17:$G$147,6,FALSE)*1,0)+IFERROR(VLOOKUP($B90,'SCHEDA STRUTTURA'!$A$17:$G$147,7,FALSE)*1,0),IF(ISNUMBER(MATCH($B90,'SCHEDA PEZZI SPECIALI'!$A$38:$A$59,0)),IFERROR(VLOOKUP($B90,'SCHEDA PEZZI SPECIALI'!$A$38:$F$59,5,FALSE)*1,0)+IFERROR(VLOOKUP($B90,'SCHEDA PEZZI SPECIALI'!$A$38:$F$59,6,FALSE)*1,0),IF(ISNUMBER(MATCH($B90,'SCHEDA ELETTROMECCANICA'!$A$5:$A$14,0)),IFERROR(VLOOKUP($B90,'SCHEDA ELETTROMECCANICA'!$A$5:$D$14,4,FALSE)*1,0),IF(ISNUMBER(MATCH($B90,'SCHEDA BULLONERIA'!$A$6:$A$36,0)),IFERROR(VLOOKUP($B90,'SCHEDA BULLONERIA'!$A$6:$D$36,4,FALSE)*1,0),"")))))</f>
        <v/>
      </c>
      <c r="H90" s="4" t="inlineStr">
        <is>
          <t>PILASTRO MOTORE</t>
        </is>
      </c>
      <c r="I90" s="11" t="n">
        <v>1</v>
      </c>
    </row>
    <row r="91">
      <c r="A91" s="11" t="n">
        <v>87</v>
      </c>
      <c r="B91" s="4" t="inlineStr">
        <is>
          <t>TTS.PF.001.IPE140.27</t>
        </is>
      </c>
      <c r="C91" s="4" t="inlineStr">
        <is>
          <t>Pilastro fondazione trave IPE140 mt.2,70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STRUTTURA'!$A$17:$E$417,5,FALSE),"")</f>
        <v/>
      </c>
      <c r="G91" s="5">
        <f>IF($B91="","",IF(ISNUMBER(MATCH($B91,'SCHEDA STRUTTURA'!$A$17:$A$147,0)),IFERROR(VLOOKUP($B91,'SCHEDA STRUTTURA'!$A$17:$G$147,6,FALSE)*1,0)+IFERROR(VLOOKUP($B91,'SCHEDA STRUTTURA'!$A$17:$G$147,7,FALSE)*1,0),IF(ISNUMBER(MATCH($B91,'SCHEDA PEZZI SPECIALI'!$A$38:$A$59,0)),IFERROR(VLOOKUP($B91,'SCHEDA PEZZI SPECIALI'!$A$38:$F$59,5,FALSE)*1,0)+IFERROR(VLOOKUP($B91,'SCHEDA PEZZI SPECIALI'!$A$38:$F$59,6,FALSE)*1,0),IF(ISNUMBER(MATCH($B91,'SCHEDA ELETTROMECCANICA'!$A$5:$A$14,0)),IFERROR(VLOOKUP($B91,'SCHEDA ELETTROMECCANICA'!$A$5:$D$14,4,FALSE)*1,0),IF(ISNUMBER(MATCH($B91,'SCHEDA BULLONERIA'!$A$6:$A$36,0)),IFERROR(VLOOKUP($B91,'SCHEDA BULLONERIA'!$A$6:$D$36,4,FALSE)*1,0),"")))))</f>
        <v/>
      </c>
      <c r="H91" s="4" t="inlineStr">
        <is>
          <t>PILASTRO MOTORE</t>
        </is>
      </c>
      <c r="I91" s="11" t="n">
        <v>1</v>
      </c>
    </row>
    <row r="92">
      <c r="A92" s="11" t="n">
        <v>88</v>
      </c>
      <c r="B92" s="4" t="inlineStr">
        <is>
          <t>TTS.PF.001.IPEA140.27</t>
        </is>
      </c>
      <c r="C92" s="4" t="inlineStr">
        <is>
          <t>Pilastro fondazione trave IPEA140 mt.2,70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STRUTTURA'!$A$17:$E$417,5,FALSE),"")</f>
        <v/>
      </c>
      <c r="G92" s="5">
        <f>IF($B92="","",IF(ISNUMBER(MATCH($B92,'SCHEDA STRUTTURA'!$A$17:$A$147,0)),IFERROR(VLOOKUP($B92,'SCHEDA STRUTTURA'!$A$17:$G$147,6,FALSE)*1,0)+IFERROR(VLOOKUP($B92,'SCHEDA STRUTTURA'!$A$17:$G$147,7,FALSE)*1,0),IF(ISNUMBER(MATCH($B92,'SCHEDA PEZZI SPECIALI'!$A$38:$A$59,0)),IFERROR(VLOOKUP($B92,'SCHEDA PEZZI SPECIALI'!$A$38:$F$59,5,FALSE)*1,0)+IFERROR(VLOOKUP($B92,'SCHEDA PEZZI SPECIALI'!$A$38:$F$59,6,FALSE)*1,0),IF(ISNUMBER(MATCH($B92,'SCHEDA ELETTROMECCANICA'!$A$5:$A$14,0)),IFERROR(VLOOKUP($B92,'SCHEDA ELETTROMECCANICA'!$A$5:$D$14,4,FALSE)*1,0),IF(ISNUMBER(MATCH($B92,'SCHEDA BULLONERIA'!$A$6:$A$36,0)),IFERROR(VLOOKUP($B92,'SCHEDA BULLONERIA'!$A$6:$D$36,4,FALSE)*1,0),"")))))</f>
        <v/>
      </c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TTS.PF.001.IPE140.28</t>
        </is>
      </c>
      <c r="C93" s="4" t="inlineStr">
        <is>
          <t>Pilastro fondazione trave IPE140 mt.2,80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STRUTTURA'!$A$17:$E$417,5,FALSE),"")</f>
        <v/>
      </c>
      <c r="G93" s="5">
        <f>IF($B93="","",IF(ISNUMBER(MATCH($B93,'SCHEDA STRUTTURA'!$A$17:$A$147,0)),IFERROR(VLOOKUP($B93,'SCHEDA STRUTTURA'!$A$17:$G$147,6,FALSE)*1,0)+IFERROR(VLOOKUP($B93,'SCHEDA STRUTTURA'!$A$17:$G$147,7,FALSE)*1,0),IF(ISNUMBER(MATCH($B93,'SCHEDA PEZZI SPECIALI'!$A$38:$A$59,0)),IFERROR(VLOOKUP($B93,'SCHEDA PEZZI SPECIALI'!$A$38:$F$59,5,FALSE)*1,0)+IFERROR(VLOOKUP($B93,'SCHEDA PEZZI SPECIALI'!$A$38:$F$59,6,FALSE)*1,0),IF(ISNUMBER(MATCH($B93,'SCHEDA ELETTROMECCANICA'!$A$5:$A$14,0)),IFERROR(VLOOKUP($B93,'SCHEDA ELETTROMECCANICA'!$A$5:$D$14,4,FALSE)*1,0),IF(ISNUMBER(MATCH($B93,'SCHEDA BULLONERIA'!$A$6:$A$36,0)),IFERROR(VLOOKUP($B93,'SCHEDA BULLONERIA'!$A$6:$D$36,4,FALSE)*1,0),"")))))</f>
        <v/>
      </c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TTS.PF.001.IPEA140.28</t>
        </is>
      </c>
      <c r="C94" s="4" t="inlineStr">
        <is>
          <t>Pilastro fondazione trave IPEA140 mt.2,80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STRUTTURA'!$A$17:$E$417,5,FALSE),"")</f>
        <v/>
      </c>
      <c r="G94" s="5">
        <f>IF($B94="","",IF(ISNUMBER(MATCH($B94,'SCHEDA STRUTTURA'!$A$17:$A$147,0)),IFERROR(VLOOKUP($B94,'SCHEDA STRUTTURA'!$A$17:$G$147,6,FALSE)*1,0)+IFERROR(VLOOKUP($B94,'SCHEDA STRUTTURA'!$A$17:$G$147,7,FALSE)*1,0),IF(ISNUMBER(MATCH($B94,'SCHEDA PEZZI SPECIALI'!$A$38:$A$59,0)),IFERROR(VLOOKUP($B94,'SCHEDA PEZZI SPECIALI'!$A$38:$F$59,5,FALSE)*1,0)+IFERROR(VLOOKUP($B94,'SCHEDA PEZZI SPECIALI'!$A$38:$F$59,6,FALSE)*1,0),IF(ISNUMBER(MATCH($B94,'SCHEDA ELETTROMECCANICA'!$A$5:$A$14,0)),IFERROR(VLOOKUP($B94,'SCHEDA ELETTROMECCANICA'!$A$5:$D$14,4,FALSE)*1,0),IF(ISNUMBER(MATCH($B94,'SCHEDA BULLONERIA'!$A$6:$A$36,0)),IFERROR(VLOOKUP($B94,'SCHEDA BULLONERIA'!$A$6:$D$36,4,FALSE)*1,0),"")))))</f>
        <v/>
      </c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TTS.PF.001.IPE140.29</t>
        </is>
      </c>
      <c r="C95" s="4" t="inlineStr">
        <is>
          <t>Pilastro fondazione trave IPE140 mt.2,90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STRUTTURA'!$A$17:$E$417,5,FALSE),"")</f>
        <v/>
      </c>
      <c r="G95" s="5">
        <f>IF($B95="","",IF(ISNUMBER(MATCH($B95,'SCHEDA STRUTTURA'!$A$17:$A$147,0)),IFERROR(VLOOKUP($B95,'SCHEDA STRUTTURA'!$A$17:$G$147,6,FALSE)*1,0)+IFERROR(VLOOKUP($B95,'SCHEDA STRUTTURA'!$A$17:$G$147,7,FALSE)*1,0),IF(ISNUMBER(MATCH($B95,'SCHEDA PEZZI SPECIALI'!$A$38:$A$59,0)),IFERROR(VLOOKUP($B95,'SCHEDA PEZZI SPECIALI'!$A$38:$F$59,5,FALSE)*1,0)+IFERROR(VLOOKUP($B95,'SCHEDA PEZZI SPECIALI'!$A$38:$F$59,6,FALSE)*1,0),IF(ISNUMBER(MATCH($B95,'SCHEDA ELETTROMECCANICA'!$A$5:$A$14,0)),IFERROR(VLOOKUP($B95,'SCHEDA ELETTROMECCANICA'!$A$5:$D$14,4,FALSE)*1,0),IF(ISNUMBER(MATCH($B95,'SCHEDA BULLONERIA'!$A$6:$A$36,0)),IFERROR(VLOOKUP($B95,'SCHEDA BULLONERIA'!$A$6:$D$36,4,FALSE)*1,0),"")))))</f>
        <v/>
      </c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TTS.PF.001.IPEA140.29</t>
        </is>
      </c>
      <c r="C96" s="4" t="inlineStr">
        <is>
          <t>Pilastro fondazione trave IPEA140 mt.2,90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STRUTTURA'!$A$17:$E$417,5,FALSE),"")</f>
        <v/>
      </c>
      <c r="G96" s="5">
        <f>IF($B96="","",IF(ISNUMBER(MATCH($B96,'SCHEDA STRUTTURA'!$A$17:$A$147,0)),IFERROR(VLOOKUP($B96,'SCHEDA STRUTTURA'!$A$17:$G$147,6,FALSE)*1,0)+IFERROR(VLOOKUP($B96,'SCHEDA STRUTTURA'!$A$17:$G$147,7,FALSE)*1,0),IF(ISNUMBER(MATCH($B96,'SCHEDA PEZZI SPECIALI'!$A$38:$A$59,0)),IFERROR(VLOOKUP($B96,'SCHEDA PEZZI SPECIALI'!$A$38:$F$59,5,FALSE)*1,0)+IFERROR(VLOOKUP($B96,'SCHEDA PEZZI SPECIALI'!$A$38:$F$59,6,FALSE)*1,0),IF(ISNUMBER(MATCH($B96,'SCHEDA ELETTROMECCANICA'!$A$5:$A$14,0)),IFERROR(VLOOKUP($B96,'SCHEDA ELETTROMECCANICA'!$A$5:$D$14,4,FALSE)*1,0),IF(ISNUMBER(MATCH($B96,'SCHEDA BULLONERIA'!$A$6:$A$36,0)),IFERROR(VLOOKUP($B96,'SCHEDA BULLONERIA'!$A$6:$D$36,4,FALSE)*1,0),"")))))</f>
        <v/>
      </c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TTS.PF.001.IPE140.31</t>
        </is>
      </c>
      <c r="C97" s="4" t="inlineStr">
        <is>
          <t>Pilastro fondazione trave IPE140 mt.3,10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STRUTTURA'!$A$17:$E$417,5,FALSE),"")</f>
        <v/>
      </c>
      <c r="G97" s="5">
        <f>IF($B97="","",IF(ISNUMBER(MATCH($B97,'SCHEDA STRUTTURA'!$A$17:$A$147,0)),IFERROR(VLOOKUP($B97,'SCHEDA STRUTTURA'!$A$17:$G$147,6,FALSE)*1,0)+IFERROR(VLOOKUP($B97,'SCHEDA STRUTTURA'!$A$17:$G$147,7,FALSE)*1,0),IF(ISNUMBER(MATCH($B97,'SCHEDA PEZZI SPECIALI'!$A$38:$A$59,0)),IFERROR(VLOOKUP($B97,'SCHEDA PEZZI SPECIALI'!$A$38:$F$59,5,FALSE)*1,0)+IFERROR(VLOOKUP($B97,'SCHEDA PEZZI SPECIALI'!$A$38:$F$59,6,FALSE)*1,0),IF(ISNUMBER(MATCH($B97,'SCHEDA ELETTROMECCANICA'!$A$5:$A$14,0)),IFERROR(VLOOKUP($B97,'SCHEDA ELETTROMECCANICA'!$A$5:$D$14,4,FALSE)*1,0),IF(ISNUMBER(MATCH($B97,'SCHEDA BULLONERIA'!$A$6:$A$36,0)),IFERROR(VLOOKUP($B97,'SCHEDA BULLONERIA'!$A$6:$D$36,4,FALSE)*1,0),"")))))</f>
        <v/>
      </c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TTS.PF.001.IPEA140.31</t>
        </is>
      </c>
      <c r="C98" s="4" t="inlineStr">
        <is>
          <t>Pilastro fondazione trave IPEA140 mt.3,10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STRUTTURA'!$A$17:$E$417,5,FALSE),"")</f>
        <v/>
      </c>
      <c r="G98" s="5">
        <f>IF($B98="","",IF(ISNUMBER(MATCH($B98,'SCHEDA STRUTTURA'!$A$17:$A$147,0)),IFERROR(VLOOKUP($B98,'SCHEDA STRUTTURA'!$A$17:$G$147,6,FALSE)*1,0)+IFERROR(VLOOKUP($B98,'SCHEDA STRUTTURA'!$A$17:$G$147,7,FALSE)*1,0),IF(ISNUMBER(MATCH($B98,'SCHEDA PEZZI SPECIALI'!$A$38:$A$59,0)),IFERROR(VLOOKUP($B98,'SCHEDA PEZZI SPECIALI'!$A$38:$F$59,5,FALSE)*1,0)+IFERROR(VLOOKUP($B98,'SCHEDA PEZZI SPECIALI'!$A$38:$F$59,6,FALSE)*1,0),IF(ISNUMBER(MATCH($B98,'SCHEDA ELETTROMECCANICA'!$A$5:$A$14,0)),IFERROR(VLOOKUP($B98,'SCHEDA ELETTROMECCANICA'!$A$5:$D$14,4,FALSE)*1,0),IF(ISNUMBER(MATCH($B98,'SCHEDA BULLONERIA'!$A$6:$A$36,0)),IFERROR(VLOOKUP($B98,'SCHEDA BULLONERIA'!$A$6:$D$36,4,FALSE)*1,0),"")))))</f>
        <v/>
      </c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TTS.PF.001.IPE140.32</t>
        </is>
      </c>
      <c r="C99" s="4" t="inlineStr">
        <is>
          <t>Pilastro fondazione trave IPE140 mt.3,20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STRUTTURA'!$A$17:$E$417,5,FALSE),"")</f>
        <v/>
      </c>
      <c r="G99" s="5">
        <f>IF($B99="","",IF(ISNUMBER(MATCH($B99,'SCHEDA STRUTTURA'!$A$17:$A$147,0)),IFERROR(VLOOKUP($B99,'SCHEDA STRUTTURA'!$A$17:$G$147,6,FALSE)*1,0)+IFERROR(VLOOKUP($B99,'SCHEDA STRUTTURA'!$A$17:$G$147,7,FALSE)*1,0),IF(ISNUMBER(MATCH($B99,'SCHEDA PEZZI SPECIALI'!$A$38:$A$59,0)),IFERROR(VLOOKUP($B99,'SCHEDA PEZZI SPECIALI'!$A$38:$F$59,5,FALSE)*1,0)+IFERROR(VLOOKUP($B99,'SCHEDA PEZZI SPECIALI'!$A$38:$F$59,6,FALSE)*1,0),IF(ISNUMBER(MATCH($B99,'SCHEDA ELETTROMECCANICA'!$A$5:$A$14,0)),IFERROR(VLOOKUP($B99,'SCHEDA ELETTROMECCANICA'!$A$5:$D$14,4,FALSE)*1,0),IF(ISNUMBER(MATCH($B99,'SCHEDA BULLONERIA'!$A$6:$A$36,0)),IFERROR(VLOOKUP($B99,'SCHEDA BULLONERIA'!$A$6:$D$36,4,FALSE)*1,0),"")))))</f>
        <v/>
      </c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TTS.PF.001.IPEA140.32</t>
        </is>
      </c>
      <c r="C100" s="4" t="inlineStr">
        <is>
          <t>Pilastro fondazione trave IPEA140 mt.3,20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STRUTTURA'!$A$17:$E$417,5,FALSE),"")</f>
        <v/>
      </c>
      <c r="G100" s="5">
        <f>IF($B100="","",IF(ISNUMBER(MATCH($B100,'SCHEDA STRUTTURA'!$A$17:$A$147,0)),IFERROR(VLOOKUP($B100,'SCHEDA STRUTTURA'!$A$17:$G$147,6,FALSE)*1,0)+IFERROR(VLOOKUP($B100,'SCHEDA STRUTTURA'!$A$17:$G$147,7,FALSE)*1,0),IF(ISNUMBER(MATCH($B100,'SCHEDA PEZZI SPECIALI'!$A$38:$A$59,0)),IFERROR(VLOOKUP($B100,'SCHEDA PEZZI SPECIALI'!$A$38:$F$59,5,FALSE)*1,0)+IFERROR(VLOOKUP($B100,'SCHEDA PEZZI SPECIALI'!$A$38:$F$59,6,FALSE)*1,0),IF(ISNUMBER(MATCH($B100,'SCHEDA ELETTROMECCANICA'!$A$5:$A$14,0)),IFERROR(VLOOKUP($B100,'SCHEDA ELETTROMECCANICA'!$A$5:$D$14,4,FALSE)*1,0),IF(ISNUMBER(MATCH($B100,'SCHEDA BULLONERIA'!$A$6:$A$36,0)),IFERROR(VLOOKUP($B100,'SCHEDA BULLONERIA'!$A$6:$D$36,4,FALSE)*1,0),"")))))</f>
        <v/>
      </c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TTS.PF.001.IPE140.33</t>
        </is>
      </c>
      <c r="C101" s="4" t="inlineStr">
        <is>
          <t>Pilastro fondazione trave IPE140 mt.3,30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STRUTTURA'!$A$17:$E$417,5,FALSE),"")</f>
        <v/>
      </c>
      <c r="G101" s="5">
        <f>IF($B101="","",IF(ISNUMBER(MATCH($B101,'SCHEDA STRUTTURA'!$A$17:$A$147,0)),IFERROR(VLOOKUP($B101,'SCHEDA STRUTTURA'!$A$17:$G$147,6,FALSE)*1,0)+IFERROR(VLOOKUP($B101,'SCHEDA STRUTTURA'!$A$17:$G$147,7,FALSE)*1,0),IF(ISNUMBER(MATCH($B101,'SCHEDA PEZZI SPECIALI'!$A$38:$A$59,0)),IFERROR(VLOOKUP($B101,'SCHEDA PEZZI SPECIALI'!$A$38:$F$59,5,FALSE)*1,0)+IFERROR(VLOOKUP($B101,'SCHEDA PEZZI SPECIALI'!$A$38:$F$59,6,FALSE)*1,0),IF(ISNUMBER(MATCH($B101,'SCHEDA ELETTROMECCANICA'!$A$5:$A$14,0)),IFERROR(VLOOKUP($B101,'SCHEDA ELETTROMECCANICA'!$A$5:$D$14,4,FALSE)*1,0),IF(ISNUMBER(MATCH($B101,'SCHEDA BULLONERIA'!$A$6:$A$36,0)),IFERROR(VLOOKUP($B101,'SCHEDA BULLONERIA'!$A$6:$D$36,4,FALSE)*1,0),"")))))</f>
        <v/>
      </c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TTS.PF.001.IPEA140.33</t>
        </is>
      </c>
      <c r="C102" s="4" t="inlineStr">
        <is>
          <t>Pilastro fondazione trave IPEA140 mt.3,30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STRUTTURA'!$A$17:$E$417,5,FALSE),"")</f>
        <v/>
      </c>
      <c r="G102" s="5">
        <f>IF($B102="","",IF(ISNUMBER(MATCH($B102,'SCHEDA STRUTTURA'!$A$17:$A$147,0)),IFERROR(VLOOKUP($B102,'SCHEDA STRUTTURA'!$A$17:$G$147,6,FALSE)*1,0)+IFERROR(VLOOKUP($B102,'SCHEDA STRUTTURA'!$A$17:$G$147,7,FALSE)*1,0),IF(ISNUMBER(MATCH($B102,'SCHEDA PEZZI SPECIALI'!$A$38:$A$59,0)),IFERROR(VLOOKUP($B102,'SCHEDA PEZZI SPECIALI'!$A$38:$F$59,5,FALSE)*1,0)+IFERROR(VLOOKUP($B102,'SCHEDA PEZZI SPECIALI'!$A$38:$F$59,6,FALSE)*1,0),IF(ISNUMBER(MATCH($B102,'SCHEDA ELETTROMECCANICA'!$A$5:$A$14,0)),IFERROR(VLOOKUP($B102,'SCHEDA ELETTROMECCANICA'!$A$5:$D$14,4,FALSE)*1,0),IF(ISNUMBER(MATCH($B102,'SCHEDA BULLONERIA'!$A$6:$A$36,0)),IFERROR(VLOOKUP($B102,'SCHEDA BULLONERIA'!$A$6:$D$36,4,FALSE)*1,0),"")))))</f>
        <v/>
      </c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TTS.PF.001.IPE140.34</t>
        </is>
      </c>
      <c r="C103" s="4" t="inlineStr">
        <is>
          <t>Pilastro fondazione trave IPE140 mt.3,40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STRUTTURA'!$A$17:$E$417,5,FALSE),"")</f>
        <v/>
      </c>
      <c r="G103" s="5">
        <f>IF($B103="","",IF(ISNUMBER(MATCH($B103,'SCHEDA STRUTTURA'!$A$17:$A$147,0)),IFERROR(VLOOKUP($B103,'SCHEDA STRUTTURA'!$A$17:$G$147,6,FALSE)*1,0)+IFERROR(VLOOKUP($B103,'SCHEDA STRUTTURA'!$A$17:$G$147,7,FALSE)*1,0),IF(ISNUMBER(MATCH($B103,'SCHEDA PEZZI SPECIALI'!$A$38:$A$59,0)),IFERROR(VLOOKUP($B103,'SCHEDA PEZZI SPECIALI'!$A$38:$F$59,5,FALSE)*1,0)+IFERROR(VLOOKUP($B103,'SCHEDA PEZZI SPECIALI'!$A$38:$F$59,6,FALSE)*1,0),IF(ISNUMBER(MATCH($B103,'SCHEDA ELETTROMECCANICA'!$A$5:$A$14,0)),IFERROR(VLOOKUP($B103,'SCHEDA ELETTROMECCANICA'!$A$5:$D$14,4,FALSE)*1,0),IF(ISNUMBER(MATCH($B103,'SCHEDA BULLONERIA'!$A$6:$A$36,0)),IFERROR(VLOOKUP($B103,'SCHEDA BULLONERIA'!$A$6:$D$36,4,FALSE)*1,0),"")))))</f>
        <v/>
      </c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TTS.PF.001.IPEA140.34</t>
        </is>
      </c>
      <c r="C104" s="4" t="inlineStr">
        <is>
          <t>Pilastro fondazione trave IPEA140 mt.3,40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STRUTTURA'!$A$17:$E$417,5,FALSE),"")</f>
        <v/>
      </c>
      <c r="G104" s="5">
        <f>IF($B104="","",IF(ISNUMBER(MATCH($B104,'SCHEDA STRUTTURA'!$A$17:$A$147,0)),IFERROR(VLOOKUP($B104,'SCHEDA STRUTTURA'!$A$17:$G$147,6,FALSE)*1,0)+IFERROR(VLOOKUP($B104,'SCHEDA STRUTTURA'!$A$17:$G$147,7,FALSE)*1,0),IF(ISNUMBER(MATCH($B104,'SCHEDA PEZZI SPECIALI'!$A$38:$A$59,0)),IFERROR(VLOOKUP($B104,'SCHEDA PEZZI SPECIALI'!$A$38:$F$59,5,FALSE)*1,0)+IFERROR(VLOOKUP($B104,'SCHEDA PEZZI SPECIALI'!$A$38:$F$59,6,FALSE)*1,0),IF(ISNUMBER(MATCH($B104,'SCHEDA ELETTROMECCANICA'!$A$5:$A$14,0)),IFERROR(VLOOKUP($B104,'SCHEDA ELETTROMECCANICA'!$A$5:$D$14,4,FALSE)*1,0),IF(ISNUMBER(MATCH($B104,'SCHEDA BULLONERIA'!$A$6:$A$36,0)),IFERROR(VLOOKUP($B104,'SCHEDA BULLONERIA'!$A$6:$D$36,4,FALSE)*1,0),"")))))</f>
        <v/>
      </c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TTS.PF.001.IPE140.35</t>
        </is>
      </c>
      <c r="C105" s="4" t="inlineStr">
        <is>
          <t>Pilastro fondazione trave IPE140 mt.3,50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STRUTTURA'!$A$17:$E$417,5,FALSE),"")</f>
        <v/>
      </c>
      <c r="G105" s="5">
        <f>IF($B105="","",IF(ISNUMBER(MATCH($B105,'SCHEDA STRUTTURA'!$A$17:$A$147,0)),IFERROR(VLOOKUP($B105,'SCHEDA STRUTTURA'!$A$17:$G$147,6,FALSE)*1,0)+IFERROR(VLOOKUP($B105,'SCHEDA STRUTTURA'!$A$17:$G$147,7,FALSE)*1,0),IF(ISNUMBER(MATCH($B105,'SCHEDA PEZZI SPECIALI'!$A$38:$A$59,0)),IFERROR(VLOOKUP($B105,'SCHEDA PEZZI SPECIALI'!$A$38:$F$59,5,FALSE)*1,0)+IFERROR(VLOOKUP($B105,'SCHEDA PEZZI SPECIALI'!$A$38:$F$59,6,FALSE)*1,0),IF(ISNUMBER(MATCH($B105,'SCHEDA ELETTROMECCANICA'!$A$5:$A$14,0)),IFERROR(VLOOKUP($B105,'SCHEDA ELETTROMECCANICA'!$A$5:$D$14,4,FALSE)*1,0),IF(ISNUMBER(MATCH($B105,'SCHEDA BULLONERIA'!$A$6:$A$36,0)),IFERROR(VLOOKUP($B105,'SCHEDA BULLONERIA'!$A$6:$D$36,4,FALSE)*1,0),"")))))</f>
        <v/>
      </c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TTS.PF.001.IPEA140.35</t>
        </is>
      </c>
      <c r="C106" s="4" t="inlineStr">
        <is>
          <t>Pilastro fondazione trave IPEA140 mt.3,50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STRUTTURA'!$A$17:$E$417,5,FALSE),"")</f>
        <v/>
      </c>
      <c r="G106" s="5">
        <f>IF($B106="","",IF(ISNUMBER(MATCH($B106,'SCHEDA STRUTTURA'!$A$17:$A$147,0)),IFERROR(VLOOKUP($B106,'SCHEDA STRUTTURA'!$A$17:$G$147,6,FALSE)*1,0)+IFERROR(VLOOKUP($B106,'SCHEDA STRUTTURA'!$A$17:$G$147,7,FALSE)*1,0),IF(ISNUMBER(MATCH($B106,'SCHEDA PEZZI SPECIALI'!$A$38:$A$59,0)),IFERROR(VLOOKUP($B106,'SCHEDA PEZZI SPECIALI'!$A$38:$F$59,5,FALSE)*1,0)+IFERROR(VLOOKUP($B106,'SCHEDA PEZZI SPECIALI'!$A$38:$F$59,6,FALSE)*1,0),IF(ISNUMBER(MATCH($B106,'SCHEDA ELETTROMECCANICA'!$A$5:$A$14,0)),IFERROR(VLOOKUP($B106,'SCHEDA ELETTROMECCANICA'!$A$5:$D$14,4,FALSE)*1,0),IF(ISNUMBER(MATCH($B106,'SCHEDA BULLONERIA'!$A$6:$A$36,0)),IFERROR(VLOOKUP($B106,'SCHEDA BULLONERIA'!$A$6:$D$36,4,FALSE)*1,0),"")))))</f>
        <v/>
      </c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TTS.PF.001.IPE140.36</t>
        </is>
      </c>
      <c r="C107" s="4" t="inlineStr">
        <is>
          <t>Pilastro fondazione trave IPE140 mt.3,60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STRUTTURA'!$A$17:$E$417,5,FALSE),"")</f>
        <v/>
      </c>
      <c r="G107" s="5">
        <f>IF($B107="","",IF(ISNUMBER(MATCH($B107,'SCHEDA STRUTTURA'!$A$17:$A$147,0)),IFERROR(VLOOKUP($B107,'SCHEDA STRUTTURA'!$A$17:$G$147,6,FALSE)*1,0)+IFERROR(VLOOKUP($B107,'SCHEDA STRUTTURA'!$A$17:$G$147,7,FALSE)*1,0),IF(ISNUMBER(MATCH($B107,'SCHEDA PEZZI SPECIALI'!$A$38:$A$59,0)),IFERROR(VLOOKUP($B107,'SCHEDA PEZZI SPECIALI'!$A$38:$F$59,5,FALSE)*1,0)+IFERROR(VLOOKUP($B107,'SCHEDA PEZZI SPECIALI'!$A$38:$F$59,6,FALSE)*1,0),IF(ISNUMBER(MATCH($B107,'SCHEDA ELETTROMECCANICA'!$A$5:$A$14,0)),IFERROR(VLOOKUP($B107,'SCHEDA ELETTROMECCANICA'!$A$5:$D$14,4,FALSE)*1,0),IF(ISNUMBER(MATCH($B107,'SCHEDA BULLONERIA'!$A$6:$A$36,0)),IFERROR(VLOOKUP($B107,'SCHEDA BULLONERIA'!$A$6:$D$36,4,FALSE)*1,0),"")))))</f>
        <v/>
      </c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TTS.PF.001.IPEA140.36</t>
        </is>
      </c>
      <c r="C108" s="4" t="inlineStr">
        <is>
          <t>Pilastro fondazione trave IPEA140 mt.3,60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STRUTTURA'!$A$17:$E$417,5,FALSE),"")</f>
        <v/>
      </c>
      <c r="G108" s="5">
        <f>IF($B108="","",IF(ISNUMBER(MATCH($B108,'SCHEDA STRUTTURA'!$A$17:$A$147,0)),IFERROR(VLOOKUP($B108,'SCHEDA STRUTTURA'!$A$17:$G$147,6,FALSE)*1,0)+IFERROR(VLOOKUP($B108,'SCHEDA STRUTTURA'!$A$17:$G$147,7,FALSE)*1,0),IF(ISNUMBER(MATCH($B108,'SCHEDA PEZZI SPECIALI'!$A$38:$A$59,0)),IFERROR(VLOOKUP($B108,'SCHEDA PEZZI SPECIALI'!$A$38:$F$59,5,FALSE)*1,0)+IFERROR(VLOOKUP($B108,'SCHEDA PEZZI SPECIALI'!$A$38:$F$59,6,FALSE)*1,0),IF(ISNUMBER(MATCH($B108,'SCHEDA ELETTROMECCANICA'!$A$5:$A$14,0)),IFERROR(VLOOKUP($B108,'SCHEDA ELETTROMECCANICA'!$A$5:$D$14,4,FALSE)*1,0),IF(ISNUMBER(MATCH($B108,'SCHEDA BULLONERIA'!$A$6:$A$36,0)),IFERROR(VLOOKUP($B108,'SCHEDA BULLONERIA'!$A$6:$D$36,4,FALSE)*1,0),"")))))</f>
        <v/>
      </c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TTS.PF.002.IPE140</t>
        </is>
      </c>
      <c r="C109" s="4" t="inlineStr">
        <is>
          <t>Piastra giunzione montanti centrali 200x100x4 (8 fori Ø 11)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PEZZI SPECIALI'!$A$38:$F$400,4,FALSE),"")</f>
        <v/>
      </c>
      <c r="G109" s="5">
        <f>IF($B109="","",IF(ISNUMBER(MATCH($B109,'SCHEDA STRUTTURA'!$A$17:$A$147,0)),IFERROR(VLOOKUP($B109,'SCHEDA STRUTTURA'!$A$17:$G$147,6,FALSE)*1,0)+IFERROR(VLOOKUP($B109,'SCHEDA STRUTTURA'!$A$17:$G$147,7,FALSE)*1,0),IF(ISNUMBER(MATCH($B109,'SCHEDA PEZZI SPECIALI'!$A$38:$A$59,0)),IFERROR(VLOOKUP($B109,'SCHEDA PEZZI SPECIALI'!$A$38:$F$59,5,FALSE)*1,0)+IFERROR(VLOOKUP($B109,'SCHEDA PEZZI SPECIALI'!$A$38:$F$59,6,FALSE)*1,0),IF(ISNUMBER(MATCH($B109,'SCHEDA ELETTROMECCANICA'!$A$5:$A$14,0)),IFERROR(VLOOKUP($B109,'SCHEDA ELETTROMECCANICA'!$A$5:$D$14,4,FALSE)*1,0),IF(ISNUMBER(MATCH($B109,'SCHEDA BULLONERIA'!$A$6:$A$36,0)),IFERROR(VLOOKUP($B109,'SCHEDA BULLONERIA'!$A$6:$D$36,4,FALSE)*1,0),"")))))</f>
        <v/>
      </c>
      <c r="H109" s="4" t="inlineStr">
        <is>
          <t>PILASTRO MOTORE, PILASTRO CUSCINETTO</t>
        </is>
      </c>
      <c r="I109" s="11" t="n">
        <v>2</v>
      </c>
    </row>
    <row r="110">
      <c r="A110" s="11" t="n">
        <v>106</v>
      </c>
      <c r="B110" s="4" t="inlineStr">
        <is>
          <t>TTS.PF.003.IPE140</t>
        </is>
      </c>
      <c r="C110" s="4" t="inlineStr">
        <is>
          <t>Piastra giunzione montanti esterna 240x70x6 (12 fori Ø 11)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PEZZI SPECIALI'!$A$38:$F$400,4,FALSE),"")</f>
        <v/>
      </c>
      <c r="G110" s="5">
        <f>IF($B110="","",IF(ISNUMBER(MATCH($B110,'SCHEDA STRUTTURA'!$A$17:$A$147,0)),IFERROR(VLOOKUP($B110,'SCHEDA STRUTTURA'!$A$17:$G$147,6,FALSE)*1,0)+IFERROR(VLOOKUP($B110,'SCHEDA STRUTTURA'!$A$17:$G$147,7,FALSE)*1,0),IF(ISNUMBER(MATCH($B110,'SCHEDA PEZZI SPECIALI'!$A$38:$A$59,0)),IFERROR(VLOOKUP($B110,'SCHEDA PEZZI SPECIALI'!$A$38:$F$59,5,FALSE)*1,0)+IFERROR(VLOOKUP($B110,'SCHEDA PEZZI SPECIALI'!$A$38:$F$59,6,FALSE)*1,0),IF(ISNUMBER(MATCH($B110,'SCHEDA ELETTROMECCANICA'!$A$5:$A$14,0)),IFERROR(VLOOKUP($B110,'SCHEDA ELETTROMECCANICA'!$A$5:$D$14,4,FALSE)*1,0),IF(ISNUMBER(MATCH($B110,'SCHEDA BULLONERIA'!$A$6:$A$36,0)),IFERROR(VLOOKUP($B110,'SCHEDA BULLONERIA'!$A$6:$D$36,4,FALSE)*1,0),"")))))</f>
        <v/>
      </c>
      <c r="H110" s="4" t="inlineStr">
        <is>
          <t>PILASTRO MOTORE, PILASTRO CUSCINETTO</t>
        </is>
      </c>
      <c r="I110" s="11" t="n">
        <v>2</v>
      </c>
    </row>
    <row r="111">
      <c r="A111" s="11" t="n">
        <v>107</v>
      </c>
      <c r="B111" s="4" t="inlineStr">
        <is>
          <t>TTS.PF.004.IPE140</t>
        </is>
      </c>
      <c r="C111" s="4" t="inlineStr">
        <is>
          <t>Piastra giunzione montanti interna 240x25x6 (6 fori Ø 11)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PEZZI SPECIALI'!$A$38:$F$400,4,FALSE),"")</f>
        <v/>
      </c>
      <c r="G111" s="5">
        <f>IF($B111="","",IF(ISNUMBER(MATCH($B111,'SCHEDA STRUTTURA'!$A$17:$A$147,0)),IFERROR(VLOOKUP($B111,'SCHEDA STRUTTURA'!$A$17:$G$147,6,FALSE)*1,0)+IFERROR(VLOOKUP($B111,'SCHEDA STRUTTURA'!$A$17:$G$147,7,FALSE)*1,0),IF(ISNUMBER(MATCH($B111,'SCHEDA PEZZI SPECIALI'!$A$38:$A$59,0)),IFERROR(VLOOKUP($B111,'SCHEDA PEZZI SPECIALI'!$A$38:$F$59,5,FALSE)*1,0)+IFERROR(VLOOKUP($B111,'SCHEDA PEZZI SPECIALI'!$A$38:$F$59,6,FALSE)*1,0),IF(ISNUMBER(MATCH($B111,'SCHEDA ELETTROMECCANICA'!$A$5:$A$14,0)),IFERROR(VLOOKUP($B111,'SCHEDA ELETTROMECCANICA'!$A$5:$D$14,4,FALSE)*1,0),IF(ISNUMBER(MATCH($B111,'SCHEDA BULLONERIA'!$A$6:$A$36,0)),IFERROR(VLOOKUP($B111,'SCHEDA BULLONERIA'!$A$6:$D$36,4,FALSE)*1,0),"")))))</f>
        <v/>
      </c>
      <c r="H111" s="4" t="inlineStr">
        <is>
          <t>PILASTRO MOTORE, PILASTRO CUSCINETTO</t>
        </is>
      </c>
      <c r="I111" s="11" t="n">
        <v>2</v>
      </c>
    </row>
    <row r="112">
      <c r="A112" s="11" t="n">
        <v>108</v>
      </c>
      <c r="B112" s="4" t="inlineStr">
        <is>
          <t>TTS.PM.001.IPE140.22</t>
        </is>
      </c>
      <c r="C112" s="4" t="inlineStr">
        <is>
          <t>Pilastro motore trave ipe140 x 2220 con foratura alloggiamento quadro motore (standard)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STRUTTURA'!$A$17:$E$417,5,FALSE),"")</f>
        <v/>
      </c>
      <c r="G112" s="5">
        <f>IF($B112="","",IF(ISNUMBER(MATCH($B112,'SCHEDA STRUTTURA'!$A$17:$A$147,0)),IFERROR(VLOOKUP($B112,'SCHEDA STRUTTURA'!$A$17:$G$147,6,FALSE)*1,0)+IFERROR(VLOOKUP($B112,'SCHEDA STRUTTURA'!$A$17:$G$147,7,FALSE)*1,0),IF(ISNUMBER(MATCH($B112,'SCHEDA PEZZI SPECIALI'!$A$38:$A$59,0)),IFERROR(VLOOKUP($B112,'SCHEDA PEZZI SPECIALI'!$A$38:$F$59,5,FALSE)*1,0)+IFERROR(VLOOKUP($B112,'SCHEDA PEZZI SPECIALI'!$A$38:$F$59,6,FALSE)*1,0),IF(ISNUMBER(MATCH($B112,'SCHEDA ELETTROMECCANICA'!$A$5:$A$14,0)),IFERROR(VLOOKUP($B112,'SCHEDA ELETTROMECCANICA'!$A$5:$D$14,4,FALSE)*1,0),IF(ISNUMBER(MATCH($B112,'SCHEDA BULLONERIA'!$A$6:$A$36,0)),IFERROR(VLOOKUP($B112,'SCHEDA BULLONERIA'!$A$6:$D$36,4,FALSE)*1,0),"")))))</f>
        <v/>
      </c>
      <c r="H112" s="4" t="inlineStr">
        <is>
          <t>PILASTRO MOTORE, kit quadro motore</t>
        </is>
      </c>
      <c r="I112" s="11" t="n">
        <v>2</v>
      </c>
    </row>
    <row r="113">
      <c r="A113" s="11" t="n">
        <v>109</v>
      </c>
      <c r="B113" s="4" t="inlineStr">
        <is>
          <t>TTS.PM.001.IPEA140.22</t>
        </is>
      </c>
      <c r="C113" s="4" t="inlineStr">
        <is>
          <t>Pilastro motore trave ipea140 x 2220 con foratura alloggiamento quadro motore (alleggerita)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STRUTTURA'!$A$17:$E$417,5,FALSE),"")</f>
        <v/>
      </c>
      <c r="G113" s="5">
        <f>IF($B113="","",IF(ISNUMBER(MATCH($B113,'SCHEDA STRUTTURA'!$A$17:$A$147,0)),IFERROR(VLOOKUP($B113,'SCHEDA STRUTTURA'!$A$17:$G$147,6,FALSE)*1,0)+IFERROR(VLOOKUP($B113,'SCHEDA STRUTTURA'!$A$17:$G$147,7,FALSE)*1,0),IF(ISNUMBER(MATCH($B113,'SCHEDA PEZZI SPECIALI'!$A$38:$A$59,0)),IFERROR(VLOOKUP($B113,'SCHEDA PEZZI SPECIALI'!$A$38:$F$59,5,FALSE)*1,0)+IFERROR(VLOOKUP($B113,'SCHEDA PEZZI SPECIALI'!$A$38:$F$59,6,FALSE)*1,0),IF(ISNUMBER(MATCH($B113,'SCHEDA ELETTROMECCANICA'!$A$5:$A$14,0)),IFERROR(VLOOKUP($B113,'SCHEDA ELETTROMECCANICA'!$A$5:$D$14,4,FALSE)*1,0),IF(ISNUMBER(MATCH($B113,'SCHEDA BULLONERIA'!$A$6:$A$36,0)),IFERROR(VLOOKUP($B113,'SCHEDA BULLONERIA'!$A$6:$D$36,4,FALSE)*1,0),"")))))</f>
        <v/>
      </c>
      <c r="H113" s="4" t="inlineStr">
        <is>
          <t>PILASTRO MOTORE</t>
        </is>
      </c>
      <c r="I113" s="11" t="n">
        <v>1</v>
      </c>
    </row>
    <row r="114">
      <c r="A114" s="11" t="n">
        <v>110</v>
      </c>
      <c r="B114" s="4" t="inlineStr">
        <is>
          <t>TTS.PM.001.IPE140.27</t>
        </is>
      </c>
      <c r="C114" s="4" t="inlineStr">
        <is>
          <t>Pilastro motore trave ipe140 x 2720 con foratura alloggiamento quadro motore (standard)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STRUTTURA'!$A$17:$E$417,5,FALSE),"")</f>
        <v/>
      </c>
      <c r="G114" s="5">
        <f>IF($B114="","",IF(ISNUMBER(MATCH($B114,'SCHEDA STRUTTURA'!$A$17:$A$147,0)),IFERROR(VLOOKUP($B114,'SCHEDA STRUTTURA'!$A$17:$G$147,6,FALSE)*1,0)+IFERROR(VLOOKUP($B114,'SCHEDA STRUTTURA'!$A$17:$G$147,7,FALSE)*1,0),IF(ISNUMBER(MATCH($B114,'SCHEDA PEZZI SPECIALI'!$A$38:$A$59,0)),IFERROR(VLOOKUP($B114,'SCHEDA PEZZI SPECIALI'!$A$38:$F$59,5,FALSE)*1,0)+IFERROR(VLOOKUP($B114,'SCHEDA PEZZI SPECIALI'!$A$38:$F$59,6,FALSE)*1,0),IF(ISNUMBER(MATCH($B114,'SCHEDA ELETTROMECCANICA'!$A$5:$A$14,0)),IFERROR(VLOOKUP($B114,'SCHEDA ELETTROMECCANICA'!$A$5:$D$14,4,FALSE)*1,0),IF(ISNUMBER(MATCH($B114,'SCHEDA BULLONERIA'!$A$6:$A$36,0)),IFERROR(VLOOKUP($B114,'SCHEDA BULLONERIA'!$A$6:$D$36,4,FALSE)*1,0),"")))))</f>
        <v/>
      </c>
      <c r="H114" s="4" t="inlineStr">
        <is>
          <t>PILASTRO MOTORE</t>
        </is>
      </c>
      <c r="I114" s="11" t="n">
        <v>1</v>
      </c>
    </row>
    <row r="115">
      <c r="A115" s="11" t="n">
        <v>111</v>
      </c>
      <c r="B115" s="4" t="inlineStr">
        <is>
          <t>TTS.PM.001.IPEA140.27</t>
        </is>
      </c>
      <c r="C115" s="4" t="inlineStr">
        <is>
          <t>Pilastro motore trave ipea140 x 2720 con foratura alloggiamento quadro motore (alleggerita)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STRUTTURA'!$A$17:$E$417,5,FALSE),"")</f>
        <v/>
      </c>
      <c r="G115" s="5">
        <f>IF($B115="","",IF(ISNUMBER(MATCH($B115,'SCHEDA STRUTTURA'!$A$17:$A$147,0)),IFERROR(VLOOKUP($B115,'SCHEDA STRUTTURA'!$A$17:$G$147,6,FALSE)*1,0)+IFERROR(VLOOKUP($B115,'SCHEDA STRUTTURA'!$A$17:$G$147,7,FALSE)*1,0),IF(ISNUMBER(MATCH($B115,'SCHEDA PEZZI SPECIALI'!$A$38:$A$59,0)),IFERROR(VLOOKUP($B115,'SCHEDA PEZZI SPECIALI'!$A$38:$F$59,5,FALSE)*1,0)+IFERROR(VLOOKUP($B115,'SCHEDA PEZZI SPECIALI'!$A$38:$F$59,6,FALSE)*1,0),IF(ISNUMBER(MATCH($B115,'SCHEDA ELETTROMECCANICA'!$A$5:$A$14,0)),IFERROR(VLOOKUP($B115,'SCHEDA ELETTROMECCANICA'!$A$5:$D$14,4,FALSE)*1,0),IF(ISNUMBER(MATCH($B115,'SCHEDA BULLONERIA'!$A$6:$A$36,0)),IFERROR(VLOOKUP($B115,'SCHEDA BULLONERIA'!$A$6:$D$36,4,FALSE)*1,0),"")))))</f>
        <v/>
      </c>
      <c r="H115" s="4" t="inlineStr">
        <is>
          <t>PILASTRO MOTORE</t>
        </is>
      </c>
      <c r="I115" s="11" t="n">
        <v>1</v>
      </c>
    </row>
    <row r="116">
      <c r="A116" s="11" t="n">
        <v>112</v>
      </c>
      <c r="B116" s="4" t="inlineStr">
        <is>
          <t>TTS.PM.001.IPE140.28</t>
        </is>
      </c>
      <c r="C116" s="4" t="inlineStr">
        <is>
          <t>Pilastro motore trave ipe140 x 2820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STRUTTURA'!$A$17:$E$417,5,FALSE),"")</f>
        <v/>
      </c>
      <c r="G116" s="5">
        <f>IF($B116="","",IF(ISNUMBER(MATCH($B116,'SCHEDA STRUTTURA'!$A$17:$A$147,0)),IFERROR(VLOOKUP($B116,'SCHEDA STRUTTURA'!$A$17:$G$147,6,FALSE)*1,0)+IFERROR(VLOOKUP($B116,'SCHEDA STRUTTURA'!$A$17:$G$147,7,FALSE)*1,0),IF(ISNUMBER(MATCH($B116,'SCHEDA PEZZI SPECIALI'!$A$38:$A$59,0)),IFERROR(VLOOKUP($B116,'SCHEDA PEZZI SPECIALI'!$A$38:$F$59,5,FALSE)*1,0)+IFERROR(VLOOKUP($B116,'SCHEDA PEZZI SPECIALI'!$A$38:$F$59,6,FALSE)*1,0),IF(ISNUMBER(MATCH($B116,'SCHEDA ELETTROMECCANICA'!$A$5:$A$14,0)),IFERROR(VLOOKUP($B116,'SCHEDA ELETTROMECCANICA'!$A$5:$D$14,4,FALSE)*1,0),IF(ISNUMBER(MATCH($B116,'SCHEDA BULLONERIA'!$A$6:$A$36,0)),IFERROR(VLOOKUP($B116,'SCHEDA BULLONERIA'!$A$6:$D$36,4,FALSE)*1,0),"")))))</f>
        <v/>
      </c>
      <c r="H116" s="4" t="inlineStr">
        <is>
          <t>PILASTRO MOTORE</t>
        </is>
      </c>
      <c r="I116" s="11" t="n">
        <v>1</v>
      </c>
    </row>
    <row r="117">
      <c r="A117" s="11" t="n">
        <v>113</v>
      </c>
      <c r="B117" s="4" t="inlineStr">
        <is>
          <t>TTS.PM.001.IPEA140.28</t>
        </is>
      </c>
      <c r="C117" s="4" t="inlineStr">
        <is>
          <t>Pilastro motore trave ipea140 x 2820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STRUTTURA'!$A$17:$E$417,5,FALSE),"")</f>
        <v/>
      </c>
      <c r="G117" s="5">
        <f>IF($B117="","",IF(ISNUMBER(MATCH($B117,'SCHEDA STRUTTURA'!$A$17:$A$147,0)),IFERROR(VLOOKUP($B117,'SCHEDA STRUTTURA'!$A$17:$G$147,6,FALSE)*1,0)+IFERROR(VLOOKUP($B117,'SCHEDA STRUTTURA'!$A$17:$G$147,7,FALSE)*1,0),IF(ISNUMBER(MATCH($B117,'SCHEDA PEZZI SPECIALI'!$A$38:$A$59,0)),IFERROR(VLOOKUP($B117,'SCHEDA PEZZI SPECIALI'!$A$38:$F$59,5,FALSE)*1,0)+IFERROR(VLOOKUP($B117,'SCHEDA PEZZI SPECIALI'!$A$38:$F$59,6,FALSE)*1,0),IF(ISNUMBER(MATCH($B117,'SCHEDA ELETTROMECCANICA'!$A$5:$A$14,0)),IFERROR(VLOOKUP($B117,'SCHEDA ELETTROMECCANICA'!$A$5:$D$14,4,FALSE)*1,0),IF(ISNUMBER(MATCH($B117,'SCHEDA BULLONERIA'!$A$6:$A$36,0)),IFERROR(VLOOKUP($B117,'SCHEDA BULLONERIA'!$A$6:$D$36,4,FALSE)*1,0),"")))))</f>
        <v/>
      </c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TTS.PM.001.IPE140.29</t>
        </is>
      </c>
      <c r="C118" s="4" t="inlineStr">
        <is>
          <t>Pilastro motore trave ipe140 x 2920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STRUTTURA'!$A$17:$E$417,5,FALSE),"")</f>
        <v/>
      </c>
      <c r="G118" s="5">
        <f>IF($B118="","",IF(ISNUMBER(MATCH($B118,'SCHEDA STRUTTURA'!$A$17:$A$147,0)),IFERROR(VLOOKUP($B118,'SCHEDA STRUTTURA'!$A$17:$G$147,6,FALSE)*1,0)+IFERROR(VLOOKUP($B118,'SCHEDA STRUTTURA'!$A$17:$G$147,7,FALSE)*1,0),IF(ISNUMBER(MATCH($B118,'SCHEDA PEZZI SPECIALI'!$A$38:$A$59,0)),IFERROR(VLOOKUP($B118,'SCHEDA PEZZI SPECIALI'!$A$38:$F$59,5,FALSE)*1,0)+IFERROR(VLOOKUP($B118,'SCHEDA PEZZI SPECIALI'!$A$38:$F$59,6,FALSE)*1,0),IF(ISNUMBER(MATCH($B118,'SCHEDA ELETTROMECCANICA'!$A$5:$A$14,0)),IFERROR(VLOOKUP($B118,'SCHEDA ELETTROMECCANICA'!$A$5:$D$14,4,FALSE)*1,0),IF(ISNUMBER(MATCH($B118,'SCHEDA BULLONERIA'!$A$6:$A$36,0)),IFERROR(VLOOKUP($B118,'SCHEDA BULLONERIA'!$A$6:$D$36,4,FALSE)*1,0),"")))))</f>
        <v/>
      </c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TTS.PM.001.IPEA140.29</t>
        </is>
      </c>
      <c r="C119" s="4" t="inlineStr">
        <is>
          <t>Pilastro motore trave ipea140 x 2920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STRUTTURA'!$A$17:$E$417,5,FALSE),"")</f>
        <v/>
      </c>
      <c r="G119" s="5">
        <f>IF($B119="","",IF(ISNUMBER(MATCH($B119,'SCHEDA STRUTTURA'!$A$17:$A$147,0)),IFERROR(VLOOKUP($B119,'SCHEDA STRUTTURA'!$A$17:$G$147,6,FALSE)*1,0)+IFERROR(VLOOKUP($B119,'SCHEDA STRUTTURA'!$A$17:$G$147,7,FALSE)*1,0),IF(ISNUMBER(MATCH($B119,'SCHEDA PEZZI SPECIALI'!$A$38:$A$59,0)),IFERROR(VLOOKUP($B119,'SCHEDA PEZZI SPECIALI'!$A$38:$F$59,5,FALSE)*1,0)+IFERROR(VLOOKUP($B119,'SCHEDA PEZZI SPECIALI'!$A$38:$F$59,6,FALSE)*1,0),IF(ISNUMBER(MATCH($B119,'SCHEDA ELETTROMECCANICA'!$A$5:$A$14,0)),IFERROR(VLOOKUP($B119,'SCHEDA ELETTROMECCANICA'!$A$5:$D$14,4,FALSE)*1,0),IF(ISNUMBER(MATCH($B119,'SCHEDA BULLONERIA'!$A$6:$A$36,0)),IFERROR(VLOOKUP($B119,'SCHEDA BULLONERIA'!$A$6:$D$36,4,FALSE)*1,0),"")))))</f>
        <v/>
      </c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TTS.PM.001.IPE140.30</t>
        </is>
      </c>
      <c r="C120" s="4" t="inlineStr">
        <is>
          <t>Pilastro motore trave ipe140 x 3020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STRUTTURA'!$A$17:$E$417,5,FALSE),"")</f>
        <v/>
      </c>
      <c r="G120" s="5">
        <f>IF($B120="","",IF(ISNUMBER(MATCH($B120,'SCHEDA STRUTTURA'!$A$17:$A$147,0)),IFERROR(VLOOKUP($B120,'SCHEDA STRUTTURA'!$A$17:$G$147,6,FALSE)*1,0)+IFERROR(VLOOKUP($B120,'SCHEDA STRUTTURA'!$A$17:$G$147,7,FALSE)*1,0),IF(ISNUMBER(MATCH($B120,'SCHEDA PEZZI SPECIALI'!$A$38:$A$59,0)),IFERROR(VLOOKUP($B120,'SCHEDA PEZZI SPECIALI'!$A$38:$F$59,5,FALSE)*1,0)+IFERROR(VLOOKUP($B120,'SCHEDA PEZZI SPECIALI'!$A$38:$F$59,6,FALSE)*1,0),IF(ISNUMBER(MATCH($B120,'SCHEDA ELETTROMECCANICA'!$A$5:$A$14,0)),IFERROR(VLOOKUP($B120,'SCHEDA ELETTROMECCANICA'!$A$5:$D$14,4,FALSE)*1,0),IF(ISNUMBER(MATCH($B120,'SCHEDA BULLONERIA'!$A$6:$A$36,0)),IFERROR(VLOOKUP($B120,'SCHEDA BULLONERIA'!$A$6:$D$36,4,FALSE)*1,0),"")))))</f>
        <v/>
      </c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TTS.PM.001.IPEA140.30</t>
        </is>
      </c>
      <c r="C121" s="4" t="inlineStr">
        <is>
          <t>Pilastro motore trave ipea140 x 3020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STRUTTURA'!$A$17:$E$417,5,FALSE),"")</f>
        <v/>
      </c>
      <c r="G121" s="5">
        <f>IF($B121="","",IF(ISNUMBER(MATCH($B121,'SCHEDA STRUTTURA'!$A$17:$A$147,0)),IFERROR(VLOOKUP($B121,'SCHEDA STRUTTURA'!$A$17:$G$147,6,FALSE)*1,0)+IFERROR(VLOOKUP($B121,'SCHEDA STRUTTURA'!$A$17:$G$147,7,FALSE)*1,0),IF(ISNUMBER(MATCH($B121,'SCHEDA PEZZI SPECIALI'!$A$38:$A$59,0)),IFERROR(VLOOKUP($B121,'SCHEDA PEZZI SPECIALI'!$A$38:$F$59,5,FALSE)*1,0)+IFERROR(VLOOKUP($B121,'SCHEDA PEZZI SPECIALI'!$A$38:$F$59,6,FALSE)*1,0),IF(ISNUMBER(MATCH($B121,'SCHEDA ELETTROMECCANICA'!$A$5:$A$14,0)),IFERROR(VLOOKUP($B121,'SCHEDA ELETTROMECCANICA'!$A$5:$D$14,4,FALSE)*1,0),IF(ISNUMBER(MATCH($B121,'SCHEDA BULLONERIA'!$A$6:$A$36,0)),IFERROR(VLOOKUP($B121,'SCHEDA BULLONERIA'!$A$6:$D$36,4,FALSE)*1,0),"")))))</f>
        <v/>
      </c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TTS.PM.001.IPE140.31</t>
        </is>
      </c>
      <c r="C122" s="4" t="inlineStr">
        <is>
          <t>Pilastro motore trave ipe140 x 3120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STRUTTURA'!$A$17:$E$417,5,FALSE),"")</f>
        <v/>
      </c>
      <c r="G122" s="5">
        <f>IF($B122="","",IF(ISNUMBER(MATCH($B122,'SCHEDA STRUTTURA'!$A$17:$A$147,0)),IFERROR(VLOOKUP($B122,'SCHEDA STRUTTURA'!$A$17:$G$147,6,FALSE)*1,0)+IFERROR(VLOOKUP($B122,'SCHEDA STRUTTURA'!$A$17:$G$147,7,FALSE)*1,0),IF(ISNUMBER(MATCH($B122,'SCHEDA PEZZI SPECIALI'!$A$38:$A$59,0)),IFERROR(VLOOKUP($B122,'SCHEDA PEZZI SPECIALI'!$A$38:$F$59,5,FALSE)*1,0)+IFERROR(VLOOKUP($B122,'SCHEDA PEZZI SPECIALI'!$A$38:$F$59,6,FALSE)*1,0),IF(ISNUMBER(MATCH($B122,'SCHEDA ELETTROMECCANICA'!$A$5:$A$14,0)),IFERROR(VLOOKUP($B122,'SCHEDA ELETTROMECCANICA'!$A$5:$D$14,4,FALSE)*1,0),IF(ISNUMBER(MATCH($B122,'SCHEDA BULLONERIA'!$A$6:$A$36,0)),IFERROR(VLOOKUP($B122,'SCHEDA BULLONERIA'!$A$6:$D$36,4,FALSE)*1,0),"")))))</f>
        <v/>
      </c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TTS.PM.001.IPEA140.31</t>
        </is>
      </c>
      <c r="C123" s="4" t="inlineStr">
        <is>
          <t>Pilastro motore trave ipea140 x 3120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STRUTTURA'!$A$17:$E$417,5,FALSE),"")</f>
        <v/>
      </c>
      <c r="G123" s="5">
        <f>IF($B123="","",IF(ISNUMBER(MATCH($B123,'SCHEDA STRUTTURA'!$A$17:$A$147,0)),IFERROR(VLOOKUP($B123,'SCHEDA STRUTTURA'!$A$17:$G$147,6,FALSE)*1,0)+IFERROR(VLOOKUP($B123,'SCHEDA STRUTTURA'!$A$17:$G$147,7,FALSE)*1,0),IF(ISNUMBER(MATCH($B123,'SCHEDA PEZZI SPECIALI'!$A$38:$A$59,0)),IFERROR(VLOOKUP($B123,'SCHEDA PEZZI SPECIALI'!$A$38:$F$59,5,FALSE)*1,0)+IFERROR(VLOOKUP($B123,'SCHEDA PEZZI SPECIALI'!$A$38:$F$59,6,FALSE)*1,0),IF(ISNUMBER(MATCH($B123,'SCHEDA ELETTROMECCANICA'!$A$5:$A$14,0)),IFERROR(VLOOKUP($B123,'SCHEDA ELETTROMECCANICA'!$A$5:$D$14,4,FALSE)*1,0),IF(ISNUMBER(MATCH($B123,'SCHEDA BULLONERIA'!$A$6:$A$36,0)),IFERROR(VLOOKUP($B123,'SCHEDA BULLONERIA'!$A$6:$D$36,4,FALSE)*1,0),"")))))</f>
        <v/>
      </c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TTS.PM.001.IPE140.32</t>
        </is>
      </c>
      <c r="C124" s="4" t="inlineStr">
        <is>
          <t>Pilastro motore trave ipe140 x 3220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STRUTTURA'!$A$17:$E$417,5,FALSE),"")</f>
        <v/>
      </c>
      <c r="G124" s="5">
        <f>IF($B124="","",IF(ISNUMBER(MATCH($B124,'SCHEDA STRUTTURA'!$A$17:$A$147,0)),IFERROR(VLOOKUP($B124,'SCHEDA STRUTTURA'!$A$17:$G$147,6,FALSE)*1,0)+IFERROR(VLOOKUP($B124,'SCHEDA STRUTTURA'!$A$17:$G$147,7,FALSE)*1,0),IF(ISNUMBER(MATCH($B124,'SCHEDA PEZZI SPECIALI'!$A$38:$A$59,0)),IFERROR(VLOOKUP($B124,'SCHEDA PEZZI SPECIALI'!$A$38:$F$59,5,FALSE)*1,0)+IFERROR(VLOOKUP($B124,'SCHEDA PEZZI SPECIALI'!$A$38:$F$59,6,FALSE)*1,0),IF(ISNUMBER(MATCH($B124,'SCHEDA ELETTROMECCANICA'!$A$5:$A$14,0)),IFERROR(VLOOKUP($B124,'SCHEDA ELETTROMECCANICA'!$A$5:$D$14,4,FALSE)*1,0),IF(ISNUMBER(MATCH($B124,'SCHEDA BULLONERIA'!$A$6:$A$36,0)),IFERROR(VLOOKUP($B124,'SCHEDA BULLONERIA'!$A$6:$D$36,4,FALSE)*1,0),"")))))</f>
        <v/>
      </c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TTS.PM.001.IPEA140.32</t>
        </is>
      </c>
      <c r="C125" s="4" t="inlineStr">
        <is>
          <t>Pilastro motore trave ipea140 x 3220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STRUTTURA'!$A$17:$E$417,5,FALSE),"")</f>
        <v/>
      </c>
      <c r="G125" s="5">
        <f>IF($B125="","",IF(ISNUMBER(MATCH($B125,'SCHEDA STRUTTURA'!$A$17:$A$147,0)),IFERROR(VLOOKUP($B125,'SCHEDA STRUTTURA'!$A$17:$G$147,6,FALSE)*1,0)+IFERROR(VLOOKUP($B125,'SCHEDA STRUTTURA'!$A$17:$G$147,7,FALSE)*1,0),IF(ISNUMBER(MATCH($B125,'SCHEDA PEZZI SPECIALI'!$A$38:$A$59,0)),IFERROR(VLOOKUP($B125,'SCHEDA PEZZI SPECIALI'!$A$38:$F$59,5,FALSE)*1,0)+IFERROR(VLOOKUP($B125,'SCHEDA PEZZI SPECIALI'!$A$38:$F$59,6,FALSE)*1,0),IF(ISNUMBER(MATCH($B125,'SCHEDA ELETTROMECCANICA'!$A$5:$A$14,0)),IFERROR(VLOOKUP($B125,'SCHEDA ELETTROMECCANICA'!$A$5:$D$14,4,FALSE)*1,0),IF(ISNUMBER(MATCH($B125,'SCHEDA BULLONERIA'!$A$6:$A$36,0)),IFERROR(VLOOKUP($B125,'SCHEDA BULLONERIA'!$A$6:$D$36,4,FALSE)*1,0),"")))))</f>
        <v/>
      </c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TTS.PM.001.IPE140.33</t>
        </is>
      </c>
      <c r="C126" s="4" t="inlineStr">
        <is>
          <t>Pilastro motore trave ipe140 x 3320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STRUTTURA'!$A$17:$E$417,5,FALSE),"")</f>
        <v/>
      </c>
      <c r="G126" s="5">
        <f>IF($B126="","",IF(ISNUMBER(MATCH($B126,'SCHEDA STRUTTURA'!$A$17:$A$147,0)),IFERROR(VLOOKUP($B126,'SCHEDA STRUTTURA'!$A$17:$G$147,6,FALSE)*1,0)+IFERROR(VLOOKUP($B126,'SCHEDA STRUTTURA'!$A$17:$G$147,7,FALSE)*1,0),IF(ISNUMBER(MATCH($B126,'SCHEDA PEZZI SPECIALI'!$A$38:$A$59,0)),IFERROR(VLOOKUP($B126,'SCHEDA PEZZI SPECIALI'!$A$38:$F$59,5,FALSE)*1,0)+IFERROR(VLOOKUP($B126,'SCHEDA PEZZI SPECIALI'!$A$38:$F$59,6,FALSE)*1,0),IF(ISNUMBER(MATCH($B126,'SCHEDA ELETTROMECCANICA'!$A$5:$A$14,0)),IFERROR(VLOOKUP($B126,'SCHEDA ELETTROMECCANICA'!$A$5:$D$14,4,FALSE)*1,0),IF(ISNUMBER(MATCH($B126,'SCHEDA BULLONERIA'!$A$6:$A$36,0)),IFERROR(VLOOKUP($B126,'SCHEDA BULLONERIA'!$A$6:$D$36,4,FALSE)*1,0),"")))))</f>
        <v/>
      </c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TTS.PM.001.IPEA140.33</t>
        </is>
      </c>
      <c r="C127" s="4" t="inlineStr">
        <is>
          <t>Pilastro motore trave ipea140 x 3320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STRUTTURA'!$A$17:$E$417,5,FALSE),"")</f>
        <v/>
      </c>
      <c r="G127" s="5">
        <f>IF($B127="","",IF(ISNUMBER(MATCH($B127,'SCHEDA STRUTTURA'!$A$17:$A$147,0)),IFERROR(VLOOKUP($B127,'SCHEDA STRUTTURA'!$A$17:$G$147,6,FALSE)*1,0)+IFERROR(VLOOKUP($B127,'SCHEDA STRUTTURA'!$A$17:$G$147,7,FALSE)*1,0),IF(ISNUMBER(MATCH($B127,'SCHEDA PEZZI SPECIALI'!$A$38:$A$59,0)),IFERROR(VLOOKUP($B127,'SCHEDA PEZZI SPECIALI'!$A$38:$F$59,5,FALSE)*1,0)+IFERROR(VLOOKUP($B127,'SCHEDA PEZZI SPECIALI'!$A$38:$F$59,6,FALSE)*1,0),IF(ISNUMBER(MATCH($B127,'SCHEDA ELETTROMECCANICA'!$A$5:$A$14,0)),IFERROR(VLOOKUP($B127,'SCHEDA ELETTROMECCANICA'!$A$5:$D$14,4,FALSE)*1,0),IF(ISNUMBER(MATCH($B127,'SCHEDA BULLONERIA'!$A$6:$A$36,0)),IFERROR(VLOOKUP($B127,'SCHEDA BULLONERIA'!$A$6:$D$36,4,FALSE)*1,0),"")))))</f>
        <v/>
      </c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TTS.PM.001.IPE140.34</t>
        </is>
      </c>
      <c r="C128" s="4" t="inlineStr">
        <is>
          <t>Pilastro motore trave ipe140 x 3420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STRUTTURA'!$A$17:$E$417,5,FALSE),"")</f>
        <v/>
      </c>
      <c r="G128" s="5">
        <f>IF($B128="","",IF(ISNUMBER(MATCH($B128,'SCHEDA STRUTTURA'!$A$17:$A$147,0)),IFERROR(VLOOKUP($B128,'SCHEDA STRUTTURA'!$A$17:$G$147,6,FALSE)*1,0)+IFERROR(VLOOKUP($B128,'SCHEDA STRUTTURA'!$A$17:$G$147,7,FALSE)*1,0),IF(ISNUMBER(MATCH($B128,'SCHEDA PEZZI SPECIALI'!$A$38:$A$59,0)),IFERROR(VLOOKUP($B128,'SCHEDA PEZZI SPECIALI'!$A$38:$F$59,5,FALSE)*1,0)+IFERROR(VLOOKUP($B128,'SCHEDA PEZZI SPECIALI'!$A$38:$F$59,6,FALSE)*1,0),IF(ISNUMBER(MATCH($B128,'SCHEDA ELETTROMECCANICA'!$A$5:$A$14,0)),IFERROR(VLOOKUP($B128,'SCHEDA ELETTROMECCANICA'!$A$5:$D$14,4,FALSE)*1,0),IF(ISNUMBER(MATCH($B128,'SCHEDA BULLONERIA'!$A$6:$A$36,0)),IFERROR(VLOOKUP($B128,'SCHEDA BULLONERIA'!$A$6:$D$36,4,FALSE)*1,0),"")))))</f>
        <v/>
      </c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TTS.PM.001.IPEA140.34</t>
        </is>
      </c>
      <c r="C129" s="4" t="inlineStr">
        <is>
          <t>Pilastro motore trave ipea140 x 3420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STRUTTURA'!$A$17:$E$417,5,FALSE),"")</f>
        <v/>
      </c>
      <c r="G129" s="5">
        <f>IF($B129="","",IF(ISNUMBER(MATCH($B129,'SCHEDA STRUTTURA'!$A$17:$A$147,0)),IFERROR(VLOOKUP($B129,'SCHEDA STRUTTURA'!$A$17:$G$147,6,FALSE)*1,0)+IFERROR(VLOOKUP($B129,'SCHEDA STRUTTURA'!$A$17:$G$147,7,FALSE)*1,0),IF(ISNUMBER(MATCH($B129,'SCHEDA PEZZI SPECIALI'!$A$38:$A$59,0)),IFERROR(VLOOKUP($B129,'SCHEDA PEZZI SPECIALI'!$A$38:$F$59,5,FALSE)*1,0)+IFERROR(VLOOKUP($B129,'SCHEDA PEZZI SPECIALI'!$A$38:$F$59,6,FALSE)*1,0),IF(ISNUMBER(MATCH($B129,'SCHEDA ELETTROMECCANICA'!$A$5:$A$14,0)),IFERROR(VLOOKUP($B129,'SCHEDA ELETTROMECCANICA'!$A$5:$D$14,4,FALSE)*1,0),IF(ISNUMBER(MATCH($B129,'SCHEDA BULLONERIA'!$A$6:$A$36,0)),IFERROR(VLOOKUP($B129,'SCHEDA BULLONERIA'!$A$6:$D$36,4,FALSE)*1,0),"")))))</f>
        <v/>
      </c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TTS.PM.001.IPE140.35</t>
        </is>
      </c>
      <c r="C130" s="4" t="inlineStr">
        <is>
          <t>Pilastro motore trave ipe140 x 3520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STRUTTURA'!$A$17:$E$417,5,FALSE),"")</f>
        <v/>
      </c>
      <c r="G130" s="5">
        <f>IF($B130="","",IF(ISNUMBER(MATCH($B130,'SCHEDA STRUTTURA'!$A$17:$A$147,0)),IFERROR(VLOOKUP($B130,'SCHEDA STRUTTURA'!$A$17:$G$147,6,FALSE)*1,0)+IFERROR(VLOOKUP($B130,'SCHEDA STRUTTURA'!$A$17:$G$147,7,FALSE)*1,0),IF(ISNUMBER(MATCH($B130,'SCHEDA PEZZI SPECIALI'!$A$38:$A$59,0)),IFERROR(VLOOKUP($B130,'SCHEDA PEZZI SPECIALI'!$A$38:$F$59,5,FALSE)*1,0)+IFERROR(VLOOKUP($B130,'SCHEDA PEZZI SPECIALI'!$A$38:$F$59,6,FALSE)*1,0),IF(ISNUMBER(MATCH($B130,'SCHEDA ELETTROMECCANICA'!$A$5:$A$14,0)),IFERROR(VLOOKUP($B130,'SCHEDA ELETTROMECCANICA'!$A$5:$D$14,4,FALSE)*1,0),IF(ISNUMBER(MATCH($B130,'SCHEDA BULLONERIA'!$A$6:$A$36,0)),IFERROR(VLOOKUP($B130,'SCHEDA BULLONERIA'!$A$6:$D$36,4,FALSE)*1,0),"")))))</f>
        <v/>
      </c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TTS.PM.001.IPEA140.35</t>
        </is>
      </c>
      <c r="C131" s="4" t="inlineStr">
        <is>
          <t>Pilastro motore trave ipea140 x 3520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STRUTTURA'!$A$17:$E$417,5,FALSE),"")</f>
        <v/>
      </c>
      <c r="G131" s="5">
        <f>IF($B131="","",IF(ISNUMBER(MATCH($B131,'SCHEDA STRUTTURA'!$A$17:$A$147,0)),IFERROR(VLOOKUP($B131,'SCHEDA STRUTTURA'!$A$17:$G$147,6,FALSE)*1,0)+IFERROR(VLOOKUP($B131,'SCHEDA STRUTTURA'!$A$17:$G$147,7,FALSE)*1,0),IF(ISNUMBER(MATCH($B131,'SCHEDA PEZZI SPECIALI'!$A$38:$A$59,0)),IFERROR(VLOOKUP($B131,'SCHEDA PEZZI SPECIALI'!$A$38:$F$59,5,FALSE)*1,0)+IFERROR(VLOOKUP($B131,'SCHEDA PEZZI SPECIALI'!$A$38:$F$59,6,FALSE)*1,0),IF(ISNUMBER(MATCH($B131,'SCHEDA ELETTROMECCANICA'!$A$5:$A$14,0)),IFERROR(VLOOKUP($B131,'SCHEDA ELETTROMECCANICA'!$A$5:$D$14,4,FALSE)*1,0),IF(ISNUMBER(MATCH($B131,'SCHEDA BULLONERIA'!$A$6:$A$36,0)),IFERROR(VLOOKUP($B131,'SCHEDA BULLONERIA'!$A$6:$D$36,4,FALSE)*1,0),"")))))</f>
        <v/>
      </c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TTS.PM.001.IPE140.36</t>
        </is>
      </c>
      <c r="C132" s="4" t="inlineStr">
        <is>
          <t>Pilastro motore trave ipe140 x 3620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STRUTTURA'!$A$17:$E$417,5,FALSE),"")</f>
        <v/>
      </c>
      <c r="G132" s="5">
        <f>IF($B132="","",IF(ISNUMBER(MATCH($B132,'SCHEDA STRUTTURA'!$A$17:$A$147,0)),IFERROR(VLOOKUP($B132,'SCHEDA STRUTTURA'!$A$17:$G$147,6,FALSE)*1,0)+IFERROR(VLOOKUP($B132,'SCHEDA STRUTTURA'!$A$17:$G$147,7,FALSE)*1,0),IF(ISNUMBER(MATCH($B132,'SCHEDA PEZZI SPECIALI'!$A$38:$A$59,0)),IFERROR(VLOOKUP($B132,'SCHEDA PEZZI SPECIALI'!$A$38:$F$59,5,FALSE)*1,0)+IFERROR(VLOOKUP($B132,'SCHEDA PEZZI SPECIALI'!$A$38:$F$59,6,FALSE)*1,0),IF(ISNUMBER(MATCH($B132,'SCHEDA ELETTROMECCANICA'!$A$5:$A$14,0)),IFERROR(VLOOKUP($B132,'SCHEDA ELETTROMECCANICA'!$A$5:$D$14,4,FALSE)*1,0),IF(ISNUMBER(MATCH($B132,'SCHEDA BULLONERIA'!$A$6:$A$36,0)),IFERROR(VLOOKUP($B132,'SCHEDA BULLONERIA'!$A$6:$D$36,4,FALSE)*1,0),"")))))</f>
        <v/>
      </c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TTS.PM.001.IPEA140.36</t>
        </is>
      </c>
      <c r="C133" s="4" t="inlineStr">
        <is>
          <t>Pilastro motore trave ipea140 x 3620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STRUTTURA'!$A$17:$E$417,5,FALSE),"")</f>
        <v/>
      </c>
      <c r="G133" s="5">
        <f>IF($B133="","",IF(ISNUMBER(MATCH($B133,'SCHEDA STRUTTURA'!$A$17:$A$147,0)),IFERROR(VLOOKUP($B133,'SCHEDA STRUTTURA'!$A$17:$G$147,6,FALSE)*1,0)+IFERROR(VLOOKUP($B133,'SCHEDA STRUTTURA'!$A$17:$G$147,7,FALSE)*1,0),IF(ISNUMBER(MATCH($B133,'SCHEDA PEZZI SPECIALI'!$A$38:$A$59,0)),IFERROR(VLOOKUP($B133,'SCHEDA PEZZI SPECIALI'!$A$38:$F$59,5,FALSE)*1,0)+IFERROR(VLOOKUP($B133,'SCHEDA PEZZI SPECIALI'!$A$38:$F$59,6,FALSE)*1,0),IF(ISNUMBER(MATCH($B133,'SCHEDA ELETTROMECCANICA'!$A$5:$A$14,0)),IFERROR(VLOOKUP($B133,'SCHEDA ELETTROMECCANICA'!$A$5:$D$14,4,FALSE)*1,0),IF(ISNUMBER(MATCH($B133,'SCHEDA BULLONERIA'!$A$6:$A$36,0)),IFERROR(VLOOKUP($B133,'SCHEDA BULLONERIA'!$A$6:$D$36,4,FALSE)*1,0),"")))))</f>
        <v/>
      </c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TTS.PM.001.IPE140.37</t>
        </is>
      </c>
      <c r="C134" s="4" t="inlineStr">
        <is>
          <t>Pilastro motore trave ipe140 x 3720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STRUTTURA'!$A$17:$E$417,5,FALSE),"")</f>
        <v/>
      </c>
      <c r="G134" s="5">
        <f>IF($B134="","",IF(ISNUMBER(MATCH($B134,'SCHEDA STRUTTURA'!$A$17:$A$147,0)),IFERROR(VLOOKUP($B134,'SCHEDA STRUTTURA'!$A$17:$G$147,6,FALSE)*1,0)+IFERROR(VLOOKUP($B134,'SCHEDA STRUTTURA'!$A$17:$G$147,7,FALSE)*1,0),IF(ISNUMBER(MATCH($B134,'SCHEDA PEZZI SPECIALI'!$A$38:$A$59,0)),IFERROR(VLOOKUP($B134,'SCHEDA PEZZI SPECIALI'!$A$38:$F$59,5,FALSE)*1,0)+IFERROR(VLOOKUP($B134,'SCHEDA PEZZI SPECIALI'!$A$38:$F$59,6,FALSE)*1,0),IF(ISNUMBER(MATCH($B134,'SCHEDA ELETTROMECCANICA'!$A$5:$A$14,0)),IFERROR(VLOOKUP($B134,'SCHEDA ELETTROMECCANICA'!$A$5:$D$14,4,FALSE)*1,0),IF(ISNUMBER(MATCH($B134,'SCHEDA BULLONERIA'!$A$6:$A$36,0)),IFERROR(VLOOKUP($B134,'SCHEDA BULLONERIA'!$A$6:$D$36,4,FALSE)*1,0),"")))))</f>
        <v/>
      </c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TTS.PM.001.IPEA140.37</t>
        </is>
      </c>
      <c r="C135" s="4" t="inlineStr">
        <is>
          <t>Pilastro motore trave ipea140 x 3720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STRUTTURA'!$A$17:$E$417,5,FALSE),"")</f>
        <v/>
      </c>
      <c r="G135" s="5">
        <f>IF($B135="","",IF(ISNUMBER(MATCH($B135,'SCHEDA STRUTTURA'!$A$17:$A$147,0)),IFERROR(VLOOKUP($B135,'SCHEDA STRUTTURA'!$A$17:$G$147,6,FALSE)*1,0)+IFERROR(VLOOKUP($B135,'SCHEDA STRUTTURA'!$A$17:$G$147,7,FALSE)*1,0),IF(ISNUMBER(MATCH($B135,'SCHEDA PEZZI SPECIALI'!$A$38:$A$59,0)),IFERROR(VLOOKUP($B135,'SCHEDA PEZZI SPECIALI'!$A$38:$F$59,5,FALSE)*1,0)+IFERROR(VLOOKUP($B135,'SCHEDA PEZZI SPECIALI'!$A$38:$F$59,6,FALSE)*1,0),IF(ISNUMBER(MATCH($B135,'SCHEDA ELETTROMECCANICA'!$A$5:$A$14,0)),IFERROR(VLOOKUP($B135,'SCHEDA ELETTROMECCANICA'!$A$5:$D$14,4,FALSE)*1,0),IF(ISNUMBER(MATCH($B135,'SCHEDA BULLONERIA'!$A$6:$A$36,0)),IFERROR(VLOOKUP($B135,'SCHEDA BULLONERIA'!$A$6:$D$36,4,FALSE)*1,0),"")))))</f>
        <v/>
      </c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TTS.PM.001.IPE140.38</t>
        </is>
      </c>
      <c r="C136" s="4" t="inlineStr">
        <is>
          <t>Pilastro motore trave ipe140 x 3820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STRUTTURA'!$A$17:$E$417,5,FALSE),"")</f>
        <v/>
      </c>
      <c r="G136" s="5">
        <f>IF($B136="","",IF(ISNUMBER(MATCH($B136,'SCHEDA STRUTTURA'!$A$17:$A$147,0)),IFERROR(VLOOKUP($B136,'SCHEDA STRUTTURA'!$A$17:$G$147,6,FALSE)*1,0)+IFERROR(VLOOKUP($B136,'SCHEDA STRUTTURA'!$A$17:$G$147,7,FALSE)*1,0),IF(ISNUMBER(MATCH($B136,'SCHEDA PEZZI SPECIALI'!$A$38:$A$59,0)),IFERROR(VLOOKUP($B136,'SCHEDA PEZZI SPECIALI'!$A$38:$F$59,5,FALSE)*1,0)+IFERROR(VLOOKUP($B136,'SCHEDA PEZZI SPECIALI'!$A$38:$F$59,6,FALSE)*1,0),IF(ISNUMBER(MATCH($B136,'SCHEDA ELETTROMECCANICA'!$A$5:$A$14,0)),IFERROR(VLOOKUP($B136,'SCHEDA ELETTROMECCANICA'!$A$5:$D$14,4,FALSE)*1,0),IF(ISNUMBER(MATCH($B136,'SCHEDA BULLONERIA'!$A$6:$A$36,0)),IFERROR(VLOOKUP($B136,'SCHEDA BULLONERIA'!$A$6:$D$36,4,FALSE)*1,0),"")))))</f>
        <v/>
      </c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TTS.PM.001.IPEA140.38</t>
        </is>
      </c>
      <c r="C137" s="4" t="inlineStr">
        <is>
          <t>Pilastro motore trave ipea140 x 3820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STRUTTURA'!$A$17:$E$417,5,FALSE),"")</f>
        <v/>
      </c>
      <c r="G137" s="5">
        <f>IF($B137="","",IF(ISNUMBER(MATCH($B137,'SCHEDA STRUTTURA'!$A$17:$A$147,0)),IFERROR(VLOOKUP($B137,'SCHEDA STRUTTURA'!$A$17:$G$147,6,FALSE)*1,0)+IFERROR(VLOOKUP($B137,'SCHEDA STRUTTURA'!$A$17:$G$147,7,FALSE)*1,0),IF(ISNUMBER(MATCH($B137,'SCHEDA PEZZI SPECIALI'!$A$38:$A$59,0)),IFERROR(VLOOKUP($B137,'SCHEDA PEZZI SPECIALI'!$A$38:$F$59,5,FALSE)*1,0)+IFERROR(VLOOKUP($B137,'SCHEDA PEZZI SPECIALI'!$A$38:$F$59,6,FALSE)*1,0),IF(ISNUMBER(MATCH($B137,'SCHEDA ELETTROMECCANICA'!$A$5:$A$14,0)),IFERROR(VLOOKUP($B137,'SCHEDA ELETTROMECCANICA'!$A$5:$D$14,4,FALSE)*1,0),IF(ISNUMBER(MATCH($B137,'SCHEDA BULLONERIA'!$A$6:$A$36,0)),IFERROR(VLOOKUP($B137,'SCHEDA BULLONERIA'!$A$6:$D$36,4,FALSE)*1,0),"")))))</f>
        <v/>
      </c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TTS.PM.001.IPE140.39</t>
        </is>
      </c>
      <c r="C138" s="4" t="inlineStr">
        <is>
          <t>Pilastro motore trave ipe140 x 3920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STRUTTURA'!$A$17:$E$417,5,FALSE),"")</f>
        <v/>
      </c>
      <c r="G138" s="5">
        <f>IF($B138="","",IF(ISNUMBER(MATCH($B138,'SCHEDA STRUTTURA'!$A$17:$A$147,0)),IFERROR(VLOOKUP($B138,'SCHEDA STRUTTURA'!$A$17:$G$147,6,FALSE)*1,0)+IFERROR(VLOOKUP($B138,'SCHEDA STRUTTURA'!$A$17:$G$147,7,FALSE)*1,0),IF(ISNUMBER(MATCH($B138,'SCHEDA PEZZI SPECIALI'!$A$38:$A$59,0)),IFERROR(VLOOKUP($B138,'SCHEDA PEZZI SPECIALI'!$A$38:$F$59,5,FALSE)*1,0)+IFERROR(VLOOKUP($B138,'SCHEDA PEZZI SPECIALI'!$A$38:$F$59,6,FALSE)*1,0),IF(ISNUMBER(MATCH($B138,'SCHEDA ELETTROMECCANICA'!$A$5:$A$14,0)),IFERROR(VLOOKUP($B138,'SCHEDA ELETTROMECCANICA'!$A$5:$D$14,4,FALSE)*1,0),IF(ISNUMBER(MATCH($B138,'SCHEDA BULLONERIA'!$A$6:$A$36,0)),IFERROR(VLOOKUP($B138,'SCHEDA BULLONERIA'!$A$6:$D$36,4,FALSE)*1,0),"")))))</f>
        <v/>
      </c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TTS.PM.001.IPEA140.39</t>
        </is>
      </c>
      <c r="C139" s="4" t="inlineStr">
        <is>
          <t>Pilastro motore trave ipea140 x 3920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STRUTTURA'!$A$17:$E$417,5,FALSE),"")</f>
        <v/>
      </c>
      <c r="G139" s="5">
        <f>IF($B139="","",IF(ISNUMBER(MATCH($B139,'SCHEDA STRUTTURA'!$A$17:$A$147,0)),IFERROR(VLOOKUP($B139,'SCHEDA STRUTTURA'!$A$17:$G$147,6,FALSE)*1,0)+IFERROR(VLOOKUP($B139,'SCHEDA STRUTTURA'!$A$17:$G$147,7,FALSE)*1,0),IF(ISNUMBER(MATCH($B139,'SCHEDA PEZZI SPECIALI'!$A$38:$A$59,0)),IFERROR(VLOOKUP($B139,'SCHEDA PEZZI SPECIALI'!$A$38:$F$59,5,FALSE)*1,0)+IFERROR(VLOOKUP($B139,'SCHEDA PEZZI SPECIALI'!$A$38:$F$59,6,FALSE)*1,0),IF(ISNUMBER(MATCH($B139,'SCHEDA ELETTROMECCANICA'!$A$5:$A$14,0)),IFERROR(VLOOKUP($B139,'SCHEDA ELETTROMECCANICA'!$A$5:$D$14,4,FALSE)*1,0),IF(ISNUMBER(MATCH($B139,'SCHEDA BULLONERIA'!$A$6:$A$36,0)),IFERROR(VLOOKUP($B139,'SCHEDA BULLONERIA'!$A$6:$D$36,4,FALSE)*1,0),"")))))</f>
        <v/>
      </c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TTS.PM.001.IPE140.40</t>
        </is>
      </c>
      <c r="C140" s="4" t="inlineStr">
        <is>
          <t>Pilastro motore trave ipe140 x 4020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STRUTTURA'!$A$17:$E$417,5,FALSE),"")</f>
        <v/>
      </c>
      <c r="G140" s="5">
        <f>IF($B140="","",IF(ISNUMBER(MATCH($B140,'SCHEDA STRUTTURA'!$A$17:$A$147,0)),IFERROR(VLOOKUP($B140,'SCHEDA STRUTTURA'!$A$17:$G$147,6,FALSE)*1,0)+IFERROR(VLOOKUP($B140,'SCHEDA STRUTTURA'!$A$17:$G$147,7,FALSE)*1,0),IF(ISNUMBER(MATCH($B140,'SCHEDA PEZZI SPECIALI'!$A$38:$A$59,0)),IFERROR(VLOOKUP($B140,'SCHEDA PEZZI SPECIALI'!$A$38:$F$59,5,FALSE)*1,0)+IFERROR(VLOOKUP($B140,'SCHEDA PEZZI SPECIALI'!$A$38:$F$59,6,FALSE)*1,0),IF(ISNUMBER(MATCH($B140,'SCHEDA ELETTROMECCANICA'!$A$5:$A$14,0)),IFERROR(VLOOKUP($B140,'SCHEDA ELETTROMECCANICA'!$A$5:$D$14,4,FALSE)*1,0),IF(ISNUMBER(MATCH($B140,'SCHEDA BULLONERIA'!$A$6:$A$36,0)),IFERROR(VLOOKUP($B140,'SCHEDA BULLONERIA'!$A$6:$D$36,4,FALSE)*1,0),"")))))</f>
        <v/>
      </c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TTS.PM.001.IPEA140.40</t>
        </is>
      </c>
      <c r="C141" s="4" t="inlineStr">
        <is>
          <t>Pilastro motore trave ipea140 x 4020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STRUTTURA'!$A$17:$E$417,5,FALSE),"")</f>
        <v/>
      </c>
      <c r="G141" s="5">
        <f>IF($B141="","",IF(ISNUMBER(MATCH($B141,'SCHEDA STRUTTURA'!$A$17:$A$147,0)),IFERROR(VLOOKUP($B141,'SCHEDA STRUTTURA'!$A$17:$G$147,6,FALSE)*1,0)+IFERROR(VLOOKUP($B141,'SCHEDA STRUTTURA'!$A$17:$G$147,7,FALSE)*1,0),IF(ISNUMBER(MATCH($B141,'SCHEDA PEZZI SPECIALI'!$A$38:$A$59,0)),IFERROR(VLOOKUP($B141,'SCHEDA PEZZI SPECIALI'!$A$38:$F$59,5,FALSE)*1,0)+IFERROR(VLOOKUP($B141,'SCHEDA PEZZI SPECIALI'!$A$38:$F$59,6,FALSE)*1,0),IF(ISNUMBER(MATCH($B141,'SCHEDA ELETTROMECCANICA'!$A$5:$A$14,0)),IFERROR(VLOOKUP($B141,'SCHEDA ELETTROMECCANICA'!$A$5:$D$14,4,FALSE)*1,0),IF(ISNUMBER(MATCH($B141,'SCHEDA BULLONERIA'!$A$6:$A$36,0)),IFERROR(VLOOKUP($B141,'SCHEDA BULLONERIA'!$A$6:$D$36,4,FALSE)*1,0),"")))))</f>
        <v/>
      </c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TTS.PM.001.IPE140.41</t>
        </is>
      </c>
      <c r="C142" s="4" t="inlineStr">
        <is>
          <t>Pilastro motore trave ipe140 x 4120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STRUTTURA'!$A$17:$E$417,5,FALSE),"")</f>
        <v/>
      </c>
      <c r="G142" s="5">
        <f>IF($B142="","",IF(ISNUMBER(MATCH($B142,'SCHEDA STRUTTURA'!$A$17:$A$147,0)),IFERROR(VLOOKUP($B142,'SCHEDA STRUTTURA'!$A$17:$G$147,6,FALSE)*1,0)+IFERROR(VLOOKUP($B142,'SCHEDA STRUTTURA'!$A$17:$G$147,7,FALSE)*1,0),IF(ISNUMBER(MATCH($B142,'SCHEDA PEZZI SPECIALI'!$A$38:$A$59,0)),IFERROR(VLOOKUP($B142,'SCHEDA PEZZI SPECIALI'!$A$38:$F$59,5,FALSE)*1,0)+IFERROR(VLOOKUP($B142,'SCHEDA PEZZI SPECIALI'!$A$38:$F$59,6,FALSE)*1,0),IF(ISNUMBER(MATCH($B142,'SCHEDA ELETTROMECCANICA'!$A$5:$A$14,0)),IFERROR(VLOOKUP($B142,'SCHEDA ELETTROMECCANICA'!$A$5:$D$14,4,FALSE)*1,0),IF(ISNUMBER(MATCH($B142,'SCHEDA BULLONERIA'!$A$6:$A$36,0)),IFERROR(VLOOKUP($B142,'SCHEDA BULLONERIA'!$A$6:$D$36,4,FALSE)*1,0),"")))))</f>
        <v/>
      </c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TTS.PM.001.IPEA140.41</t>
        </is>
      </c>
      <c r="C143" s="4" t="inlineStr">
        <is>
          <t>Pilastro motore trave ipea140 x 4120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STRUTTURA'!$A$17:$E$417,5,FALSE),"")</f>
        <v/>
      </c>
      <c r="G143" s="5">
        <f>IF($B143="","",IF(ISNUMBER(MATCH($B143,'SCHEDA STRUTTURA'!$A$17:$A$147,0)),IFERROR(VLOOKUP($B143,'SCHEDA STRUTTURA'!$A$17:$G$147,6,FALSE)*1,0)+IFERROR(VLOOKUP($B143,'SCHEDA STRUTTURA'!$A$17:$G$147,7,FALSE)*1,0),IF(ISNUMBER(MATCH($B143,'SCHEDA PEZZI SPECIALI'!$A$38:$A$59,0)),IFERROR(VLOOKUP($B143,'SCHEDA PEZZI SPECIALI'!$A$38:$F$59,5,FALSE)*1,0)+IFERROR(VLOOKUP($B143,'SCHEDA PEZZI SPECIALI'!$A$38:$F$59,6,FALSE)*1,0),IF(ISNUMBER(MATCH($B143,'SCHEDA ELETTROMECCANICA'!$A$5:$A$14,0)),IFERROR(VLOOKUP($B143,'SCHEDA ELETTROMECCANICA'!$A$5:$D$14,4,FALSE)*1,0),IF(ISNUMBER(MATCH($B143,'SCHEDA BULLONERIA'!$A$6:$A$36,0)),IFERROR(VLOOKUP($B143,'SCHEDA BULLONERIA'!$A$6:$D$36,4,FALSE)*1,0),"")))))</f>
        <v/>
      </c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TTS.PM.001.IPE140.42</t>
        </is>
      </c>
      <c r="C144" s="4" t="inlineStr">
        <is>
          <t>Pilastro motore trave ipe140 x 4220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STRUTTURA'!$A$17:$E$417,5,FALSE),"")</f>
        <v/>
      </c>
      <c r="G144" s="5">
        <f>IF($B144="","",IF(ISNUMBER(MATCH($B144,'SCHEDA STRUTTURA'!$A$17:$A$147,0)),IFERROR(VLOOKUP($B144,'SCHEDA STRUTTURA'!$A$17:$G$147,6,FALSE)*1,0)+IFERROR(VLOOKUP($B144,'SCHEDA STRUTTURA'!$A$17:$G$147,7,FALSE)*1,0),IF(ISNUMBER(MATCH($B144,'SCHEDA PEZZI SPECIALI'!$A$38:$A$59,0)),IFERROR(VLOOKUP($B144,'SCHEDA PEZZI SPECIALI'!$A$38:$F$59,5,FALSE)*1,0)+IFERROR(VLOOKUP($B144,'SCHEDA PEZZI SPECIALI'!$A$38:$F$59,6,FALSE)*1,0),IF(ISNUMBER(MATCH($B144,'SCHEDA ELETTROMECCANICA'!$A$5:$A$14,0)),IFERROR(VLOOKUP($B144,'SCHEDA ELETTROMECCANICA'!$A$5:$D$14,4,FALSE)*1,0),IF(ISNUMBER(MATCH($B144,'SCHEDA BULLONERIA'!$A$6:$A$36,0)),IFERROR(VLOOKUP($B144,'SCHEDA BULLONERIA'!$A$6:$D$36,4,FALSE)*1,0),"")))))</f>
        <v/>
      </c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TTS.PM.001.IPEA140.42</t>
        </is>
      </c>
      <c r="C145" s="4" t="inlineStr">
        <is>
          <t>Pilastro motore trave ipea140 x 4220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STRUTTURA'!$A$17:$E$417,5,FALSE),"")</f>
        <v/>
      </c>
      <c r="G145" s="5">
        <f>IF($B145="","",IF(ISNUMBER(MATCH($B145,'SCHEDA STRUTTURA'!$A$17:$A$147,0)),IFERROR(VLOOKUP($B145,'SCHEDA STRUTTURA'!$A$17:$G$147,6,FALSE)*1,0)+IFERROR(VLOOKUP($B145,'SCHEDA STRUTTURA'!$A$17:$G$147,7,FALSE)*1,0),IF(ISNUMBER(MATCH($B145,'SCHEDA PEZZI SPECIALI'!$A$38:$A$59,0)),IFERROR(VLOOKUP($B145,'SCHEDA PEZZI SPECIALI'!$A$38:$F$59,5,FALSE)*1,0)+IFERROR(VLOOKUP($B145,'SCHEDA PEZZI SPECIALI'!$A$38:$F$59,6,FALSE)*1,0),IF(ISNUMBER(MATCH($B145,'SCHEDA ELETTROMECCANICA'!$A$5:$A$14,0)),IFERROR(VLOOKUP($B145,'SCHEDA ELETTROMECCANICA'!$A$5:$D$14,4,FALSE)*1,0),IF(ISNUMBER(MATCH($B145,'SCHEDA BULLONERIA'!$A$6:$A$36,0)),IFERROR(VLOOKUP($B145,'SCHEDA BULLONERIA'!$A$6:$D$36,4,FALSE)*1,0),"")))))</f>
        <v/>
      </c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TTS.PM.001.IPE140.43</t>
        </is>
      </c>
      <c r="C146" s="4" t="inlineStr">
        <is>
          <t>Pilastro motore trave ipe140 x 4320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STRUTTURA'!$A$17:$E$417,5,FALSE),"")</f>
        <v/>
      </c>
      <c r="G146" s="5">
        <f>IF($B146="","",IF(ISNUMBER(MATCH($B146,'SCHEDA STRUTTURA'!$A$17:$A$147,0)),IFERROR(VLOOKUP($B146,'SCHEDA STRUTTURA'!$A$17:$G$147,6,FALSE)*1,0)+IFERROR(VLOOKUP($B146,'SCHEDA STRUTTURA'!$A$17:$G$147,7,FALSE)*1,0),IF(ISNUMBER(MATCH($B146,'SCHEDA PEZZI SPECIALI'!$A$38:$A$59,0)),IFERROR(VLOOKUP($B146,'SCHEDA PEZZI SPECIALI'!$A$38:$F$59,5,FALSE)*1,0)+IFERROR(VLOOKUP($B146,'SCHEDA PEZZI SPECIALI'!$A$38:$F$59,6,FALSE)*1,0),IF(ISNUMBER(MATCH($B146,'SCHEDA ELETTROMECCANICA'!$A$5:$A$14,0)),IFERROR(VLOOKUP($B146,'SCHEDA ELETTROMECCANICA'!$A$5:$D$14,4,FALSE)*1,0),IF(ISNUMBER(MATCH($B146,'SCHEDA BULLONERIA'!$A$6:$A$36,0)),IFERROR(VLOOKUP($B146,'SCHEDA BULLONERIA'!$A$6:$D$36,4,FALSE)*1,0),"")))))</f>
        <v/>
      </c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TTS.PM.001.IPEA140.43</t>
        </is>
      </c>
      <c r="C147" s="4" t="inlineStr">
        <is>
          <t>Pilastro motore trave ipea140 x 4320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STRUTTURA'!$A$17:$E$417,5,FALSE),"")</f>
        <v/>
      </c>
      <c r="G147" s="5">
        <f>IF($B147="","",IF(ISNUMBER(MATCH($B147,'SCHEDA STRUTTURA'!$A$17:$A$147,0)),IFERROR(VLOOKUP($B147,'SCHEDA STRUTTURA'!$A$17:$G$147,6,FALSE)*1,0)+IFERROR(VLOOKUP($B147,'SCHEDA STRUTTURA'!$A$17:$G$147,7,FALSE)*1,0),IF(ISNUMBER(MATCH($B147,'SCHEDA PEZZI SPECIALI'!$A$38:$A$59,0)),IFERROR(VLOOKUP($B147,'SCHEDA PEZZI SPECIALI'!$A$38:$F$59,5,FALSE)*1,0)+IFERROR(VLOOKUP($B147,'SCHEDA PEZZI SPECIALI'!$A$38:$F$59,6,FALSE)*1,0),IF(ISNUMBER(MATCH($B147,'SCHEDA ELETTROMECCANICA'!$A$5:$A$14,0)),IFERROR(VLOOKUP($B147,'SCHEDA ELETTROMECCANICA'!$A$5:$D$14,4,FALSE)*1,0),IF(ISNUMBER(MATCH($B147,'SCHEDA BULLONERIA'!$A$6:$A$36,0)),IFERROR(VLOOKUP($B147,'SCHEDA BULLONERIA'!$A$6:$D$36,4,FALSE)*1,0),"")))))</f>
        <v/>
      </c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TTS.PM.001.IPE140.44</t>
        </is>
      </c>
      <c r="C148" s="4" t="inlineStr">
        <is>
          <t>Pilastro motore trave ipe140 x 4420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STRUTTURA'!$A$17:$E$417,5,FALSE),"")</f>
        <v/>
      </c>
      <c r="G148" s="5">
        <f>IF($B148="","",IF(ISNUMBER(MATCH($B148,'SCHEDA STRUTTURA'!$A$17:$A$147,0)),IFERROR(VLOOKUP($B148,'SCHEDA STRUTTURA'!$A$17:$G$147,6,FALSE)*1,0)+IFERROR(VLOOKUP($B148,'SCHEDA STRUTTURA'!$A$17:$G$147,7,FALSE)*1,0),IF(ISNUMBER(MATCH($B148,'SCHEDA PEZZI SPECIALI'!$A$38:$A$59,0)),IFERROR(VLOOKUP($B148,'SCHEDA PEZZI SPECIALI'!$A$38:$F$59,5,FALSE)*1,0)+IFERROR(VLOOKUP($B148,'SCHEDA PEZZI SPECIALI'!$A$38:$F$59,6,FALSE)*1,0),IF(ISNUMBER(MATCH($B148,'SCHEDA ELETTROMECCANICA'!$A$5:$A$14,0)),IFERROR(VLOOKUP($B148,'SCHEDA ELETTROMECCANICA'!$A$5:$D$14,4,FALSE)*1,0),IF(ISNUMBER(MATCH($B148,'SCHEDA BULLONERIA'!$A$6:$A$36,0)),IFERROR(VLOOKUP($B148,'SCHEDA BULLONERIA'!$A$6:$D$36,4,FALSE)*1,0),"")))))</f>
        <v/>
      </c>
      <c r="H148" s="4" t="inlineStr">
        <is>
          <t>PILASTRO MOTORE</t>
        </is>
      </c>
      <c r="I148" s="11" t="n">
        <v>1</v>
      </c>
    </row>
    <row r="149">
      <c r="A149" s="13" t="n">
        <v>145</v>
      </c>
      <c r="B149" t="inlineStr">
        <is>
          <t>TTS.PM.001.IPEA140.44</t>
        </is>
      </c>
      <c r="C149" t="inlineStr">
        <is>
          <t>Pilastro motore trave ipea140 x 4420 con foratura alloggiamento quadro motore (alleggerita)</t>
        </is>
      </c>
      <c r="D149" t="inlineStr">
        <is>
          <t>Carpenteria metallica</t>
        </is>
      </c>
      <c r="E149" s="13" t="inlineStr">
        <is>
          <t>pz</t>
        </is>
      </c>
      <c r="F149" s="14">
        <f>IFERROR(VLOOKUP($B149,'SCHEDA STRUTTURA'!$A$17:$E$417,5,FALSE),"")</f>
        <v/>
      </c>
      <c r="G149" s="12">
        <f>IF($B149="","",IF(ISNUMBER(MATCH($B149,'SCHEDA STRUTTURA'!$A$17:$A$147,0)),IFERROR(VLOOKUP($B149,'SCHEDA STRUTTURA'!$A$17:$G$147,6,FALSE)*1,0)+IFERROR(VLOOKUP($B149,'SCHEDA STRUTTURA'!$A$17:$G$147,7,FALSE)*1,0),IF(ISNUMBER(MATCH($B149,'SCHEDA PEZZI SPECIALI'!$A$38:$A$59,0)),IFERROR(VLOOKUP($B149,'SCHEDA PEZZI SPECIALI'!$A$38:$F$59,5,FALSE)*1,0)+IFERROR(VLOOKUP($B149,'SCHEDA PEZZI SPECIALI'!$A$38:$F$59,6,FALSE)*1,0),IF(ISNUMBER(MATCH($B149,'SCHEDA ELETTROMECCANICA'!$A$5:$A$14,0)),IFERROR(VLOOKUP($B149,'SCHEDA ELETTROMECCANICA'!$A$5:$D$14,4,FALSE)*1,0),IF(ISNUMBER(MATCH($B149,'SCHEDA BULLONERIA'!$A$6:$A$36,0)),IFERROR(VLOOKUP($B149,'SCHEDA BULLONERIA'!$A$6:$D$36,4,FALSE)*1,0),"")))))</f>
        <v/>
      </c>
      <c r="H149" t="inlineStr">
        <is>
          <t>PILASTRO MOTORE</t>
        </is>
      </c>
      <c r="I149" s="13" t="n">
        <v>1</v>
      </c>
    </row>
    <row r="150">
      <c r="A150" s="13" t="n">
        <v>146</v>
      </c>
      <c r="B150" t="inlineStr">
        <is>
          <t>TTS.PM.001.IPE140.22.QC</t>
        </is>
      </c>
      <c r="C150" t="inlineStr">
        <is>
          <t>Pilastro motore trave ipe140 x 2220 con foratura alloggiamento quadro motore + quadro centralina meteo + quadro alimentazione centralina meteo</t>
        </is>
      </c>
      <c r="D150" t="inlineStr">
        <is>
          <t>Carpenteria metallica</t>
        </is>
      </c>
      <c r="E150" s="13" t="inlineStr">
        <is>
          <t>pz</t>
        </is>
      </c>
      <c r="F150" s="14">
        <f>IFERROR(VLOOKUP($B150,'SCHEDA STRUTTURA'!$A$17:$E$417,5,FALSE),"")</f>
        <v/>
      </c>
      <c r="G150" s="12">
        <f>IF($B150="","",IF(ISNUMBER(MATCH($B150,'SCHEDA STRUTTURA'!$A$17:$A$147,0)),IFERROR(VLOOKUP($B150,'SCHEDA STRUTTURA'!$A$17:$G$147,6,FALSE)*1,0)+IFERROR(VLOOKUP($B150,'SCHEDA STRUTTURA'!$A$17:$G$147,7,FALSE)*1,0),IF(ISNUMBER(MATCH($B150,'SCHEDA PEZZI SPECIALI'!$A$38:$A$59,0)),IFERROR(VLOOKUP($B150,'SCHEDA PEZZI SPECIALI'!$A$38:$F$59,5,FALSE)*1,0)+IFERROR(VLOOKUP($B150,'SCHEDA PEZZI SPECIALI'!$A$38:$F$59,6,FALSE)*1,0),IF(ISNUMBER(MATCH($B150,'SCHEDA ELETTROMECCANICA'!$A$5:$A$14,0)),IFERROR(VLOOKUP($B150,'SCHEDA ELETTROMECCANICA'!$A$5:$D$14,4,FALSE)*1,0),IF(ISNUMBER(MATCH($B150,'SCHEDA BULLONERIA'!$A$6:$A$36,0)),IFERROR(VLOOKUP($B150,'SCHEDA BULLONERIA'!$A$6:$D$36,4,FALSE)*1,0),"")))))</f>
        <v/>
      </c>
      <c r="H150" t="inlineStr">
        <is>
          <t>kit quadri centralina meteo</t>
        </is>
      </c>
      <c r="I150" s="13" t="n">
        <v>1</v>
      </c>
    </row>
    <row r="151">
      <c r="A151" s="13" t="n">
        <v>147</v>
      </c>
      <c r="B151" t="inlineStr">
        <is>
          <t>TTS.PM.001.IPEA140.22.QC</t>
        </is>
      </c>
      <c r="C151" t="inlineStr">
        <is>
          <t>Pilastro motore trave ipea140 x 2220 con foratura alloggiamento quadro motore + quadro centralina meteo + quadro alimentazione centralina meteo (alleggerita)</t>
        </is>
      </c>
      <c r="D151" t="inlineStr">
        <is>
          <t>Carpenteria metallica</t>
        </is>
      </c>
      <c r="E151" s="13" t="inlineStr">
        <is>
          <t>pz</t>
        </is>
      </c>
      <c r="F151" s="14">
        <f>IFERROR(VLOOKUP($B151,'SCHEDA STRUTTURA'!$A$17:$E$417,5,FALSE),"")</f>
        <v/>
      </c>
      <c r="G151" s="12">
        <f>IF($B151="","",IF(ISNUMBER(MATCH($B151,'SCHEDA STRUTTURA'!$A$17:$A$147,0)),IFERROR(VLOOKUP($B151,'SCHEDA STRUTTURA'!$A$17:$G$147,6,FALSE)*1,0)+IFERROR(VLOOKUP($B151,'SCHEDA STRUTTURA'!$A$17:$G$147,7,FALSE)*1,0),IF(ISNUMBER(MATCH($B151,'SCHEDA PEZZI SPECIALI'!$A$38:$A$59,0)),IFERROR(VLOOKUP($B151,'SCHEDA PEZZI SPECIALI'!$A$38:$F$59,5,FALSE)*1,0)+IFERROR(VLOOKUP($B151,'SCHEDA PEZZI SPECIALI'!$A$38:$F$59,6,FALSE)*1,0),IF(ISNUMBER(MATCH($B151,'SCHEDA ELETTROMECCANICA'!$A$5:$A$14,0)),IFERROR(VLOOKUP($B151,'SCHEDA ELETTROMECCANICA'!$A$5:$D$14,4,FALSE)*1,0),IF(ISNUMBER(MATCH($B151,'SCHEDA BULLONERIA'!$A$6:$A$36,0)),IFERROR(VLOOKUP($B151,'SCHEDA BULLONERIA'!$A$6:$D$36,4,FALSE)*1,0),"")))))</f>
        <v/>
      </c>
      <c r="H151" t="inlineStr">
        <is>
          <t>kit quadri centralina meteo</t>
        </is>
      </c>
      <c r="I151" s="13" t="n">
        <v>1</v>
      </c>
    </row>
    <row r="152">
      <c r="A152" s="13" t="n">
        <v>148</v>
      </c>
      <c r="B152" t="inlineStr">
        <is>
          <t>TTS.PM.002.IPE140</t>
        </is>
      </c>
      <c r="C152" t="inlineStr">
        <is>
          <t>Supporto laterale testa riduttore</t>
        </is>
      </c>
      <c r="D152" t="inlineStr">
        <is>
          <t>Carpenteria metallica</t>
        </is>
      </c>
      <c r="E152" s="13" t="inlineStr">
        <is>
          <t>pz</t>
        </is>
      </c>
      <c r="F152" s="9">
        <f>IFERROR(VLOOKUP($B152,'SCHEDA PEZZI SPECIALI'!$A$38:$F$400,4,FALSE),"")</f>
        <v/>
      </c>
      <c r="G152" s="12">
        <f>IF($B152="","",IF(ISNUMBER(MATCH($B152,'SCHEDA STRUTTURA'!$A$17:$A$147,0)),IFERROR(VLOOKUP($B152,'SCHEDA STRUTTURA'!$A$17:$G$147,6,FALSE)*1,0)+IFERROR(VLOOKUP($B152,'SCHEDA STRUTTURA'!$A$17:$G$147,7,FALSE)*1,0),IF(ISNUMBER(MATCH($B152,'SCHEDA PEZZI SPECIALI'!$A$38:$A$59,0)),IFERROR(VLOOKUP($B152,'SCHEDA PEZZI SPECIALI'!$A$38:$F$59,5,FALSE)*1,0)+IFERROR(VLOOKUP($B152,'SCHEDA PEZZI SPECIALI'!$A$38:$F$59,6,FALSE)*1,0),IF(ISNUMBER(MATCH($B152,'SCHEDA ELETTROMECCANICA'!$A$5:$A$14,0)),IFERROR(VLOOKUP($B152,'SCHEDA ELETTROMECCANICA'!$A$5:$D$14,4,FALSE)*1,0),IF(ISNUMBER(MATCH($B152,'SCHEDA BULLONERIA'!$A$6:$A$36,0)),IFERROR(VLOOKUP($B152,'SCHEDA BULLONERIA'!$A$6:$D$36,4,FALSE)*1,0),"")))))</f>
        <v/>
      </c>
      <c r="H152" t="inlineStr">
        <is>
          <t>PILASTRO MOTORE</t>
        </is>
      </c>
      <c r="I152" s="13" t="n">
        <v>1</v>
      </c>
    </row>
    <row r="153">
      <c r="A153" s="13" t="n">
        <v>149</v>
      </c>
      <c r="B153" t="inlineStr">
        <is>
          <t>TTS.PM.003.IPE140</t>
        </is>
      </c>
      <c r="C153" t="inlineStr">
        <is>
          <t>Testa riduttore pilastro motore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PEZZI SPECIALI'!$A$38:$F$400,4,FALSE),"")</f>
        <v/>
      </c>
      <c r="G153" s="12">
        <f>IF($B153="","",IF(ISNUMBER(MATCH($B153,'SCHEDA STRUTTURA'!$A$17:$A$147,0)),IFERROR(VLOOKUP($B153,'SCHEDA STRUTTURA'!$A$17:$G$147,6,FALSE)*1,0)+IFERROR(VLOOKUP($B153,'SCHEDA STRUTTURA'!$A$17:$G$147,7,FALSE)*1,0),IF(ISNUMBER(MATCH($B153,'SCHEDA PEZZI SPECIALI'!$A$38:$A$59,0)),IFERROR(VLOOKUP($B153,'SCHEDA PEZZI SPECIALI'!$A$38:$F$59,5,FALSE)*1,0)+IFERROR(VLOOKUP($B153,'SCHEDA PEZZI SPECIALI'!$A$38:$F$59,6,FALSE)*1,0),IF(ISNUMBER(MATCH($B153,'SCHEDA ELETTROMECCANICA'!$A$5:$A$14,0)),IFERROR(VLOOKUP($B153,'SCHEDA ELETTROMECCANICA'!$A$5:$D$14,4,FALSE)*1,0),IF(ISNUMBER(MATCH($B153,'SCHEDA BULLONERIA'!$A$6:$A$36,0)),IFERROR(VLOOKUP($B153,'SCHEDA BULLONERIA'!$A$6:$D$36,4,FALSE)*1,0),"")))))</f>
        <v/>
      </c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TTS.PM.2011</t>
        </is>
      </c>
      <c r="C154" t="inlineStr">
        <is>
          <t>Angolare 30x30x4 lungo 370 mm. superiore</t>
        </is>
      </c>
      <c r="D154" t="inlineStr">
        <is>
          <t>Carpenteria metallica</t>
        </is>
      </c>
      <c r="E154" s="13" t="inlineStr">
        <is>
          <t>pz</t>
        </is>
      </c>
      <c r="F154" s="9">
        <f>IFERROR(VLOOKUP($B154,'SCHEDA PEZZI SPECIALI'!$A$38:$F$400,4,FALSE),"")</f>
        <v/>
      </c>
      <c r="G154" s="12">
        <f>IF($B154="","",IF(ISNUMBER(MATCH($B154,'SCHEDA STRUTTURA'!$A$17:$A$147,0)),IFERROR(VLOOKUP($B154,'SCHEDA STRUTTURA'!$A$17:$G$147,6,FALSE)*1,0)+IFERROR(VLOOKUP($B154,'SCHEDA STRUTTURA'!$A$17:$G$147,7,FALSE)*1,0),IF(ISNUMBER(MATCH($B154,'SCHEDA PEZZI SPECIALI'!$A$38:$A$59,0)),IFERROR(VLOOKUP($B154,'SCHEDA PEZZI SPECIALI'!$A$38:$F$59,5,FALSE)*1,0)+IFERROR(VLOOKUP($B154,'SCHEDA PEZZI SPECIALI'!$A$38:$F$59,6,FALSE)*1,0),IF(ISNUMBER(MATCH($B154,'SCHEDA ELETTROMECCANICA'!$A$5:$A$14,0)),IFERROR(VLOOKUP($B154,'SCHEDA ELETTROMECCANICA'!$A$5:$D$14,4,FALSE)*1,0),IF(ISNUMBER(MATCH($B154,'SCHEDA BULLONERIA'!$A$6:$A$36,0)),IFERROR(VLOOKUP($B154,'SCHEDA BULLONERIA'!$A$6:$D$36,4,FALSE)*1,0),"")))))</f>
        <v/>
      </c>
      <c r="H154" t="inlineStr">
        <is>
          <t>kit quadro motore, kit quadri centralina meteo</t>
        </is>
      </c>
      <c r="I154" s="13" t="n">
        <v>2</v>
      </c>
    </row>
    <row r="155">
      <c r="A155" s="13" t="n">
        <v>151</v>
      </c>
      <c r="B155" t="inlineStr">
        <is>
          <t>TTS.PM.2012</t>
        </is>
      </c>
      <c r="C155" t="inlineStr">
        <is>
          <t>Angolare 30x30x4 lungo 370 mm. inferiore</t>
        </is>
      </c>
      <c r="D155" t="inlineStr">
        <is>
          <t>Carpenteria metallica</t>
        </is>
      </c>
      <c r="E155" s="13" t="inlineStr">
        <is>
          <t>pz</t>
        </is>
      </c>
      <c r="F155" s="9">
        <f>IFERROR(VLOOKUP($B155,'SCHEDA PEZZI SPECIALI'!$A$38:$F$400,4,FALSE),"")</f>
        <v/>
      </c>
      <c r="G155" s="12">
        <f>IF($B155="","",IF(ISNUMBER(MATCH($B155,'SCHEDA STRUTTURA'!$A$17:$A$147,0)),IFERROR(VLOOKUP($B155,'SCHEDA STRUTTURA'!$A$17:$G$147,6,FALSE)*1,0)+IFERROR(VLOOKUP($B155,'SCHEDA STRUTTURA'!$A$17:$G$147,7,FALSE)*1,0),IF(ISNUMBER(MATCH($B155,'SCHEDA PEZZI SPECIALI'!$A$38:$A$59,0)),IFERROR(VLOOKUP($B155,'SCHEDA PEZZI SPECIALI'!$A$38:$F$59,5,FALSE)*1,0)+IFERROR(VLOOKUP($B155,'SCHEDA PEZZI SPECIALI'!$A$38:$F$59,6,FALSE)*1,0),IF(ISNUMBER(MATCH($B155,'SCHEDA ELETTROMECCANICA'!$A$5:$A$14,0)),IFERROR(VLOOKUP($B155,'SCHEDA ELETTROMECCANICA'!$A$5:$D$14,4,FALSE)*1,0),IF(ISNUMBER(MATCH($B155,'SCHEDA BULLONERIA'!$A$6:$A$36,0)),IFERROR(VLOOKUP($B155,'SCHEDA BULLONERIA'!$A$6:$D$36,4,FALSE)*1,0),"")))))</f>
        <v/>
      </c>
      <c r="H155" t="inlineStr">
        <is>
          <t>kit quadro motore, kit quadri centralina meteo</t>
        </is>
      </c>
      <c r="I155" s="13" t="n">
        <v>3</v>
      </c>
    </row>
    <row r="156">
      <c r="A156" s="13" t="n">
        <v>152</v>
      </c>
      <c r="B156" t="inlineStr">
        <is>
          <t>TTS.SM.001</t>
        </is>
      </c>
      <c r="C156" t="inlineStr">
        <is>
          <t>Piatto 50X5X230 supporto sensori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PEZZI SPECIALI'!$A$38:$F$400,4,FALSE),"")</f>
        <v/>
      </c>
      <c r="G156" s="12">
        <f>IF($B156="","",IF(ISNUMBER(MATCH($B156,'SCHEDA STRUTTURA'!$A$17:$A$147,0)),IFERROR(VLOOKUP($B156,'SCHEDA STRUTTURA'!$A$17:$G$147,6,FALSE)*1,0)+IFERROR(VLOOKUP($B156,'SCHEDA STRUTTURA'!$A$17:$G$147,7,FALSE)*1,0),IF(ISNUMBER(MATCH($B156,'SCHEDA PEZZI SPECIALI'!$A$38:$A$59,0)),IFERROR(VLOOKUP($B156,'SCHEDA PEZZI SPECIALI'!$A$38:$F$59,5,FALSE)*1,0)+IFERROR(VLOOKUP($B156,'SCHEDA PEZZI SPECIALI'!$A$38:$F$59,6,FALSE)*1,0),IF(ISNUMBER(MATCH($B156,'SCHEDA ELETTROMECCANICA'!$A$5:$A$14,0)),IFERROR(VLOOKUP($B156,'SCHEDA ELETTROMECCANICA'!$A$5:$D$14,4,FALSE)*1,0),IF(ISNUMBER(MATCH($B156,'SCHEDA BULLONERIA'!$A$6:$A$36,0)),IFERROR(VLOOKUP($B156,'SCHEDA BULLONERIA'!$A$6:$D$36,4,FALSE)*1,0),"")))))</f>
        <v/>
      </c>
      <c r="H156" t="inlineStr">
        <is>
          <t>sensori meteo</t>
        </is>
      </c>
      <c r="I156" s="13" t="n">
        <v>1</v>
      </c>
    </row>
    <row r="157">
      <c r="A157" s="13" t="n">
        <v>153</v>
      </c>
      <c r="B157" t="inlineStr">
        <is>
          <t>TTS.SM.002</t>
        </is>
      </c>
      <c r="C157" t="inlineStr">
        <is>
          <t>Piatto 30X3X193 leva sensore temperatura pannello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PEZZI SPECIALI'!$A$38:$F$400,4,FALSE),"")</f>
        <v/>
      </c>
      <c r="G157" s="12">
        <f>IF($B157="","",IF(ISNUMBER(MATCH($B157,'SCHEDA STRUTTURA'!$A$17:$A$147,0)),IFERROR(VLOOKUP($B157,'SCHEDA STRUTTURA'!$A$17:$G$147,6,FALSE)*1,0)+IFERROR(VLOOKUP($B157,'SCHEDA STRUTTURA'!$A$17:$G$147,7,FALSE)*1,0),IF(ISNUMBER(MATCH($B157,'SCHEDA PEZZI SPECIALI'!$A$38:$A$59,0)),IFERROR(VLOOKUP($B157,'SCHEDA PEZZI SPECIALI'!$A$38:$F$59,5,FALSE)*1,0)+IFERROR(VLOOKUP($B157,'SCHEDA PEZZI SPECIALI'!$A$38:$F$59,6,FALSE)*1,0),IF(ISNUMBER(MATCH($B157,'SCHEDA ELETTROMECCANICA'!$A$5:$A$14,0)),IFERROR(VLOOKUP($B157,'SCHEDA ELETTROMECCANICA'!$A$5:$D$14,4,FALSE)*1,0),IF(ISNUMBER(MATCH($B157,'SCHEDA BULLONERIA'!$A$6:$A$36,0)),IFERROR(VLOOKUP($B157,'SCHEDA BULLONERIA'!$A$6:$D$36,4,FALSE)*1,0),"")))))</f>
        <v/>
      </c>
      <c r="H157" t="inlineStr">
        <is>
          <t>sensori meteo</t>
        </is>
      </c>
      <c r="I157" s="13" t="n">
        <v>1</v>
      </c>
    </row>
    <row r="158">
      <c r="A158" s="13" t="n">
        <v>154</v>
      </c>
      <c r="B158" t="inlineStr">
        <is>
          <t>TTS.SM.003</t>
        </is>
      </c>
      <c r="C158" t="inlineStr">
        <is>
          <t>Asta supporto anemometro</t>
        </is>
      </c>
      <c r="D158" t="inlineStr">
        <is>
          <t>Carpenteria metallica</t>
        </is>
      </c>
      <c r="E158" s="13" t="inlineStr">
        <is>
          <t>pz</t>
        </is>
      </c>
      <c r="F158" s="9">
        <f>IFERROR(VLOOKUP($B158,'SCHEDA PEZZI SPECIALI'!$A$38:$F$400,4,FALSE),"")</f>
        <v/>
      </c>
      <c r="G158" s="12">
        <f>IF($B158="","",IF(ISNUMBER(MATCH($B158,'SCHEDA STRUTTURA'!$A$17:$A$147,0)),IFERROR(VLOOKUP($B158,'SCHEDA STRUTTURA'!$A$17:$G$147,6,FALSE)*1,0)+IFERROR(VLOOKUP($B158,'SCHEDA STRUTTURA'!$A$17:$G$147,7,FALSE)*1,0),IF(ISNUMBER(MATCH($B158,'SCHEDA PEZZI SPECIALI'!$A$38:$A$59,0)),IFERROR(VLOOKUP($B158,'SCHEDA PEZZI SPECIALI'!$A$38:$F$59,5,FALSE)*1,0)+IFERROR(VLOOKUP($B158,'SCHEDA PEZZI SPECIALI'!$A$38:$F$59,6,FALSE)*1,0),IF(ISNUMBER(MATCH($B158,'SCHEDA ELETTROMECCANICA'!$A$5:$A$14,0)),IFERROR(VLOOKUP($B158,'SCHEDA ELETTROMECCANICA'!$A$5:$D$14,4,FALSE)*1,0),IF(ISNUMBER(MATCH($B158,'SCHEDA BULLONERIA'!$A$6:$A$36,0)),IFERROR(VLOOKUP($B158,'SCHEDA BULLONERIA'!$A$6:$D$36,4,FALSE)*1,0),"")))))</f>
        <v/>
      </c>
      <c r="H158" t="inlineStr">
        <is>
          <t>sensori meteo</t>
        </is>
      </c>
      <c r="I158" s="13" t="n">
        <v>1</v>
      </c>
    </row>
    <row r="159">
      <c r="A159" s="13" t="n">
        <v>155</v>
      </c>
      <c r="C159" t="inlineStr">
        <is>
          <t>Omega alloggiamento kit sensore termometro a contatto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I159" s="13" t="n"/>
    </row>
    <row r="160">
      <c r="A160" s="13" t="n">
        <v>156</v>
      </c>
      <c r="B160" t="inlineStr">
        <is>
          <t>06TAP120X120</t>
        </is>
      </c>
      <c r="C160" t="inlineStr">
        <is>
          <t>Tappo profilato 120x120</t>
        </is>
      </c>
      <c r="D160" t="inlineStr">
        <is>
          <t>Bulloneria e minuteria</t>
        </is>
      </c>
      <c r="E160" s="13" t="inlineStr">
        <is>
          <t>pz</t>
        </is>
      </c>
      <c r="F160" s="14">
        <f>IF(ISNUMBER(VLOOKUP($B160,'SCHEDA BULLONERIA'!$A$6:$D$400,3,FALSE)),VLOOKUP($B160,'SCHEDA BULLONERIA'!$A$6:$D$400,3,FALSE),"")</f>
        <v/>
      </c>
      <c r="G160" s="12">
        <f>IF($B160="","",IF(ISNUMBER(MATCH($B160,'SCHEDA STRUTTURA'!$A$17:$A$147,0)),IFERROR(VLOOKUP($B160,'SCHEDA STRUTTURA'!$A$17:$G$147,6,FALSE)*1,0)+IFERROR(VLOOKUP($B160,'SCHEDA STRUTTURA'!$A$17:$G$147,7,FALSE)*1,0),IF(ISNUMBER(MATCH($B160,'SCHEDA PEZZI SPECIALI'!$A$38:$A$59,0)),IFERROR(VLOOKUP($B160,'SCHEDA PEZZI SPECIALI'!$A$38:$F$59,5,FALSE)*1,0)+IFERROR(VLOOKUP($B160,'SCHEDA PEZZI SPECIALI'!$A$38:$F$59,6,FALSE)*1,0),IF(ISNUMBER(MATCH($B160,'SCHEDA ELETTROMECCANICA'!$A$5:$A$14,0)),IFERROR(VLOOKUP($B160,'SCHEDA ELETTROMECCANICA'!$A$5:$D$14,4,FALSE)*1,0),IF(ISNUMBER(MATCH($B160,'SCHEDA BULLONERIA'!$A$6:$A$36,0)),IFERROR(VLOOKUP($B160,'SCHEDA BULLONERIA'!$A$6:$D$36,4,FALSE)*1,0),"")))))</f>
        <v/>
      </c>
      <c r="H160" t="inlineStr">
        <is>
          <t>sensori meteo</t>
        </is>
      </c>
      <c r="I160" s="13" t="n">
        <v>1</v>
      </c>
    </row>
    <row r="161">
      <c r="A161" s="13" t="n">
        <v>157</v>
      </c>
      <c r="B161" t="inlineStr">
        <is>
          <t>10BZ10X30</t>
        </is>
      </c>
      <c r="C161" t="inlineStr">
        <is>
          <t>Bullone testa esagonale M10X30</t>
        </is>
      </c>
      <c r="D161" t="inlineStr">
        <is>
          <t>Bulloneria e minuteria</t>
        </is>
      </c>
      <c r="E161" s="13" t="inlineStr">
        <is>
          <t>pz</t>
        </is>
      </c>
      <c r="F161" s="14">
        <f>IF(ISNUMBER(VLOOKUP($B161,'SCHEDA BULLONERIA'!$A$6:$D$400,3,FALSE)),VLOOKUP($B161,'SCHEDA BULLONERIA'!$A$6:$D$400,3,FALSE),"")</f>
        <v/>
      </c>
      <c r="G161" s="12">
        <f>IF($B161="","",IF(ISNUMBER(MATCH($B161,'SCHEDA STRUTTURA'!$A$17:$A$147,0)),IFERROR(VLOOKUP($B161,'SCHEDA STRUTTURA'!$A$17:$G$147,6,FALSE)*1,0)+IFERROR(VLOOKUP($B161,'SCHEDA STRUTTURA'!$A$17:$G$147,7,FALSE)*1,0),IF(ISNUMBER(MATCH($B161,'SCHEDA PEZZI SPECIALI'!$A$38:$A$59,0)),IFERROR(VLOOKUP($B161,'SCHEDA PEZZI SPECIALI'!$A$38:$F$59,5,FALSE)*1,0)+IFERROR(VLOOKUP($B161,'SCHEDA PEZZI SPECIALI'!$A$38:$F$59,6,FALSE)*1,0),IF(ISNUMBER(MATCH($B161,'SCHEDA ELETTROMECCANICA'!$A$5:$A$14,0)),IFERROR(VLOOKUP($B161,'SCHEDA ELETTROMECCANICA'!$A$5:$D$14,4,FALSE)*1,0),IF(ISNUMBER(MATCH($B161,'SCHEDA BULLONERIA'!$A$6:$A$36,0)),IFERROR(VLOOKUP($B161,'SCHEDA BULLONERIA'!$A$6:$D$36,4,FALSE)*1,0),"")))))</f>
        <v/>
      </c>
      <c r="H161" t="inlineStr">
        <is>
          <t>PILASTRO CUSCINETTO</t>
        </is>
      </c>
      <c r="I161" s="13" t="n">
        <v>1</v>
      </c>
    </row>
    <row r="162">
      <c r="A162" s="13" t="n">
        <v>158</v>
      </c>
      <c r="B162" t="inlineStr">
        <is>
          <t>10BZ10X40</t>
        </is>
      </c>
      <c r="C162" t="inlineStr">
        <is>
          <t>Bullone testa esagonale zn M10X40</t>
        </is>
      </c>
      <c r="D162" t="inlineStr">
        <is>
          <t>Bulloneria e minuteria</t>
        </is>
      </c>
      <c r="E162" s="13" t="inlineStr">
        <is>
          <t>pz</t>
        </is>
      </c>
      <c r="F162" s="14">
        <f>IF(ISNUMBER(VLOOKUP($B162,'SCHEDA BULLONERIA'!$A$6:$D$400,3,FALSE)),VLOOKUP($B162,'SCHEDA BULLONERIA'!$A$6:$D$400,3,FALSE),"")</f>
        <v/>
      </c>
      <c r="G162" s="12">
        <f>IF($B162="","",IF(ISNUMBER(MATCH($B162,'SCHEDA STRUTTURA'!$A$17:$A$147,0)),IFERROR(VLOOKUP($B162,'SCHEDA STRUTTURA'!$A$17:$G$147,6,FALSE)*1,0)+IFERROR(VLOOKUP($B162,'SCHEDA STRUTTURA'!$A$17:$G$147,7,FALSE)*1,0),IF(ISNUMBER(MATCH($B162,'SCHEDA PEZZI SPECIALI'!$A$38:$A$59,0)),IFERROR(VLOOKUP($B162,'SCHEDA PEZZI SPECIALI'!$A$38:$F$59,5,FALSE)*1,0)+IFERROR(VLOOKUP($B162,'SCHEDA PEZZI SPECIALI'!$A$38:$F$59,6,FALSE)*1,0),IF(ISNUMBER(MATCH($B162,'SCHEDA ELETTROMECCANICA'!$A$5:$A$14,0)),IFERROR(VLOOKUP($B162,'SCHEDA ELETTROMECCANICA'!$A$5:$D$14,4,FALSE)*1,0),IF(ISNUMBER(MATCH($B162,'SCHEDA BULLONERIA'!$A$6:$A$36,0)),IFERROR(VLOOKUP($B162,'SCHEDA BULLONERIA'!$A$6:$D$36,4,FALSE)*1,0),"")))))</f>
        <v/>
      </c>
      <c r="H162" t="inlineStr">
        <is>
          <t>PILASTRO MOTORE, PILASTRO CUSCINETTO</t>
        </is>
      </c>
      <c r="I162" s="13" t="n">
        <v>3</v>
      </c>
    </row>
    <row r="163">
      <c r="A163" s="13" t="n">
        <v>159</v>
      </c>
      <c r="B163" t="inlineStr">
        <is>
          <t>10BZ16X140</t>
        </is>
      </c>
      <c r="C163" t="inlineStr">
        <is>
          <t>Bullone testa esagonale M16x140 mezzo filetto</t>
        </is>
      </c>
      <c r="D163" t="inlineStr">
        <is>
          <t>Bulloneria e minuteria</t>
        </is>
      </c>
      <c r="E163" s="13" t="inlineStr">
        <is>
          <t>pz</t>
        </is>
      </c>
      <c r="F163" s="14">
        <f>IF(ISNUMBER(VLOOKUP($B163,'SCHEDA BULLONERIA'!$A$6:$D$400,3,FALSE)),VLOOKUP($B163,'SCHEDA BULLONERIA'!$A$6:$D$400,3,FALSE),"")</f>
        <v/>
      </c>
      <c r="G163" s="12">
        <f>IF($B163="","",IF(ISNUMBER(MATCH($B163,'SCHEDA STRUTTURA'!$A$17:$A$147,0)),IFERROR(VLOOKUP($B163,'SCHEDA STRUTTURA'!$A$17:$G$147,6,FALSE)*1,0)+IFERROR(VLOOKUP($B163,'SCHEDA STRUTTURA'!$A$17:$G$147,7,FALSE)*1,0),IF(ISNUMBER(MATCH($B163,'SCHEDA PEZZI SPECIALI'!$A$38:$A$59,0)),IFERROR(VLOOKUP($B163,'SCHEDA PEZZI SPECIALI'!$A$38:$F$59,5,FALSE)*1,0)+IFERROR(VLOOKUP($B163,'SCHEDA PEZZI SPECIALI'!$A$38:$F$59,6,FALSE)*1,0),IF(ISNUMBER(MATCH($B163,'SCHEDA ELETTROMECCANICA'!$A$5:$A$14,0)),IFERROR(VLOOKUP($B163,'SCHEDA ELETTROMECCANICA'!$A$5:$D$14,4,FALSE)*1,0),IF(ISNUMBER(MATCH($B163,'SCHEDA BULLONERIA'!$A$6:$A$36,0)),IFERROR(VLOOKUP($B163,'SCHEDA BULLONERIA'!$A$6:$D$36,4,FALSE)*1,0),"")))))</f>
        <v/>
      </c>
      <c r="H163" t="inlineStr">
        <is>
          <t>PILASTRO CUSCINETTO</t>
        </is>
      </c>
      <c r="I163" s="13" t="n">
        <v>1</v>
      </c>
    </row>
    <row r="164">
      <c r="A164" s="13" t="n">
        <v>160</v>
      </c>
      <c r="B164" t="inlineStr">
        <is>
          <t>10BZM10X160</t>
        </is>
      </c>
      <c r="C164" t="inlineStr">
        <is>
          <t>Bullone testa esagonale zn M10X160</t>
        </is>
      </c>
      <c r="D164" t="inlineStr">
        <is>
          <t>Bulloneria e minuteria</t>
        </is>
      </c>
      <c r="E164" s="13" t="inlineStr">
        <is>
          <t>pz</t>
        </is>
      </c>
      <c r="F164" s="14">
        <f>IF(ISNUMBER(VLOOKUP($B164,'SCHEDA BULLONERIA'!$A$6:$D$400,3,FALSE)),VLOOKUP($B164,'SCHEDA BULLONERIA'!$A$6:$D$400,3,FALSE),"")</f>
        <v/>
      </c>
      <c r="G164" s="12">
        <f>IF($B164="","",IF(ISNUMBER(MATCH($B164,'SCHEDA STRUTTURA'!$A$17:$A$147,0)),IFERROR(VLOOKUP($B164,'SCHEDA STRUTTURA'!$A$17:$G$147,6,FALSE)*1,0)+IFERROR(VLOOKUP($B164,'SCHEDA STRUTTURA'!$A$17:$G$147,7,FALSE)*1,0),IF(ISNUMBER(MATCH($B164,'SCHEDA PEZZI SPECIALI'!$A$38:$A$59,0)),IFERROR(VLOOKUP($B164,'SCHEDA PEZZI SPECIALI'!$A$38:$F$59,5,FALSE)*1,0)+IFERROR(VLOOKUP($B164,'SCHEDA PEZZI SPECIALI'!$A$38:$F$59,6,FALSE)*1,0),IF(ISNUMBER(MATCH($B164,'SCHEDA ELETTROMECCANICA'!$A$5:$A$14,0)),IFERROR(VLOOKUP($B164,'SCHEDA ELETTROMECCANICA'!$A$5:$D$14,4,FALSE)*1,0),IF(ISNUMBER(MATCH($B164,'SCHEDA BULLONERIA'!$A$6:$A$36,0)),IFERROR(VLOOKUP($B164,'SCHEDA BULLONERIA'!$A$6:$D$36,4,FALSE)*1,0),"")))))</f>
        <v/>
      </c>
      <c r="H164" t="inlineStr">
        <is>
          <t>KIT OMEGA+pannelli</t>
        </is>
      </c>
      <c r="I164" s="13" t="n">
        <v>1</v>
      </c>
    </row>
    <row r="165">
      <c r="A165" s="13" t="n">
        <v>161</v>
      </c>
      <c r="B165" t="inlineStr">
        <is>
          <t>10BZM10X30</t>
        </is>
      </c>
      <c r="C165" t="inlineStr">
        <is>
          <t>Bullone testa esagonale zn M10X30</t>
        </is>
      </c>
      <c r="D165" t="inlineStr">
        <is>
          <t>Bulloneria e minuteria</t>
        </is>
      </c>
      <c r="E165" s="13" t="inlineStr">
        <is>
          <t>pz</t>
        </is>
      </c>
      <c r="F165" s="14">
        <f>IF(ISNUMBER(VLOOKUP($B165,'SCHEDA BULLONERIA'!$A$6:$D$400,3,FALSE)),VLOOKUP($B165,'SCHEDA BULLONERIA'!$A$6:$D$400,3,FALSE),"")</f>
        <v/>
      </c>
      <c r="G165" s="12">
        <f>IF($B165="","",IF(ISNUMBER(MATCH($B165,'SCHEDA STRUTTURA'!$A$17:$A$147,0)),IFERROR(VLOOKUP($B165,'SCHEDA STRUTTURA'!$A$17:$G$147,6,FALSE)*1,0)+IFERROR(VLOOKUP($B165,'SCHEDA STRUTTURA'!$A$17:$G$147,7,FALSE)*1,0),IF(ISNUMBER(MATCH($B165,'SCHEDA PEZZI SPECIALI'!$A$38:$A$59,0)),IFERROR(VLOOKUP($B165,'SCHEDA PEZZI SPECIALI'!$A$38:$F$59,5,FALSE)*1,0)+IFERROR(VLOOKUP($B165,'SCHEDA PEZZI SPECIALI'!$A$38:$F$59,6,FALSE)*1,0),IF(ISNUMBER(MATCH($B165,'SCHEDA ELETTROMECCANICA'!$A$5:$A$14,0)),IFERROR(VLOOKUP($B165,'SCHEDA ELETTROMECCANICA'!$A$5:$D$14,4,FALSE)*1,0),IF(ISNUMBER(MATCH($B165,'SCHEDA BULLONERIA'!$A$6:$A$36,0)),IFERROR(VLOOKUP($B165,'SCHEDA BULLONERIA'!$A$6:$D$36,4,FALSE)*1,0),"")))))</f>
        <v/>
      </c>
      <c r="H165" t="inlineStr">
        <is>
          <t>ASSI DI ROTAZIONE 1303</t>
        </is>
      </c>
      <c r="I165" s="13" t="n">
        <v>5</v>
      </c>
    </row>
    <row r="166">
      <c r="A166" s="13" t="n">
        <v>162</v>
      </c>
      <c r="B166" t="inlineStr">
        <is>
          <t>10BZM10X40</t>
        </is>
      </c>
      <c r="C166" t="inlineStr">
        <is>
          <t>Bullone testa esagonale M10X40</t>
        </is>
      </c>
      <c r="D166" t="inlineStr">
        <is>
          <t>Bulloneria e minuteria</t>
        </is>
      </c>
      <c r="E166" s="13" t="inlineStr">
        <is>
          <t>pz</t>
        </is>
      </c>
      <c r="F166" s="14">
        <f>IF(ISNUMBER(VLOOKUP($B166,'SCHEDA BULLONERIA'!$A$6:$D$400,3,FALSE)),VLOOKUP($B166,'SCHEDA BULLONERIA'!$A$6:$D$400,3,FALSE),"")</f>
        <v/>
      </c>
      <c r="G166" s="12">
        <f>IF($B166="","",IF(ISNUMBER(MATCH($B166,'SCHEDA STRUTTURA'!$A$17:$A$147,0)),IFERROR(VLOOKUP($B166,'SCHEDA STRUTTURA'!$A$17:$G$147,6,FALSE)*1,0)+IFERROR(VLOOKUP($B166,'SCHEDA STRUTTURA'!$A$17:$G$147,7,FALSE)*1,0),IF(ISNUMBER(MATCH($B166,'SCHEDA PEZZI SPECIALI'!$A$38:$A$59,0)),IFERROR(VLOOKUP($B166,'SCHEDA PEZZI SPECIALI'!$A$38:$F$59,5,FALSE)*1,0)+IFERROR(VLOOKUP($B166,'SCHEDA PEZZI SPECIALI'!$A$38:$F$59,6,FALSE)*1,0),IF(ISNUMBER(MATCH($B166,'SCHEDA ELETTROMECCANICA'!$A$5:$A$14,0)),IFERROR(VLOOKUP($B166,'SCHEDA ELETTROMECCANICA'!$A$5:$D$14,4,FALSE)*1,0),IF(ISNUMBER(MATCH($B166,'SCHEDA BULLONERIA'!$A$6:$A$36,0)),IFERROR(VLOOKUP($B166,'SCHEDA BULLONERIA'!$A$6:$D$36,4,FALSE)*1,0),"")))))</f>
        <v/>
      </c>
      <c r="H166" t="inlineStr">
        <is>
          <t>PILASTRO MOTORE, PILASTRO CUSCINETTO</t>
        </is>
      </c>
      <c r="I166" s="13" t="n">
        <v>3</v>
      </c>
    </row>
    <row r="167">
      <c r="A167" s="13" t="n">
        <v>163</v>
      </c>
      <c r="B167" t="inlineStr">
        <is>
          <t>10BZM16X25</t>
        </is>
      </c>
      <c r="C167" t="inlineStr">
        <is>
          <t>Bullone testa esagonale zn M16X25</t>
        </is>
      </c>
      <c r="D167" t="inlineStr">
        <is>
          <t>Bulloneria e minuteria</t>
        </is>
      </c>
      <c r="E167" s="13" t="inlineStr">
        <is>
          <t>pz</t>
        </is>
      </c>
      <c r="F167" s="14">
        <f>IF(ISNUMBER(VLOOKUP($B167,'SCHEDA BULLONERIA'!$A$6:$D$400,3,FALSE)),VLOOKUP($B167,'SCHEDA BULLONERIA'!$A$6:$D$400,3,FALSE),"")</f>
        <v/>
      </c>
      <c r="G167" s="12">
        <f>IF($B167="","",IF(ISNUMBER(MATCH($B167,'SCHEDA STRUTTURA'!$A$17:$A$147,0)),IFERROR(VLOOKUP($B167,'SCHEDA STRUTTURA'!$A$17:$G$147,6,FALSE)*1,0)+IFERROR(VLOOKUP($B167,'SCHEDA STRUTTURA'!$A$17:$G$147,7,FALSE)*1,0),IF(ISNUMBER(MATCH($B167,'SCHEDA PEZZI SPECIALI'!$A$38:$A$59,0)),IFERROR(VLOOKUP($B167,'SCHEDA PEZZI SPECIALI'!$A$38:$F$59,5,FALSE)*1,0)+IFERROR(VLOOKUP($B167,'SCHEDA PEZZI SPECIALI'!$A$38:$F$59,6,FALSE)*1,0),IF(ISNUMBER(MATCH($B167,'SCHEDA ELETTROMECCANICA'!$A$5:$A$14,0)),IFERROR(VLOOKUP($B167,'SCHEDA ELETTROMECCANICA'!$A$5:$D$14,4,FALSE)*1,0),IF(ISNUMBER(MATCH($B167,'SCHEDA BULLONERIA'!$A$6:$A$36,0)),IFERROR(VLOOKUP($B167,'SCHEDA BULLONERIA'!$A$6:$D$36,4,FALSE)*1,0),"")))))</f>
        <v/>
      </c>
      <c r="H167" t="inlineStr">
        <is>
          <t>KIT FINE CORSA</t>
        </is>
      </c>
      <c r="I167" s="13" t="n">
        <v>1</v>
      </c>
    </row>
    <row r="168">
      <c r="A168" s="13" t="n">
        <v>164</v>
      </c>
      <c r="B168" t="inlineStr">
        <is>
          <t>10BZM16X60</t>
        </is>
      </c>
      <c r="C168" t="inlineStr">
        <is>
          <t>Bullone testa esagonale M16X60</t>
        </is>
      </c>
      <c r="D168" t="inlineStr">
        <is>
          <t>Bulloneria e minuteria</t>
        </is>
      </c>
      <c r="E168" s="13" t="inlineStr">
        <is>
          <t>pz</t>
        </is>
      </c>
      <c r="F168" s="14">
        <f>IF(ISNUMBER(VLOOKUP($B168,'SCHEDA BULLONERIA'!$A$6:$D$400,3,FALSE)),VLOOKUP($B168,'SCHEDA BULLONERIA'!$A$6:$D$400,3,FALSE),"")</f>
        <v/>
      </c>
      <c r="G168" s="12">
        <f>IF($B168="","",IF(ISNUMBER(MATCH($B168,'SCHEDA STRUTTURA'!$A$17:$A$147,0)),IFERROR(VLOOKUP($B168,'SCHEDA STRUTTURA'!$A$17:$G$147,6,FALSE)*1,0)+IFERROR(VLOOKUP($B168,'SCHEDA STRUTTURA'!$A$17:$G$147,7,FALSE)*1,0),IF(ISNUMBER(MATCH($B168,'SCHEDA PEZZI SPECIALI'!$A$38:$A$59,0)),IFERROR(VLOOKUP($B168,'SCHEDA PEZZI SPECIALI'!$A$38:$F$59,5,FALSE)*1,0)+IFERROR(VLOOKUP($B168,'SCHEDA PEZZI SPECIALI'!$A$38:$F$59,6,FALSE)*1,0),IF(ISNUMBER(MATCH($B168,'SCHEDA ELETTROMECCANICA'!$A$5:$A$14,0)),IFERROR(VLOOKUP($B168,'SCHEDA ELETTROMECCANICA'!$A$5:$D$14,4,FALSE)*1,0),IF(ISNUMBER(MATCH($B168,'SCHEDA BULLONERIA'!$A$6:$A$36,0)),IFERROR(VLOOKUP($B168,'SCHEDA BULLONERIA'!$A$6:$D$36,4,FALSE)*1,0),"")))))</f>
        <v/>
      </c>
      <c r="H168" t="inlineStr">
        <is>
          <t>PILASTRO MOTORE</t>
        </is>
      </c>
      <c r="I168" s="13" t="n">
        <v>1</v>
      </c>
    </row>
    <row r="169">
      <c r="A169" s="13" t="n">
        <v>165</v>
      </c>
      <c r="B169" t="inlineStr">
        <is>
          <t>10BZM5X20</t>
        </is>
      </c>
      <c r="C169" t="inlineStr">
        <is>
          <t>Bullone testa esagonale zn M5x20</t>
        </is>
      </c>
      <c r="D169" t="inlineStr">
        <is>
          <t>Bulloneria e minuteria</t>
        </is>
      </c>
      <c r="E169" s="13" t="inlineStr">
        <is>
          <t>pz</t>
        </is>
      </c>
      <c r="F169" s="14">
        <f>IF(ISNUMBER(VLOOKUP($B169,'SCHEDA BULLONERIA'!$A$6:$D$400,3,FALSE)),VLOOKUP($B169,'SCHEDA BULLONERIA'!$A$6:$D$400,3,FALSE),"")</f>
        <v/>
      </c>
      <c r="G169" s="12">
        <f>IF($B169="","",IF(ISNUMBER(MATCH($B169,'SCHEDA STRUTTURA'!$A$17:$A$147,0)),IFERROR(VLOOKUP($B169,'SCHEDA STRUTTURA'!$A$17:$G$147,6,FALSE)*1,0)+IFERROR(VLOOKUP($B169,'SCHEDA STRUTTURA'!$A$17:$G$147,7,FALSE)*1,0),IF(ISNUMBER(MATCH($B169,'SCHEDA PEZZI SPECIALI'!$A$38:$A$59,0)),IFERROR(VLOOKUP($B169,'SCHEDA PEZZI SPECIALI'!$A$38:$F$59,5,FALSE)*1,0)+IFERROR(VLOOKUP($B169,'SCHEDA PEZZI SPECIALI'!$A$38:$F$59,6,FALSE)*1,0),IF(ISNUMBER(MATCH($B169,'SCHEDA ELETTROMECCANICA'!$A$5:$A$14,0)),IFERROR(VLOOKUP($B169,'SCHEDA ELETTROMECCANICA'!$A$5:$D$14,4,FALSE)*1,0),IF(ISNUMBER(MATCH($B169,'SCHEDA BULLONERIA'!$A$6:$A$36,0)),IFERROR(VLOOKUP($B169,'SCHEDA BULLONERIA'!$A$6:$D$36,4,FALSE)*1,0),"")))))</f>
        <v/>
      </c>
      <c r="H169" t="inlineStr">
        <is>
          <t>sensori meteo</t>
        </is>
      </c>
      <c r="I169" s="13" t="n">
        <v>3</v>
      </c>
    </row>
    <row r="170">
      <c r="A170" s="13" t="n">
        <v>166</v>
      </c>
      <c r="B170" t="inlineStr">
        <is>
          <t>10BZM5X30</t>
        </is>
      </c>
      <c r="C170" t="inlineStr">
        <is>
          <t>Bullone testa esagonale zn M5x30</t>
        </is>
      </c>
      <c r="D170" t="inlineStr">
        <is>
          <t>Bulloneria e minuteria</t>
        </is>
      </c>
      <c r="E170" s="13" t="inlineStr">
        <is>
          <t>pz</t>
        </is>
      </c>
      <c r="F170" s="14">
        <f>IF(ISNUMBER(VLOOKUP($B170,'SCHEDA BULLONERIA'!$A$6:$D$400,3,FALSE)),VLOOKUP($B170,'SCHEDA BULLONERIA'!$A$6:$D$400,3,FALSE),"")</f>
        <v/>
      </c>
      <c r="G170" s="12">
        <f>IF($B170="","",IF(ISNUMBER(MATCH($B170,'SCHEDA STRUTTURA'!$A$17:$A$147,0)),IFERROR(VLOOKUP($B170,'SCHEDA STRUTTURA'!$A$17:$G$147,6,FALSE)*1,0)+IFERROR(VLOOKUP($B170,'SCHEDA STRUTTURA'!$A$17:$G$147,7,FALSE)*1,0),IF(ISNUMBER(MATCH($B170,'SCHEDA PEZZI SPECIALI'!$A$38:$A$59,0)),IFERROR(VLOOKUP($B170,'SCHEDA PEZZI SPECIALI'!$A$38:$F$59,5,FALSE)*1,0)+IFERROR(VLOOKUP($B170,'SCHEDA PEZZI SPECIALI'!$A$38:$F$59,6,FALSE)*1,0),IF(ISNUMBER(MATCH($B170,'SCHEDA ELETTROMECCANICA'!$A$5:$A$14,0)),IFERROR(VLOOKUP($B170,'SCHEDA ELETTROMECCANICA'!$A$5:$D$14,4,FALSE)*1,0),IF(ISNUMBER(MATCH($B170,'SCHEDA BULLONERIA'!$A$6:$A$36,0)),IFERROR(VLOOKUP($B170,'SCHEDA BULLONERIA'!$A$6:$D$36,4,FALSE)*1,0),"")))))</f>
        <v/>
      </c>
      <c r="H170" t="inlineStr">
        <is>
          <t>KIT FINE CORSA</t>
        </is>
      </c>
      <c r="I170" s="13" t="n">
        <v>1</v>
      </c>
    </row>
    <row r="171">
      <c r="A171" s="13" t="n">
        <v>167</v>
      </c>
      <c r="B171" t="inlineStr">
        <is>
          <t>10BZM6X150</t>
        </is>
      </c>
      <c r="C171" t="inlineStr">
        <is>
          <t>Bullone testa esagonale zn M6X150</t>
        </is>
      </c>
      <c r="D171" t="inlineStr">
        <is>
          <t>Bulloneria e minuteria</t>
        </is>
      </c>
      <c r="E171" s="13" t="inlineStr">
        <is>
          <t>pz</t>
        </is>
      </c>
      <c r="F171" s="14">
        <f>IF(ISNUMBER(VLOOKUP($B171,'SCHEDA BULLONERIA'!$A$6:$D$400,3,FALSE)),VLOOKUP($B171,'SCHEDA BULLONERIA'!$A$6:$D$400,3,FALSE),"")</f>
        <v/>
      </c>
      <c r="G171" s="12">
        <f>IF($B171="","",IF(ISNUMBER(MATCH($B171,'SCHEDA STRUTTURA'!$A$17:$A$147,0)),IFERROR(VLOOKUP($B171,'SCHEDA STRUTTURA'!$A$17:$G$147,6,FALSE)*1,0)+IFERROR(VLOOKUP($B171,'SCHEDA STRUTTURA'!$A$17:$G$147,7,FALSE)*1,0),IF(ISNUMBER(MATCH($B171,'SCHEDA PEZZI SPECIALI'!$A$38:$A$59,0)),IFERROR(VLOOKUP($B171,'SCHEDA PEZZI SPECIALI'!$A$38:$F$59,5,FALSE)*1,0)+IFERROR(VLOOKUP($B171,'SCHEDA PEZZI SPECIALI'!$A$38:$F$59,6,FALSE)*1,0),IF(ISNUMBER(MATCH($B171,'SCHEDA ELETTROMECCANICA'!$A$5:$A$14,0)),IFERROR(VLOOKUP($B171,'SCHEDA ELETTROMECCANICA'!$A$5:$D$14,4,FALSE)*1,0),IF(ISNUMBER(MATCH($B171,'SCHEDA BULLONERIA'!$A$6:$A$36,0)),IFERROR(VLOOKUP($B171,'SCHEDA BULLONERIA'!$A$6:$D$36,4,FALSE)*1,0),"")))))</f>
        <v/>
      </c>
      <c r="H171" t="inlineStr">
        <is>
          <t>KIT OMEGA+pannelli</t>
        </is>
      </c>
      <c r="I171" s="13" t="n">
        <v>1</v>
      </c>
    </row>
    <row r="172">
      <c r="A172" s="13" t="n">
        <v>168</v>
      </c>
      <c r="B172" t="inlineStr">
        <is>
          <t>10BZM6X20</t>
        </is>
      </c>
      <c r="C172" t="inlineStr">
        <is>
          <t>Bullone testa esagonale zn M6X20</t>
        </is>
      </c>
      <c r="D172" t="inlineStr">
        <is>
          <t>Bulloneria e minuteria</t>
        </is>
      </c>
      <c r="E172" s="13" t="inlineStr">
        <is>
          <t>pz</t>
        </is>
      </c>
      <c r="F172" s="14">
        <f>IF(ISNUMBER(VLOOKUP($B172,'SCHEDA BULLONERIA'!$A$6:$D$400,3,FALSE)),VLOOKUP($B172,'SCHEDA BULLONERIA'!$A$6:$D$400,3,FALSE),"")</f>
        <v/>
      </c>
      <c r="G172" s="12">
        <f>IF($B172="","",IF(ISNUMBER(MATCH($B172,'SCHEDA STRUTTURA'!$A$17:$A$147,0)),IFERROR(VLOOKUP($B172,'SCHEDA STRUTTURA'!$A$17:$G$147,6,FALSE)*1,0)+IFERROR(VLOOKUP($B172,'SCHEDA STRUTTURA'!$A$17:$G$147,7,FALSE)*1,0),IF(ISNUMBER(MATCH($B172,'SCHEDA PEZZI SPECIALI'!$A$38:$A$59,0)),IFERROR(VLOOKUP($B172,'SCHEDA PEZZI SPECIALI'!$A$38:$F$59,5,FALSE)*1,0)+IFERROR(VLOOKUP($B172,'SCHEDA PEZZI SPECIALI'!$A$38:$F$59,6,FALSE)*1,0),IF(ISNUMBER(MATCH($B172,'SCHEDA ELETTROMECCANICA'!$A$5:$A$14,0)),IFERROR(VLOOKUP($B172,'SCHEDA ELETTROMECCANICA'!$A$5:$D$14,4,FALSE)*1,0),IF(ISNUMBER(MATCH($B172,'SCHEDA BULLONERIA'!$A$6:$A$36,0)),IFERROR(VLOOKUP($B172,'SCHEDA BULLONERIA'!$A$6:$D$36,4,FALSE)*1,0),"")))))</f>
        <v/>
      </c>
      <c r="H172" t="inlineStr">
        <is>
          <t>KIT FINE CORSA</t>
        </is>
      </c>
      <c r="I172" s="13" t="n">
        <v>1</v>
      </c>
    </row>
    <row r="173">
      <c r="A173" s="13" t="n">
        <v>169</v>
      </c>
      <c r="B173" t="inlineStr">
        <is>
          <t>10BZM6X25</t>
        </is>
      </c>
      <c r="C173" t="inlineStr">
        <is>
          <t>Bullone testa esagonale zn M6X30</t>
        </is>
      </c>
      <c r="D173" t="inlineStr">
        <is>
          <t>Bulloneria e minuteria</t>
        </is>
      </c>
      <c r="E173" s="13" t="inlineStr">
        <is>
          <t>pz</t>
        </is>
      </c>
      <c r="F173" s="14">
        <f>IF(ISNUMBER(VLOOKUP($B173,'SCHEDA BULLONERIA'!$A$6:$D$400,3,FALSE)),VLOOKUP($B173,'SCHEDA BULLONERIA'!$A$6:$D$400,3,FALSE),"")</f>
        <v/>
      </c>
      <c r="G173" s="12">
        <f>IF($B173="","",IF(ISNUMBER(MATCH($B173,'SCHEDA STRUTTURA'!$A$17:$A$147,0)),IFERROR(VLOOKUP($B173,'SCHEDA STRUTTURA'!$A$17:$G$147,6,FALSE)*1,0)+IFERROR(VLOOKUP($B173,'SCHEDA STRUTTURA'!$A$17:$G$147,7,FALSE)*1,0),IF(ISNUMBER(MATCH($B173,'SCHEDA PEZZI SPECIALI'!$A$38:$A$59,0)),IFERROR(VLOOKUP($B173,'SCHEDA PEZZI SPECIALI'!$A$38:$F$59,5,FALSE)*1,0)+IFERROR(VLOOKUP($B173,'SCHEDA PEZZI SPECIALI'!$A$38:$F$59,6,FALSE)*1,0),IF(ISNUMBER(MATCH($B173,'SCHEDA ELETTROMECCANICA'!$A$5:$A$14,0)),IFERROR(VLOOKUP($B173,'SCHEDA ELETTROMECCANICA'!$A$5:$D$14,4,FALSE)*1,0),IF(ISNUMBER(MATCH($B173,'SCHEDA BULLONERIA'!$A$6:$A$36,0)),IFERROR(VLOOKUP($B173,'SCHEDA BULLONERIA'!$A$6:$D$36,4,FALSE)*1,0),"")))))</f>
        <v/>
      </c>
      <c r="H173" t="inlineStr">
        <is>
          <t>kit quadri centralina meteo</t>
        </is>
      </c>
      <c r="I173" s="13" t="n">
        <v>1</v>
      </c>
    </row>
    <row r="174">
      <c r="A174" s="13" t="n">
        <v>170</v>
      </c>
      <c r="B174" t="inlineStr">
        <is>
          <t>10BZM6X30</t>
        </is>
      </c>
      <c r="C174" t="inlineStr">
        <is>
          <t>Bullone testa esagonale zn M6X30</t>
        </is>
      </c>
      <c r="D174" t="inlineStr">
        <is>
          <t>Bulloneria e minuteria</t>
        </is>
      </c>
      <c r="E174" s="13" t="inlineStr">
        <is>
          <t>pz</t>
        </is>
      </c>
      <c r="F174" s="14">
        <f>IF(ISNUMBER(VLOOKUP($B174,'SCHEDA BULLONERIA'!$A$6:$D$400,3,FALSE)),VLOOKUP($B174,'SCHEDA BULLONERIA'!$A$6:$D$400,3,FALSE),"")</f>
        <v/>
      </c>
      <c r="G174" s="12">
        <f>IF($B174="","",IF(ISNUMBER(MATCH($B174,'SCHEDA STRUTTURA'!$A$17:$A$147,0)),IFERROR(VLOOKUP($B174,'SCHEDA STRUTTURA'!$A$17:$G$147,6,FALSE)*1,0)+IFERROR(VLOOKUP($B174,'SCHEDA STRUTTURA'!$A$17:$G$147,7,FALSE)*1,0),IF(ISNUMBER(MATCH($B174,'SCHEDA PEZZI SPECIALI'!$A$38:$A$59,0)),IFERROR(VLOOKUP($B174,'SCHEDA PEZZI SPECIALI'!$A$38:$F$59,5,FALSE)*1,0)+IFERROR(VLOOKUP($B174,'SCHEDA PEZZI SPECIALI'!$A$38:$F$59,6,FALSE)*1,0),IF(ISNUMBER(MATCH($B174,'SCHEDA ELETTROMECCANICA'!$A$5:$A$14,0)),IFERROR(VLOOKUP($B174,'SCHEDA ELETTROMECCANICA'!$A$5:$D$14,4,FALSE)*1,0),IF(ISNUMBER(MATCH($B174,'SCHEDA BULLONERIA'!$A$6:$A$36,0)),IFERROR(VLOOKUP($B174,'SCHEDA BULLONERIA'!$A$6:$D$36,4,FALSE)*1,0),"")))))</f>
        <v/>
      </c>
      <c r="H174" t="inlineStr">
        <is>
          <t>kit quadro motore, sensori meteo</t>
        </is>
      </c>
      <c r="I174" s="13" t="n">
        <v>2</v>
      </c>
    </row>
    <row r="175">
      <c r="A175" s="13" t="n">
        <v>171</v>
      </c>
      <c r="B175" t="inlineStr">
        <is>
          <t>10BZM8X150</t>
        </is>
      </c>
      <c r="C175" t="inlineStr">
        <is>
          <t>Bullone testa esagonale zn M8X150</t>
        </is>
      </c>
      <c r="D175" t="inlineStr">
        <is>
          <t>Bulloneria e minuteria</t>
        </is>
      </c>
      <c r="E175" s="13" t="inlineStr">
        <is>
          <t>pz</t>
        </is>
      </c>
      <c r="F175" s="14">
        <f>IF(ISNUMBER(VLOOKUP($B175,'SCHEDA BULLONERIA'!$A$6:$D$400,3,FALSE)),VLOOKUP($B175,'SCHEDA BULLONERIA'!$A$6:$D$400,3,FALSE),"")</f>
        <v/>
      </c>
      <c r="G175" s="12">
        <f>IF($B175="","",IF(ISNUMBER(MATCH($B175,'SCHEDA STRUTTURA'!$A$17:$A$147,0)),IFERROR(VLOOKUP($B175,'SCHEDA STRUTTURA'!$A$17:$G$147,6,FALSE)*1,0)+IFERROR(VLOOKUP($B175,'SCHEDA STRUTTURA'!$A$17:$G$147,7,FALSE)*1,0),IF(ISNUMBER(MATCH($B175,'SCHEDA PEZZI SPECIALI'!$A$38:$A$59,0)),IFERROR(VLOOKUP($B175,'SCHEDA PEZZI SPECIALI'!$A$38:$F$59,5,FALSE)*1,0)+IFERROR(VLOOKUP($B175,'SCHEDA PEZZI SPECIALI'!$A$38:$F$59,6,FALSE)*1,0),IF(ISNUMBER(MATCH($B175,'SCHEDA ELETTROMECCANICA'!$A$5:$A$14,0)),IFERROR(VLOOKUP($B175,'SCHEDA ELETTROMECCANICA'!$A$5:$D$14,4,FALSE)*1,0),IF(ISNUMBER(MATCH($B175,'SCHEDA BULLONERIA'!$A$6:$A$36,0)),IFERROR(VLOOKUP($B175,'SCHEDA BULLONERIA'!$A$6:$D$36,4,FALSE)*1,0),"")))))</f>
        <v/>
      </c>
      <c r="H175" t="inlineStr">
        <is>
          <t>ASSI DI ROTAZIONE 1303, KIT INCLINOMETRO</t>
        </is>
      </c>
      <c r="I175" s="13" t="n">
        <v>6</v>
      </c>
    </row>
    <row r="176">
      <c r="A176" s="13" t="n">
        <v>172</v>
      </c>
      <c r="B176" t="inlineStr">
        <is>
          <t>10BZM8X20</t>
        </is>
      </c>
      <c r="C176" t="inlineStr">
        <is>
          <t>Bullone testa esagonale zn M8X20</t>
        </is>
      </c>
      <c r="D176" t="inlineStr">
        <is>
          <t>Bulloneria e minuteria</t>
        </is>
      </c>
      <c r="E176" s="13" t="inlineStr">
        <is>
          <t>pz</t>
        </is>
      </c>
      <c r="F176" s="14">
        <f>IF(ISNUMBER(VLOOKUP($B176,'SCHEDA BULLONERIA'!$A$6:$D$400,3,FALSE)),VLOOKUP($B176,'SCHEDA BULLONERIA'!$A$6:$D$400,3,FALSE),"")</f>
        <v/>
      </c>
      <c r="G176" s="12">
        <f>IF($B176="","",IF(ISNUMBER(MATCH($B176,'SCHEDA STRUTTURA'!$A$17:$A$147,0)),IFERROR(VLOOKUP($B176,'SCHEDA STRUTTURA'!$A$17:$G$147,6,FALSE)*1,0)+IFERROR(VLOOKUP($B176,'SCHEDA STRUTTURA'!$A$17:$G$147,7,FALSE)*1,0),IF(ISNUMBER(MATCH($B176,'SCHEDA PEZZI SPECIALI'!$A$38:$A$59,0)),IFERROR(VLOOKUP($B176,'SCHEDA PEZZI SPECIALI'!$A$38:$F$59,5,FALSE)*1,0)+IFERROR(VLOOKUP($B176,'SCHEDA PEZZI SPECIALI'!$A$38:$F$59,6,FALSE)*1,0),IF(ISNUMBER(MATCH($B176,'SCHEDA ELETTROMECCANICA'!$A$5:$A$14,0)),IFERROR(VLOOKUP($B176,'SCHEDA ELETTROMECCANICA'!$A$5:$D$14,4,FALSE)*1,0),IF(ISNUMBER(MATCH($B176,'SCHEDA BULLONERIA'!$A$6:$A$36,0)),IFERROR(VLOOKUP($B176,'SCHEDA BULLONERIA'!$A$6:$D$36,4,FALSE)*1,0),"")))))</f>
        <v/>
      </c>
      <c r="H176" t="inlineStr">
        <is>
          <t>kit quadri inverter</t>
        </is>
      </c>
      <c r="I176" s="13" t="n">
        <v>1</v>
      </c>
    </row>
    <row r="177">
      <c r="A177" s="13" t="n">
        <v>173</v>
      </c>
      <c r="B177" t="inlineStr">
        <is>
          <t>10BZM8X25</t>
        </is>
      </c>
      <c r="C177" t="inlineStr">
        <is>
          <t>Bullone testa esagonale zn M8X25</t>
        </is>
      </c>
      <c r="D177" t="inlineStr">
        <is>
          <t>Bulloneria e minuteria</t>
        </is>
      </c>
      <c r="E177" s="13" t="inlineStr">
        <is>
          <t>pz</t>
        </is>
      </c>
      <c r="F177" s="14">
        <f>IF(ISNUMBER(VLOOKUP($B177,'SCHEDA BULLONERIA'!$A$6:$D$400,3,FALSE)),VLOOKUP($B177,'SCHEDA BULLONERIA'!$A$6:$D$400,3,FALSE),"")</f>
        <v/>
      </c>
      <c r="G177" s="12">
        <f>IF($B177="","",IF(ISNUMBER(MATCH($B177,'SCHEDA STRUTTURA'!$A$17:$A$147,0)),IFERROR(VLOOKUP($B177,'SCHEDA STRUTTURA'!$A$17:$G$147,6,FALSE)*1,0)+IFERROR(VLOOKUP($B177,'SCHEDA STRUTTURA'!$A$17:$G$147,7,FALSE)*1,0),IF(ISNUMBER(MATCH($B177,'SCHEDA PEZZI SPECIALI'!$A$38:$A$59,0)),IFERROR(VLOOKUP($B177,'SCHEDA PEZZI SPECIALI'!$A$38:$F$59,5,FALSE)*1,0)+IFERROR(VLOOKUP($B177,'SCHEDA PEZZI SPECIALI'!$A$38:$F$59,6,FALSE)*1,0),IF(ISNUMBER(MATCH($B177,'SCHEDA ELETTROMECCANICA'!$A$5:$A$14,0)),IFERROR(VLOOKUP($B177,'SCHEDA ELETTROMECCANICA'!$A$5:$D$14,4,FALSE)*1,0),IF(ISNUMBER(MATCH($B177,'SCHEDA BULLONERIA'!$A$6:$A$36,0)),IFERROR(VLOOKUP($B177,'SCHEDA BULLONERIA'!$A$6:$D$36,4,FALSE)*1,0),"")))))</f>
        <v/>
      </c>
      <c r="H177" t="inlineStr">
        <is>
          <t>KIT OMEGA+pannelli, kit quadro motore, kit quadri centralina meteo, kit quadri area</t>
        </is>
      </c>
      <c r="I177" s="13" t="n">
        <v>8</v>
      </c>
    </row>
    <row r="178">
      <c r="A178" s="13" t="n">
        <v>174</v>
      </c>
      <c r="B178" t="inlineStr">
        <is>
          <t>10BZM8X30</t>
        </is>
      </c>
      <c r="C178" t="inlineStr">
        <is>
          <t>Bullone testa esagonale zn M8X30</t>
        </is>
      </c>
      <c r="D178" t="inlineStr">
        <is>
          <t>Bulloneria e minuteria</t>
        </is>
      </c>
      <c r="E178" s="13" t="inlineStr">
        <is>
          <t>pz</t>
        </is>
      </c>
      <c r="F178" s="14">
        <f>IF(ISNUMBER(VLOOKUP($B178,'SCHEDA BULLONERIA'!$A$6:$D$400,3,FALSE)),VLOOKUP($B178,'SCHEDA BULLONERIA'!$A$6:$D$400,3,FALSE),"")</f>
        <v/>
      </c>
      <c r="G178" s="12">
        <f>IF($B178="","",IF(ISNUMBER(MATCH($B178,'SCHEDA STRUTTURA'!$A$17:$A$147,0)),IFERROR(VLOOKUP($B178,'SCHEDA STRUTTURA'!$A$17:$G$147,6,FALSE)*1,0)+IFERROR(VLOOKUP($B178,'SCHEDA STRUTTURA'!$A$17:$G$147,7,FALSE)*1,0),IF(ISNUMBER(MATCH($B178,'SCHEDA PEZZI SPECIALI'!$A$38:$A$59,0)),IFERROR(VLOOKUP($B178,'SCHEDA PEZZI SPECIALI'!$A$38:$F$59,5,FALSE)*1,0)+IFERROR(VLOOKUP($B178,'SCHEDA PEZZI SPECIALI'!$A$38:$F$59,6,FALSE)*1,0),IF(ISNUMBER(MATCH($B178,'SCHEDA ELETTROMECCANICA'!$A$5:$A$14,0)),IFERROR(VLOOKUP($B178,'SCHEDA ELETTROMECCANICA'!$A$5:$D$14,4,FALSE)*1,0),IF(ISNUMBER(MATCH($B178,'SCHEDA BULLONERIA'!$A$6:$A$36,0)),IFERROR(VLOOKUP($B178,'SCHEDA BULLONERIA'!$A$6:$D$36,4,FALSE)*1,0),"")))))</f>
        <v/>
      </c>
      <c r="H178" t="inlineStr">
        <is>
          <t>kit quadri inverter</t>
        </is>
      </c>
      <c r="I178" s="13" t="n">
        <v>1</v>
      </c>
    </row>
    <row r="179">
      <c r="A179" s="13" t="n">
        <v>175</v>
      </c>
      <c r="B179" t="inlineStr">
        <is>
          <t>10DADAZM8</t>
        </is>
      </c>
      <c r="C179" t="inlineStr">
        <is>
          <t>Dado autobloccante M8 zn</t>
        </is>
      </c>
      <c r="D179" t="inlineStr">
        <is>
          <t>Bulloneria e minuteria</t>
        </is>
      </c>
      <c r="E179" s="13" t="inlineStr">
        <is>
          <t>pz</t>
        </is>
      </c>
      <c r="F179" s="14">
        <f>IF(ISNUMBER(VLOOKUP($B179,'SCHEDA BULLONERIA'!$A$6:$D$400,3,FALSE)),VLOOKUP($B179,'SCHEDA BULLONERIA'!$A$6:$D$400,3,FALSE),"")</f>
        <v/>
      </c>
      <c r="G179" s="12">
        <f>IF($B179="","",IF(ISNUMBER(MATCH($B179,'SCHEDA STRUTTURA'!$A$17:$A$147,0)),IFERROR(VLOOKUP($B179,'SCHEDA STRUTTURA'!$A$17:$G$147,6,FALSE)*1,0)+IFERROR(VLOOKUP($B179,'SCHEDA STRUTTURA'!$A$17:$G$147,7,FALSE)*1,0),IF(ISNUMBER(MATCH($B179,'SCHEDA PEZZI SPECIALI'!$A$38:$A$59,0)),IFERROR(VLOOKUP($B179,'SCHEDA PEZZI SPECIALI'!$A$38:$F$59,5,FALSE)*1,0)+IFERROR(VLOOKUP($B179,'SCHEDA PEZZI SPECIALI'!$A$38:$F$59,6,FALSE)*1,0),IF(ISNUMBER(MATCH($B179,'SCHEDA ELETTROMECCANICA'!$A$5:$A$14,0)),IFERROR(VLOOKUP($B179,'SCHEDA ELETTROMECCANICA'!$A$5:$D$14,4,FALSE)*1,0),IF(ISNUMBER(MATCH($B179,'SCHEDA BULLONERIA'!$A$6:$A$36,0)),IFERROR(VLOOKUP($B179,'SCHEDA BULLONERIA'!$A$6:$D$36,4,FALSE)*1,0),"")))))</f>
        <v/>
      </c>
      <c r="H179" t="inlineStr">
        <is>
          <t>KIT OMEGA+pannelli</t>
        </is>
      </c>
      <c r="I179" s="13" t="n">
        <v>2</v>
      </c>
    </row>
    <row r="180">
      <c r="A180" s="13" t="n">
        <v>176</v>
      </c>
      <c r="B180" t="inlineStr">
        <is>
          <t>10DAZAM10</t>
        </is>
      </c>
      <c r="C180" t="inlineStr">
        <is>
          <t>Dado autobloccante M10</t>
        </is>
      </c>
      <c r="D180" t="inlineStr">
        <is>
          <t>Bulloneria e minuteria</t>
        </is>
      </c>
      <c r="E180" s="13" t="inlineStr">
        <is>
          <t>pz</t>
        </is>
      </c>
      <c r="F180" s="14">
        <f>IF(ISNUMBER(VLOOKUP($B180,'SCHEDA BULLONERIA'!$A$6:$D$400,3,FALSE)),VLOOKUP($B180,'SCHEDA BULLONERIA'!$A$6:$D$400,3,FALSE),"")</f>
        <v/>
      </c>
      <c r="G180" s="12">
        <f>IF($B180="","",IF(ISNUMBER(MATCH($B180,'SCHEDA STRUTTURA'!$A$17:$A$147,0)),IFERROR(VLOOKUP($B180,'SCHEDA STRUTTURA'!$A$17:$G$147,6,FALSE)*1,0)+IFERROR(VLOOKUP($B180,'SCHEDA STRUTTURA'!$A$17:$G$147,7,FALSE)*1,0),IF(ISNUMBER(MATCH($B180,'SCHEDA PEZZI SPECIALI'!$A$38:$A$59,0)),IFERROR(VLOOKUP($B180,'SCHEDA PEZZI SPECIALI'!$A$38:$F$59,5,FALSE)*1,0)+IFERROR(VLOOKUP($B180,'SCHEDA PEZZI SPECIALI'!$A$38:$F$59,6,FALSE)*1,0),IF(ISNUMBER(MATCH($B180,'SCHEDA ELETTROMECCANICA'!$A$5:$A$14,0)),IFERROR(VLOOKUP($B180,'SCHEDA ELETTROMECCANICA'!$A$5:$D$14,4,FALSE)*1,0),IF(ISNUMBER(MATCH($B180,'SCHEDA BULLONERIA'!$A$6:$A$36,0)),IFERROR(VLOOKUP($B180,'SCHEDA BULLONERIA'!$A$6:$D$36,4,FALSE)*1,0),"")))))</f>
        <v/>
      </c>
      <c r="H180" t="inlineStr">
        <is>
          <t>PILASTRO MOTORE, PILASTRO CUSCINETTO, ASSI DI ROTAZIONE 1303</t>
        </is>
      </c>
      <c r="I180" s="13" t="n">
        <v>12</v>
      </c>
    </row>
    <row r="181">
      <c r="A181" s="13" t="n">
        <v>177</v>
      </c>
      <c r="B181" t="inlineStr">
        <is>
          <t>10DAZAM16</t>
        </is>
      </c>
      <c r="C181" t="inlineStr">
        <is>
          <t>Dado autobloccante M16</t>
        </is>
      </c>
      <c r="D181" t="inlineStr">
        <is>
          <t>Bulloneria e minuteria</t>
        </is>
      </c>
      <c r="E181" s="13" t="inlineStr">
        <is>
          <t>pz</t>
        </is>
      </c>
      <c r="F181" s="14">
        <f>IF(ISNUMBER(VLOOKUP($B181,'SCHEDA BULLONERIA'!$A$6:$D$400,3,FALSE)),VLOOKUP($B181,'SCHEDA BULLONERIA'!$A$6:$D$400,3,FALSE),"")</f>
        <v/>
      </c>
      <c r="G181" s="12">
        <f>IF($B181="","",IF(ISNUMBER(MATCH($B181,'SCHEDA STRUTTURA'!$A$17:$A$147,0)),IFERROR(VLOOKUP($B181,'SCHEDA STRUTTURA'!$A$17:$G$147,6,FALSE)*1,0)+IFERROR(VLOOKUP($B181,'SCHEDA STRUTTURA'!$A$17:$G$147,7,FALSE)*1,0),IF(ISNUMBER(MATCH($B181,'SCHEDA PEZZI SPECIALI'!$A$38:$A$59,0)),IFERROR(VLOOKUP($B181,'SCHEDA PEZZI SPECIALI'!$A$38:$F$59,5,FALSE)*1,0)+IFERROR(VLOOKUP($B181,'SCHEDA PEZZI SPECIALI'!$A$38:$F$59,6,FALSE)*1,0),IF(ISNUMBER(MATCH($B181,'SCHEDA ELETTROMECCANICA'!$A$5:$A$14,0)),IFERROR(VLOOKUP($B181,'SCHEDA ELETTROMECCANICA'!$A$5:$D$14,4,FALSE)*1,0),IF(ISNUMBER(MATCH($B181,'SCHEDA BULLONERIA'!$A$6:$A$36,0)),IFERROR(VLOOKUP($B181,'SCHEDA BULLONERIA'!$A$6:$D$36,4,FALSE)*1,0),"")))))</f>
        <v/>
      </c>
      <c r="H181" t="inlineStr">
        <is>
          <t>PILASTRO MOTORE, PILASTRO CUSCINETTO</t>
        </is>
      </c>
      <c r="I181" s="13" t="n">
        <v>2</v>
      </c>
    </row>
    <row r="182">
      <c r="A182" s="13" t="n">
        <v>178</v>
      </c>
      <c r="B182" t="inlineStr">
        <is>
          <t>10DAZAM5</t>
        </is>
      </c>
      <c r="C182" t="inlineStr">
        <is>
          <t>Dado zincato autobloc. M5</t>
        </is>
      </c>
      <c r="D182" t="inlineStr">
        <is>
          <t>Bulloneria e minuteria</t>
        </is>
      </c>
      <c r="E182" s="13" t="inlineStr">
        <is>
          <t>pz</t>
        </is>
      </c>
      <c r="F182" s="14">
        <f>IF(ISNUMBER(VLOOKUP($B182,'SCHEDA BULLONERIA'!$A$6:$D$400,3,FALSE)),VLOOKUP($B182,'SCHEDA BULLONERIA'!$A$6:$D$400,3,FALSE),"")</f>
        <v/>
      </c>
      <c r="G182" s="12">
        <f>IF($B182="","",IF(ISNUMBER(MATCH($B182,'SCHEDA STRUTTURA'!$A$17:$A$147,0)),IFERROR(VLOOKUP($B182,'SCHEDA STRUTTURA'!$A$17:$G$147,6,FALSE)*1,0)+IFERROR(VLOOKUP($B182,'SCHEDA STRUTTURA'!$A$17:$G$147,7,FALSE)*1,0),IF(ISNUMBER(MATCH($B182,'SCHEDA PEZZI SPECIALI'!$A$38:$A$59,0)),IFERROR(VLOOKUP($B182,'SCHEDA PEZZI SPECIALI'!$A$38:$F$59,5,FALSE)*1,0)+IFERROR(VLOOKUP($B182,'SCHEDA PEZZI SPECIALI'!$A$38:$F$59,6,FALSE)*1,0),IF(ISNUMBER(MATCH($B182,'SCHEDA ELETTROMECCANICA'!$A$5:$A$14,0)),IFERROR(VLOOKUP($B182,'SCHEDA ELETTROMECCANICA'!$A$5:$D$14,4,FALSE)*1,0),IF(ISNUMBER(MATCH($B182,'SCHEDA BULLONERIA'!$A$6:$A$36,0)),IFERROR(VLOOKUP($B182,'SCHEDA BULLONERIA'!$A$6:$D$36,4,FALSE)*1,0),"")))))</f>
        <v/>
      </c>
      <c r="H182" t="inlineStr">
        <is>
          <t>KIT FINE CORSA, KIT INCLINOMETRO, sensori meteo</t>
        </is>
      </c>
      <c r="I182" s="13" t="n">
        <v>5</v>
      </c>
    </row>
    <row r="183">
      <c r="A183" s="13" t="n">
        <v>179</v>
      </c>
      <c r="B183" t="inlineStr">
        <is>
          <t>10DAZAM6</t>
        </is>
      </c>
      <c r="C183" t="inlineStr">
        <is>
          <t>Dado autobloccante M6</t>
        </is>
      </c>
      <c r="D183" t="inlineStr">
        <is>
          <t>Bulloneria e minuteria</t>
        </is>
      </c>
      <c r="E183" s="13" t="inlineStr">
        <is>
          <t>pz</t>
        </is>
      </c>
      <c r="F183" s="14">
        <f>IF(ISNUMBER(VLOOKUP($B183,'SCHEDA BULLONERIA'!$A$6:$D$400,3,FALSE)),VLOOKUP($B183,'SCHEDA BULLONERIA'!$A$6:$D$400,3,FALSE),"")</f>
        <v/>
      </c>
      <c r="G183" s="12">
        <f>IF($B183="","",IF(ISNUMBER(MATCH($B183,'SCHEDA STRUTTURA'!$A$17:$A$147,0)),IFERROR(VLOOKUP($B183,'SCHEDA STRUTTURA'!$A$17:$G$147,6,FALSE)*1,0)+IFERROR(VLOOKUP($B183,'SCHEDA STRUTTURA'!$A$17:$G$147,7,FALSE)*1,0),IF(ISNUMBER(MATCH($B183,'SCHEDA PEZZI SPECIALI'!$A$38:$A$59,0)),IFERROR(VLOOKUP($B183,'SCHEDA PEZZI SPECIALI'!$A$38:$F$59,5,FALSE)*1,0)+IFERROR(VLOOKUP($B183,'SCHEDA PEZZI SPECIALI'!$A$38:$F$59,6,FALSE)*1,0),IF(ISNUMBER(MATCH($B183,'SCHEDA ELETTROMECCANICA'!$A$5:$A$14,0)),IFERROR(VLOOKUP($B183,'SCHEDA ELETTROMECCANICA'!$A$5:$D$14,4,FALSE)*1,0),IF(ISNUMBER(MATCH($B183,'SCHEDA BULLONERIA'!$A$6:$A$36,0)),IFERROR(VLOOKUP($B183,'SCHEDA BULLONERIA'!$A$6:$D$36,4,FALSE)*1,0),"")))))</f>
        <v/>
      </c>
      <c r="H183" t="inlineStr">
        <is>
          <t>KIT OMEGA+pannelli, KIT FINE CORSA, kit quadro motore, kit quadri centralina meteo, sensori meteo</t>
        </is>
      </c>
      <c r="I183" s="13" t="n">
        <v>5</v>
      </c>
    </row>
    <row r="184">
      <c r="A184" s="13" t="n">
        <v>180</v>
      </c>
      <c r="B184" t="inlineStr">
        <is>
          <t>10DAZAM8</t>
        </is>
      </c>
      <c r="C184" t="inlineStr">
        <is>
          <t>Dado autobloccante M8</t>
        </is>
      </c>
      <c r="D184" t="inlineStr">
        <is>
          <t>Bulloneria e minuteria</t>
        </is>
      </c>
      <c r="E184" s="13" t="inlineStr">
        <is>
          <t>pz</t>
        </is>
      </c>
      <c r="F184" s="14">
        <f>IF(ISNUMBER(VLOOKUP($B184,'SCHEDA BULLONERIA'!$A$6:$D$400,3,FALSE)),VLOOKUP($B184,'SCHEDA BULLONERIA'!$A$6:$D$400,3,FALSE),"")</f>
        <v/>
      </c>
      <c r="G184" s="12">
        <f>IF($B184="","",IF(ISNUMBER(MATCH($B184,'SCHEDA STRUTTURA'!$A$17:$A$147,0)),IFERROR(VLOOKUP($B184,'SCHEDA STRUTTURA'!$A$17:$G$147,6,FALSE)*1,0)+IFERROR(VLOOKUP($B184,'SCHEDA STRUTTURA'!$A$17:$G$147,7,FALSE)*1,0),IF(ISNUMBER(MATCH($B184,'SCHEDA PEZZI SPECIALI'!$A$38:$A$59,0)),IFERROR(VLOOKUP($B184,'SCHEDA PEZZI SPECIALI'!$A$38:$F$59,5,FALSE)*1,0)+IFERROR(VLOOKUP($B184,'SCHEDA PEZZI SPECIALI'!$A$38:$F$59,6,FALSE)*1,0),IF(ISNUMBER(MATCH($B184,'SCHEDA ELETTROMECCANICA'!$A$5:$A$14,0)),IFERROR(VLOOKUP($B184,'SCHEDA ELETTROMECCANICA'!$A$5:$D$14,4,FALSE)*1,0),IF(ISNUMBER(MATCH($B184,'SCHEDA BULLONERIA'!$A$6:$A$36,0)),IFERROR(VLOOKUP($B184,'SCHEDA BULLONERIA'!$A$6:$D$36,4,FALSE)*1,0),"")))))</f>
        <v/>
      </c>
      <c r="H184" t="inlineStr">
        <is>
          <t>ASSI DI ROTAZIONE 1303, KIT OMEGA+pannelli, KIT INCLINOMETRO, kit quadro motore, kit quadri centralina meteo, kit quadri area, kit quadri inverter</t>
        </is>
      </c>
      <c r="I184" s="13" t="n">
        <v>15</v>
      </c>
    </row>
    <row r="185">
      <c r="A185" s="13" t="n">
        <v>181</v>
      </c>
      <c r="B185" t="inlineStr">
        <is>
          <t>10ROND10</t>
        </is>
      </c>
      <c r="C185" t="inlineStr">
        <is>
          <t>Rondella zn da 10</t>
        </is>
      </c>
      <c r="D185" t="inlineStr">
        <is>
          <t>Bulloneria e minuteria</t>
        </is>
      </c>
      <c r="E185" s="13" t="inlineStr">
        <is>
          <t>pz</t>
        </is>
      </c>
      <c r="F185" s="14">
        <f>IF(ISNUMBER(VLOOKUP($B185,'SCHEDA BULLONERIA'!$A$6:$D$400,3,FALSE)),VLOOKUP($B185,'SCHEDA BULLONERIA'!$A$6:$D$400,3,FALSE),"")</f>
        <v/>
      </c>
      <c r="G185" s="12">
        <f>IF($B185="","",IF(ISNUMBER(MATCH($B185,'SCHEDA STRUTTURA'!$A$17:$A$147,0)),IFERROR(VLOOKUP($B185,'SCHEDA STRUTTURA'!$A$17:$G$147,6,FALSE)*1,0)+IFERROR(VLOOKUP($B185,'SCHEDA STRUTTURA'!$A$17:$G$147,7,FALSE)*1,0),IF(ISNUMBER(MATCH($B185,'SCHEDA PEZZI SPECIALI'!$A$38:$A$59,0)),IFERROR(VLOOKUP($B185,'SCHEDA PEZZI SPECIALI'!$A$38:$F$59,5,FALSE)*1,0)+IFERROR(VLOOKUP($B185,'SCHEDA PEZZI SPECIALI'!$A$38:$F$59,6,FALSE)*1,0),IF(ISNUMBER(MATCH($B185,'SCHEDA ELETTROMECCANICA'!$A$5:$A$14,0)),IFERROR(VLOOKUP($B185,'SCHEDA ELETTROMECCANICA'!$A$5:$D$14,4,FALSE)*1,0),IF(ISNUMBER(MATCH($B185,'SCHEDA BULLONERIA'!$A$6:$A$36,0)),IFERROR(VLOOKUP($B185,'SCHEDA BULLONERIA'!$A$6:$D$36,4,FALSE)*1,0),"")))))</f>
        <v/>
      </c>
      <c r="H185" t="inlineStr">
        <is>
          <t>PILASTRO MOTORE, PILASTRO CUSCINETTO, ASSI DI ROTAZIONE 1303, KIT OMEGA+pannelli</t>
        </is>
      </c>
      <c r="I185" s="13" t="n">
        <v>25</v>
      </c>
    </row>
    <row r="186">
      <c r="A186" s="13" t="n">
        <v>182</v>
      </c>
      <c r="B186" t="inlineStr">
        <is>
          <t>10ROND16</t>
        </is>
      </c>
      <c r="C186" t="inlineStr">
        <is>
          <t>Rondella zn da 16</t>
        </is>
      </c>
      <c r="D186" t="inlineStr">
        <is>
          <t>Bulloneria e minuteria</t>
        </is>
      </c>
      <c r="E186" s="13" t="inlineStr">
        <is>
          <t>pz</t>
        </is>
      </c>
      <c r="F186" s="14">
        <f>IF(ISNUMBER(VLOOKUP($B186,'SCHEDA BULLONERIA'!$A$6:$D$400,3,FALSE)),VLOOKUP($B186,'SCHEDA BULLONERIA'!$A$6:$D$400,3,FALSE),"")</f>
        <v/>
      </c>
      <c r="G186" s="12">
        <f>IF($B186="","",IF(ISNUMBER(MATCH($B186,'SCHEDA STRUTTURA'!$A$17:$A$147,0)),IFERROR(VLOOKUP($B186,'SCHEDA STRUTTURA'!$A$17:$G$147,6,FALSE)*1,0)+IFERROR(VLOOKUP($B186,'SCHEDA STRUTTURA'!$A$17:$G$147,7,FALSE)*1,0),IF(ISNUMBER(MATCH($B186,'SCHEDA PEZZI SPECIALI'!$A$38:$A$59,0)),IFERROR(VLOOKUP($B186,'SCHEDA PEZZI SPECIALI'!$A$38:$F$59,5,FALSE)*1,0)+IFERROR(VLOOKUP($B186,'SCHEDA PEZZI SPECIALI'!$A$38:$F$59,6,FALSE)*1,0),IF(ISNUMBER(MATCH($B186,'SCHEDA ELETTROMECCANICA'!$A$5:$A$14,0)),IFERROR(VLOOKUP($B186,'SCHEDA ELETTROMECCANICA'!$A$5:$D$14,4,FALSE)*1,0),IF(ISNUMBER(MATCH($B186,'SCHEDA BULLONERIA'!$A$6:$A$36,0)),IFERROR(VLOOKUP($B186,'SCHEDA BULLONERIA'!$A$6:$D$36,4,FALSE)*1,0),"")))))</f>
        <v/>
      </c>
      <c r="H186" t="inlineStr">
        <is>
          <t>PILASTRO MOTORE, PILASTRO CUSCINETTO, KIT FINE CORSA</t>
        </is>
      </c>
      <c r="I186" s="13" t="n">
        <v>5</v>
      </c>
    </row>
    <row r="187">
      <c r="A187" s="13" t="n">
        <v>183</v>
      </c>
      <c r="B187" t="inlineStr">
        <is>
          <t>10ROND5</t>
        </is>
      </c>
      <c r="C187" t="inlineStr">
        <is>
          <t>Rondella ZN da 5</t>
        </is>
      </c>
      <c r="D187" t="inlineStr">
        <is>
          <t>Bulloneria e minuteria</t>
        </is>
      </c>
      <c r="E187" s="13" t="inlineStr">
        <is>
          <t>pz</t>
        </is>
      </c>
      <c r="F187" s="14">
        <f>IF(ISNUMBER(VLOOKUP($B187,'SCHEDA BULLONERIA'!$A$6:$D$400,3,FALSE)),VLOOKUP($B187,'SCHEDA BULLONERIA'!$A$6:$D$400,3,FALSE),"")</f>
        <v/>
      </c>
      <c r="G187" s="12">
        <f>IF($B187="","",IF(ISNUMBER(MATCH($B187,'SCHEDA STRUTTURA'!$A$17:$A$147,0)),IFERROR(VLOOKUP($B187,'SCHEDA STRUTTURA'!$A$17:$G$147,6,FALSE)*1,0)+IFERROR(VLOOKUP($B187,'SCHEDA STRUTTURA'!$A$17:$G$147,7,FALSE)*1,0),IF(ISNUMBER(MATCH($B187,'SCHEDA PEZZI SPECIALI'!$A$38:$A$59,0)),IFERROR(VLOOKUP($B187,'SCHEDA PEZZI SPECIALI'!$A$38:$F$59,5,FALSE)*1,0)+IFERROR(VLOOKUP($B187,'SCHEDA PEZZI SPECIALI'!$A$38:$F$59,6,FALSE)*1,0),IF(ISNUMBER(MATCH($B187,'SCHEDA ELETTROMECCANICA'!$A$5:$A$14,0)),IFERROR(VLOOKUP($B187,'SCHEDA ELETTROMECCANICA'!$A$5:$D$14,4,FALSE)*1,0),IF(ISNUMBER(MATCH($B187,'SCHEDA BULLONERIA'!$A$6:$A$36,0)),IFERROR(VLOOKUP($B187,'SCHEDA BULLONERIA'!$A$6:$D$36,4,FALSE)*1,0),"")))))</f>
        <v/>
      </c>
      <c r="H187" t="inlineStr">
        <is>
          <t>KIT FINE CORSA, KIT INCLINOMETRO, sensori meteo</t>
        </is>
      </c>
      <c r="I187" s="13" t="n">
        <v>6</v>
      </c>
    </row>
    <row r="188">
      <c r="A188" s="13" t="n">
        <v>184</v>
      </c>
      <c r="B188" t="inlineStr">
        <is>
          <t>10ROND6</t>
        </is>
      </c>
      <c r="C188" t="inlineStr">
        <is>
          <t>Rondella zn 6</t>
        </is>
      </c>
      <c r="D188" t="inlineStr">
        <is>
          <t>Bulloneria e minuteria</t>
        </is>
      </c>
      <c r="E188" s="13" t="inlineStr">
        <is>
          <t>pz</t>
        </is>
      </c>
      <c r="F188" s="14">
        <f>IF(ISNUMBER(VLOOKUP($B188,'SCHEDA BULLONERIA'!$A$6:$D$400,3,FALSE)),VLOOKUP($B188,'SCHEDA BULLONERIA'!$A$6:$D$400,3,FALSE),"")</f>
        <v/>
      </c>
      <c r="G188" s="12">
        <f>IF($B188="","",IF(ISNUMBER(MATCH($B188,'SCHEDA STRUTTURA'!$A$17:$A$147,0)),IFERROR(VLOOKUP($B188,'SCHEDA STRUTTURA'!$A$17:$G$147,6,FALSE)*1,0)+IFERROR(VLOOKUP($B188,'SCHEDA STRUTTURA'!$A$17:$G$147,7,FALSE)*1,0),IF(ISNUMBER(MATCH($B188,'SCHEDA PEZZI SPECIALI'!$A$38:$A$59,0)),IFERROR(VLOOKUP($B188,'SCHEDA PEZZI SPECIALI'!$A$38:$F$59,5,FALSE)*1,0)+IFERROR(VLOOKUP($B188,'SCHEDA PEZZI SPECIALI'!$A$38:$F$59,6,FALSE)*1,0),IF(ISNUMBER(MATCH($B188,'SCHEDA ELETTROMECCANICA'!$A$5:$A$14,0)),IFERROR(VLOOKUP($B188,'SCHEDA ELETTROMECCANICA'!$A$5:$D$14,4,FALSE)*1,0),IF(ISNUMBER(MATCH($B188,'SCHEDA BULLONERIA'!$A$6:$A$36,0)),IFERROR(VLOOKUP($B188,'SCHEDA BULLONERIA'!$A$6:$D$36,4,FALSE)*1,0),"")))))</f>
        <v/>
      </c>
      <c r="H188" t="inlineStr">
        <is>
          <t>KIT OMEGA+pannelli, KIT FINE CORSA, kit quadro motore, kit quadri centralina meteo, sensori meteo</t>
        </is>
      </c>
      <c r="I188" s="13" t="n">
        <v>10</v>
      </c>
    </row>
    <row r="189">
      <c r="A189" s="13" t="n">
        <v>185</v>
      </c>
      <c r="B189" t="inlineStr">
        <is>
          <t>10ROND8</t>
        </is>
      </c>
      <c r="C189" t="inlineStr">
        <is>
          <t>Rondella da 8 zn</t>
        </is>
      </c>
      <c r="D189" t="inlineStr">
        <is>
          <t>Bulloneria e minuteria</t>
        </is>
      </c>
      <c r="E189" s="13" t="inlineStr">
        <is>
          <t>pz</t>
        </is>
      </c>
      <c r="F189" s="14">
        <f>IF(ISNUMBER(VLOOKUP($B189,'SCHEDA BULLONERIA'!$A$6:$D$400,3,FALSE)),VLOOKUP($B189,'SCHEDA BULLONERIA'!$A$6:$D$400,3,FALSE),"")</f>
        <v/>
      </c>
      <c r="G189" s="12">
        <f>IF($B189="","",IF(ISNUMBER(MATCH($B189,'SCHEDA STRUTTURA'!$A$17:$A$147,0)),IFERROR(VLOOKUP($B189,'SCHEDA STRUTTURA'!$A$17:$G$147,6,FALSE)*1,0)+IFERROR(VLOOKUP($B189,'SCHEDA STRUTTURA'!$A$17:$G$147,7,FALSE)*1,0),IF(ISNUMBER(MATCH($B189,'SCHEDA PEZZI SPECIALI'!$A$38:$A$59,0)),IFERROR(VLOOKUP($B189,'SCHEDA PEZZI SPECIALI'!$A$38:$F$59,5,FALSE)*1,0)+IFERROR(VLOOKUP($B189,'SCHEDA PEZZI SPECIALI'!$A$38:$F$59,6,FALSE)*1,0),IF(ISNUMBER(MATCH($B189,'SCHEDA ELETTROMECCANICA'!$A$5:$A$14,0)),IFERROR(VLOOKUP($B189,'SCHEDA ELETTROMECCANICA'!$A$5:$D$14,4,FALSE)*1,0),IF(ISNUMBER(MATCH($B189,'SCHEDA BULLONERIA'!$A$6:$A$36,0)),IFERROR(VLOOKUP($B189,'SCHEDA BULLONERIA'!$A$6:$D$36,4,FALSE)*1,0),"")))))</f>
        <v/>
      </c>
      <c r="H189" t="inlineStr">
        <is>
          <t>ASSI DI ROTAZIONE 1303, KIT OMEGA+pannelli, KIT INCLINOMETRO, kit quadro motore, kit quadri centralina meteo, kit quadri area, kit quadri inverter</t>
        </is>
      </c>
      <c r="I189" s="13" t="n">
        <v>32</v>
      </c>
    </row>
    <row r="190">
      <c r="A190" s="13" t="n">
        <v>186</v>
      </c>
      <c r="B190" t="inlineStr">
        <is>
          <t>M5X30 8.8 ISO1207</t>
        </is>
      </c>
      <c r="C190" t="inlineStr">
        <is>
          <t>Bullone testa esagonale con intaglio M5x30</t>
        </is>
      </c>
      <c r="D190" t="inlineStr">
        <is>
          <t>Bulloneria e minuteria</t>
        </is>
      </c>
      <c r="E190" s="13" t="inlineStr">
        <is>
          <t>pz</t>
        </is>
      </c>
      <c r="F190" s="14">
        <f>IF(ISNUMBER(VLOOKUP($B190,'SCHEDA BULLONERIA'!$A$6:$D$400,3,FALSE)),VLOOKUP($B190,'SCHEDA BULLONERIA'!$A$6:$D$400,3,FALSE),"")</f>
        <v/>
      </c>
      <c r="G190" s="12">
        <f>IF($B190="","",IF(ISNUMBER(MATCH($B190,'SCHEDA STRUTTURA'!$A$17:$A$147,0)),IFERROR(VLOOKUP($B190,'SCHEDA STRUTTURA'!$A$17:$G$147,6,FALSE)*1,0)+IFERROR(VLOOKUP($B190,'SCHEDA STRUTTURA'!$A$17:$G$147,7,FALSE)*1,0),IF(ISNUMBER(MATCH($B190,'SCHEDA PEZZI SPECIALI'!$A$38:$A$59,0)),IFERROR(VLOOKUP($B190,'SCHEDA PEZZI SPECIALI'!$A$38:$F$59,5,FALSE)*1,0)+IFERROR(VLOOKUP($B190,'SCHEDA PEZZI SPECIALI'!$A$38:$F$59,6,FALSE)*1,0),IF(ISNUMBER(MATCH($B190,'SCHEDA ELETTROMECCANICA'!$A$5:$A$14,0)),IFERROR(VLOOKUP($B190,'SCHEDA ELETTROMECCANICA'!$A$5:$D$14,4,FALSE)*1,0),IF(ISNUMBER(MATCH($B190,'SCHEDA BULLONERIA'!$A$6:$A$36,0)),IFERROR(VLOOKUP($B190,'SCHEDA BULLONERIA'!$A$6:$D$36,4,FALSE)*1,0),"")))))</f>
        <v/>
      </c>
      <c r="H190" t="inlineStr">
        <is>
          <t>KIT INCLINOMETRO</t>
        </is>
      </c>
      <c r="I190" s="13" t="n">
        <v>1</v>
      </c>
    </row>
    <row r="191">
      <c r="A191" s="13" t="n">
        <v>187</v>
      </c>
      <c r="B191" t="inlineStr">
        <is>
          <t>CHSD7-60-S112-24.15.300-L1.2</t>
        </is>
      </c>
      <c r="C191" t="inlineStr">
        <is>
          <t>Motoriduttore</t>
        </is>
      </c>
      <c r="D191" t="inlineStr">
        <is>
          <t>Motorizzazione</t>
        </is>
      </c>
      <c r="E191" s="13" t="inlineStr">
        <is>
          <t>pz</t>
        </is>
      </c>
      <c r="F191" s="14">
        <f>IF(ISNUMBER(VLOOKUP($B191,'SCHEDA ELETTROMECCANICA'!$A$5:$D$400,3,FALSE)),VLOOKUP($B191,'SCHEDA ELETTROMECCANICA'!$A$5:$D$400,3,FALSE),"")</f>
        <v/>
      </c>
      <c r="G191" s="12">
        <f>IF($B191="","",IF(ISNUMBER(MATCH($B191,'SCHEDA STRUTTURA'!$A$17:$A$147,0)),IFERROR(VLOOKUP($B191,'SCHEDA STRUTTURA'!$A$17:$G$147,6,FALSE)*1,0)+IFERROR(VLOOKUP($B191,'SCHEDA STRUTTURA'!$A$17:$G$147,7,FALSE)*1,0),IF(ISNUMBER(MATCH($B191,'SCHEDA PEZZI SPECIALI'!$A$38:$A$59,0)),IFERROR(VLOOKUP($B191,'SCHEDA PEZZI SPECIALI'!$A$38:$F$59,5,FALSE)*1,0)+IFERROR(VLOOKUP($B191,'SCHEDA PEZZI SPECIALI'!$A$38:$F$59,6,FALSE)*1,0),IF(ISNUMBER(MATCH($B191,'SCHEDA ELETTROMECCANICA'!$A$5:$A$14,0)),IFERROR(VLOOKUP($B191,'SCHEDA ELETTROMECCANICA'!$A$5:$D$14,4,FALSE)*1,0),IF(ISNUMBER(MATCH($B191,'SCHEDA BULLONERIA'!$A$6:$A$36,0)),IFERROR(VLOOKUP($B191,'SCHEDA BULLONERIA'!$A$6:$D$36,4,FALSE)*1,0),"")))))</f>
        <v/>
      </c>
      <c r="H191" t="inlineStr">
        <is>
          <t>PILASTRO MOTORE</t>
        </is>
      </c>
      <c r="I191" s="13" t="n">
        <v>1</v>
      </c>
    </row>
    <row r="192">
      <c r="A192" s="13" t="n">
        <v>188</v>
      </c>
      <c r="B192" t="inlineStr">
        <is>
          <t>ESQM_2_0_120_1</t>
        </is>
      </c>
      <c r="C192" t="inlineStr">
        <is>
          <t>Cuscinetto asse di rotazione</t>
        </is>
      </c>
      <c r="D192" t="inlineStr">
        <is>
          <t>Cuscinetti</t>
        </is>
      </c>
      <c r="E192" s="13" t="inlineStr">
        <is>
          <t>pz</t>
        </is>
      </c>
      <c r="F192" s="14">
        <f>IF(ISNUMBER(VLOOKUP($B192,'SCHEDA ELETTROMECCANICA'!$A$5:$D$400,3,FALSE)),VLOOKUP($B192,'SCHEDA ELETTROMECCANICA'!$A$5:$D$400,3,FALSE),"")</f>
        <v/>
      </c>
      <c r="G192" s="12">
        <f>IF($B192="","",IF(ISNUMBER(MATCH($B192,'SCHEDA STRUTTURA'!$A$17:$A$147,0)),IFERROR(VLOOKUP($B192,'SCHEDA STRUTTURA'!$A$17:$G$147,6,FALSE)*1,0)+IFERROR(VLOOKUP($B192,'SCHEDA STRUTTURA'!$A$17:$G$147,7,FALSE)*1,0),IF(ISNUMBER(MATCH($B192,'SCHEDA PEZZI SPECIALI'!$A$38:$A$59,0)),IFERROR(VLOOKUP($B192,'SCHEDA PEZZI SPECIALI'!$A$38:$F$59,5,FALSE)*1,0)+IFERROR(VLOOKUP($B192,'SCHEDA PEZZI SPECIALI'!$A$38:$F$59,6,FALSE)*1,0),IF(ISNUMBER(MATCH($B192,'SCHEDA ELETTROMECCANICA'!$A$5:$A$14,0)),IFERROR(VLOOKUP($B192,'SCHEDA ELETTROMECCANICA'!$A$5:$D$14,4,FALSE)*1,0),IF(ISNUMBER(MATCH($B192,'SCHEDA BULLONERIA'!$A$6:$A$36,0)),IFERROR(VLOOKUP($B192,'SCHEDA BULLONERIA'!$A$6:$D$36,4,FALSE)*1,0),"")))))</f>
        <v/>
      </c>
      <c r="H192" t="inlineStr">
        <is>
          <t>PILASTRO CUSCINETTO</t>
        </is>
      </c>
      <c r="I192" s="13" t="n">
        <v>1</v>
      </c>
    </row>
    <row r="193">
      <c r="A193" s="13" t="n">
        <v>189</v>
      </c>
      <c r="B193" t="inlineStr">
        <is>
          <t>15T-JUNCTBOXIP65</t>
        </is>
      </c>
      <c r="C193" t="inlineStr">
        <is>
          <t>Box centralina meteo</t>
        </is>
      </c>
      <c r="D193" t="inlineStr">
        <is>
          <t>Quadristica ed elettrico</t>
        </is>
      </c>
      <c r="E193" s="13" t="inlineStr">
        <is>
          <t>pz</t>
        </is>
      </c>
      <c r="F193" s="14">
        <f>IF(ISNUMBER(VLOOKUP($B193,'SCHEDA ELETTROMECCANICA'!$A$5:$D$400,3,FALSE)),VLOOKUP($B193,'SCHEDA ELETTROMECCANICA'!$A$5:$D$400,3,FALSE),"")</f>
        <v/>
      </c>
      <c r="G193" s="12">
        <f>IF($B193="","",IF(ISNUMBER(MATCH($B193,'SCHEDA STRUTTURA'!$A$17:$A$147,0)),IFERROR(VLOOKUP($B193,'SCHEDA STRUTTURA'!$A$17:$G$147,6,FALSE)*1,0)+IFERROR(VLOOKUP($B193,'SCHEDA STRUTTURA'!$A$17:$G$147,7,FALSE)*1,0),IF(ISNUMBER(MATCH($B193,'SCHEDA PEZZI SPECIALI'!$A$38:$A$59,0)),IFERROR(VLOOKUP($B193,'SCHEDA PEZZI SPECIALI'!$A$38:$F$59,5,FALSE)*1,0)+IFERROR(VLOOKUP($B193,'SCHEDA PEZZI SPECIALI'!$A$38:$F$59,6,FALSE)*1,0),IF(ISNUMBER(MATCH($B193,'SCHEDA ELETTROMECCANICA'!$A$5:$A$14,0)),IFERROR(VLOOKUP($B193,'SCHEDA ELETTROMECCANICA'!$A$5:$D$14,4,FALSE)*1,0),IF(ISNUMBER(MATCH($B193,'SCHEDA BULLONERIA'!$A$6:$A$36,0)),IFERROR(VLOOKUP($B193,'SCHEDA BULLONERIA'!$A$6:$D$36,4,FALSE)*1,0),"")))))</f>
        <v/>
      </c>
      <c r="H193" t="inlineStr">
        <is>
          <t>kit quadri centralina meteo</t>
        </is>
      </c>
      <c r="I193" s="13" t="n">
        <v>1</v>
      </c>
    </row>
    <row r="194">
      <c r="A194" s="13" t="n">
        <v>190</v>
      </c>
      <c r="B194" t="inlineStr">
        <is>
          <t>B04601</t>
        </is>
      </c>
      <c r="C194" t="inlineStr">
        <is>
          <t>Quadro in vetroresina Pedro VTR 01</t>
        </is>
      </c>
      <c r="D194" t="inlineStr">
        <is>
          <t>Quadristica ed elettrico</t>
        </is>
      </c>
      <c r="E194" s="13" t="inlineStr">
        <is>
          <t>pz</t>
        </is>
      </c>
      <c r="F194" s="14">
        <f>IF(ISNUMBER(VLOOKUP($B194,'SCHEDA ELETTROMECCANICA'!$A$5:$D$400,3,FALSE)),VLOOKUP($B194,'SCHEDA ELETTROMECCANICA'!$A$5:$D$400,3,FALSE),"")</f>
        <v/>
      </c>
      <c r="G194" s="12">
        <f>IF($B194="","",IF(ISNUMBER(MATCH($B194,'SCHEDA STRUTTURA'!$A$17:$A$147,0)),IFERROR(VLOOKUP($B194,'SCHEDA STRUTTURA'!$A$17:$G$147,6,FALSE)*1,0)+IFERROR(VLOOKUP($B194,'SCHEDA STRUTTURA'!$A$17:$G$147,7,FALSE)*1,0),IF(ISNUMBER(MATCH($B194,'SCHEDA PEZZI SPECIALI'!$A$38:$A$59,0)),IFERROR(VLOOKUP($B194,'SCHEDA PEZZI SPECIALI'!$A$38:$F$59,5,FALSE)*1,0)+IFERROR(VLOOKUP($B194,'SCHEDA PEZZI SPECIALI'!$A$38:$F$59,6,FALSE)*1,0),IF(ISNUMBER(MATCH($B194,'SCHEDA ELETTROMECCANICA'!$A$5:$A$14,0)),IFERROR(VLOOKUP($B194,'SCHEDA ELETTROMECCANICA'!$A$5:$D$14,4,FALSE)*1,0),IF(ISNUMBER(MATCH($B194,'SCHEDA BULLONERIA'!$A$6:$A$36,0)),IFERROR(VLOOKUP($B194,'SCHEDA BULLONERIA'!$A$6:$D$36,4,FALSE)*1,0),"")))))</f>
        <v/>
      </c>
      <c r="H194" t="inlineStr">
        <is>
          <t>kit quadro motore, kit quadri centralina meteo</t>
        </is>
      </c>
      <c r="I194" s="13" t="n">
        <v>3</v>
      </c>
    </row>
    <row r="195">
      <c r="A195" s="13" t="n">
        <v>191</v>
      </c>
      <c r="B195" t="inlineStr">
        <is>
          <t>10S-FC</t>
        </is>
      </c>
      <c r="C195" t="inlineStr">
        <is>
          <t>Sensore fine corsa elettrico</t>
        </is>
      </c>
      <c r="D195" t="inlineStr">
        <is>
          <t>Sensoristica e strumentazione</t>
        </is>
      </c>
      <c r="E195" s="13" t="inlineStr">
        <is>
          <t>pz</t>
        </is>
      </c>
      <c r="F195" s="14">
        <f>IF(ISNUMBER(VLOOKUP($B195,'SCHEDA ELETTROMECCANICA'!$A$5:$D$400,3,FALSE)),VLOOKUP($B195,'SCHEDA ELETTROMECCANICA'!$A$5:$D$400,3,FALSE),"")</f>
        <v/>
      </c>
      <c r="G195" s="12">
        <f>IF($B195="","",IF(ISNUMBER(MATCH($B195,'SCHEDA STRUTTURA'!$A$17:$A$147,0)),IFERROR(VLOOKUP($B195,'SCHEDA STRUTTURA'!$A$17:$G$147,6,FALSE)*1,0)+IFERROR(VLOOKUP($B195,'SCHEDA STRUTTURA'!$A$17:$G$147,7,FALSE)*1,0),IF(ISNUMBER(MATCH($B195,'SCHEDA PEZZI SPECIALI'!$A$38:$A$59,0)),IFERROR(VLOOKUP($B195,'SCHEDA PEZZI SPECIALI'!$A$38:$F$59,5,FALSE)*1,0)+IFERROR(VLOOKUP($B195,'SCHEDA PEZZI SPECIALI'!$A$38:$F$59,6,FALSE)*1,0),IF(ISNUMBER(MATCH($B195,'SCHEDA ELETTROMECCANICA'!$A$5:$A$14,0)),IFERROR(VLOOKUP($B195,'SCHEDA ELETTROMECCANICA'!$A$5:$D$14,4,FALSE)*1,0),IF(ISNUMBER(MATCH($B195,'SCHEDA BULLONERIA'!$A$6:$A$36,0)),IFERROR(VLOOKUP($B195,'SCHEDA BULLONERIA'!$A$6:$D$36,4,FALSE)*1,0),"")))))</f>
        <v/>
      </c>
      <c r="H195" t="inlineStr">
        <is>
          <t>KIT FINE CORSA</t>
        </is>
      </c>
      <c r="I195" s="13" t="n">
        <v>1</v>
      </c>
    </row>
    <row r="196">
      <c r="A196" s="13" t="n">
        <v>192</v>
      </c>
      <c r="B196" t="inlineStr">
        <is>
          <t>15T-PIRANOMETRO</t>
        </is>
      </c>
      <c r="C196" t="inlineStr">
        <is>
          <t>Piranometro</t>
        </is>
      </c>
      <c r="D196" t="inlineStr">
        <is>
          <t>Sensoristica e strumentazione</t>
        </is>
      </c>
      <c r="E196" s="13" t="inlineStr">
        <is>
          <t>pz</t>
        </is>
      </c>
      <c r="F196" s="14">
        <f>IF(ISNUMBER(VLOOKUP($B196,'SCHEDA ELETTROMECCANICA'!$A$5:$D$400,3,FALSE)),VLOOKUP($B196,'SCHEDA ELETTROMECCANICA'!$A$5:$D$400,3,FALSE),"")</f>
        <v/>
      </c>
      <c r="G196" s="12">
        <f>IF($B196="","",IF(ISNUMBER(MATCH($B196,'SCHEDA STRUTTURA'!$A$17:$A$147,0)),IFERROR(VLOOKUP($B196,'SCHEDA STRUTTURA'!$A$17:$G$147,6,FALSE)*1,0)+IFERROR(VLOOKUP($B196,'SCHEDA STRUTTURA'!$A$17:$G$147,7,FALSE)*1,0),IF(ISNUMBER(MATCH($B196,'SCHEDA PEZZI SPECIALI'!$A$38:$A$59,0)),IFERROR(VLOOKUP($B196,'SCHEDA PEZZI SPECIALI'!$A$38:$F$59,5,FALSE)*1,0)+IFERROR(VLOOKUP($B196,'SCHEDA PEZZI SPECIALI'!$A$38:$F$59,6,FALSE)*1,0),IF(ISNUMBER(MATCH($B196,'SCHEDA ELETTROMECCANICA'!$A$5:$A$14,0)),IFERROR(VLOOKUP($B196,'SCHEDA ELETTROMECCANICA'!$A$5:$D$14,4,FALSE)*1,0),IF(ISNUMBER(MATCH($B196,'SCHEDA BULLONERIA'!$A$6:$A$36,0)),IFERROR(VLOOKUP($B196,'SCHEDA BULLONERIA'!$A$6:$D$36,4,FALSE)*1,0),"")))))</f>
        <v/>
      </c>
      <c r="H196" t="inlineStr">
        <is>
          <t>sensori meteo</t>
        </is>
      </c>
      <c r="I196" s="13" t="n">
        <v>1</v>
      </c>
    </row>
    <row r="197">
      <c r="A197" s="13" t="n">
        <v>193</v>
      </c>
      <c r="B197" t="inlineStr">
        <is>
          <t>15T-SENSVELVEN</t>
        </is>
      </c>
      <c r="C197" t="inlineStr">
        <is>
          <t>Anemometro</t>
        </is>
      </c>
      <c r="D197" t="inlineStr">
        <is>
          <t>Sensoristica e strumentazione</t>
        </is>
      </c>
      <c r="E197" s="13" t="inlineStr">
        <is>
          <t>pz</t>
        </is>
      </c>
      <c r="F197" s="14">
        <f>IF(ISNUMBER(VLOOKUP($B197,'SCHEDA ELETTROMECCANICA'!$A$5:$D$400,3,FALSE)),VLOOKUP($B197,'SCHEDA ELETTROMECCANICA'!$A$5:$D$400,3,FALSE),"")</f>
        <v/>
      </c>
      <c r="G197" s="12">
        <f>IF($B197="","",IF(ISNUMBER(MATCH($B197,'SCHEDA STRUTTURA'!$A$17:$A$147,0)),IFERROR(VLOOKUP($B197,'SCHEDA STRUTTURA'!$A$17:$G$147,6,FALSE)*1,0)+IFERROR(VLOOKUP($B197,'SCHEDA STRUTTURA'!$A$17:$G$147,7,FALSE)*1,0),IF(ISNUMBER(MATCH($B197,'SCHEDA PEZZI SPECIALI'!$A$38:$A$59,0)),IFERROR(VLOOKUP($B197,'SCHEDA PEZZI SPECIALI'!$A$38:$F$59,5,FALSE)*1,0)+IFERROR(VLOOKUP($B197,'SCHEDA PEZZI SPECIALI'!$A$38:$F$59,6,FALSE)*1,0),IF(ISNUMBER(MATCH($B197,'SCHEDA ELETTROMECCANICA'!$A$5:$A$14,0)),IFERROR(VLOOKUP($B197,'SCHEDA ELETTROMECCANICA'!$A$5:$D$14,4,FALSE)*1,0),IF(ISNUMBER(MATCH($B197,'SCHEDA BULLONERIA'!$A$6:$A$36,0)),IFERROR(VLOOKUP($B197,'SCHEDA BULLONERIA'!$A$6:$D$36,4,FALSE)*1,0),"")))))</f>
        <v/>
      </c>
      <c r="H197" t="inlineStr">
        <is>
          <t>sensori meteo</t>
        </is>
      </c>
      <c r="I197" s="13" t="n">
        <v>1</v>
      </c>
    </row>
    <row r="198">
      <c r="A198" s="13" t="n">
        <v>194</v>
      </c>
      <c r="B198" t="inlineStr">
        <is>
          <t>15T-TERMARIA</t>
        </is>
      </c>
      <c r="C198" t="inlineStr">
        <is>
          <t>Termometro Aria_ mSTA.l</t>
        </is>
      </c>
      <c r="D198" t="inlineStr">
        <is>
          <t>Sensoristica e strumentazione</t>
        </is>
      </c>
      <c r="E198" s="13" t="inlineStr">
        <is>
          <t>pz</t>
        </is>
      </c>
      <c r="F198" s="14">
        <f>IF(ISNUMBER(VLOOKUP($B198,'SCHEDA ELETTROMECCANICA'!$A$5:$D$400,3,FALSE)),VLOOKUP($B198,'SCHEDA ELETTROMECCANICA'!$A$5:$D$400,3,FALSE),"")</f>
        <v/>
      </c>
      <c r="G198" s="12">
        <f>IF($B198="","",IF(ISNUMBER(MATCH($B198,'SCHEDA STRUTTURA'!$A$17:$A$147,0)),IFERROR(VLOOKUP($B198,'SCHEDA STRUTTURA'!$A$17:$G$147,6,FALSE)*1,0)+IFERROR(VLOOKUP($B198,'SCHEDA STRUTTURA'!$A$17:$G$147,7,FALSE)*1,0),IF(ISNUMBER(MATCH($B198,'SCHEDA PEZZI SPECIALI'!$A$38:$A$59,0)),IFERROR(VLOOKUP($B198,'SCHEDA PEZZI SPECIALI'!$A$38:$F$59,5,FALSE)*1,0)+IFERROR(VLOOKUP($B198,'SCHEDA PEZZI SPECIALI'!$A$38:$F$59,6,FALSE)*1,0),IF(ISNUMBER(MATCH($B198,'SCHEDA ELETTROMECCANICA'!$A$5:$A$14,0)),IFERROR(VLOOKUP($B198,'SCHEDA ELETTROMECCANICA'!$A$5:$D$14,4,FALSE)*1,0),IF(ISNUMBER(MATCH($B198,'SCHEDA BULLONERIA'!$A$6:$A$36,0)),IFERROR(VLOOKUP($B198,'SCHEDA BULLONERIA'!$A$6:$D$36,4,FALSE)*1,0),"")))))</f>
        <v/>
      </c>
      <c r="H198" t="inlineStr">
        <is>
          <t>sensori meteo</t>
        </is>
      </c>
      <c r="I198" s="13" t="n">
        <v>1</v>
      </c>
    </row>
    <row r="199">
      <c r="A199" s="13" t="n">
        <v>195</v>
      </c>
      <c r="B199" t="inlineStr">
        <is>
          <t>15T-TERMCONTP10</t>
        </is>
      </c>
      <c r="C199" t="inlineStr">
        <is>
          <t>Termometro a contatto P100_STC-i</t>
        </is>
      </c>
      <c r="D199" t="inlineStr">
        <is>
          <t>Sensoristica e strumentazione</t>
        </is>
      </c>
      <c r="E199" s="13" t="inlineStr">
        <is>
          <t>pz</t>
        </is>
      </c>
      <c r="F199" s="14">
        <f>IF(ISNUMBER(VLOOKUP($B199,'SCHEDA ELETTROMECCANICA'!$A$5:$D$400,3,FALSE)),VLOOKUP($B199,'SCHEDA ELETTROMECCANICA'!$A$5:$D$400,3,FALSE),"")</f>
        <v/>
      </c>
      <c r="G199" s="12">
        <f>IF($B199="","",IF(ISNUMBER(MATCH($B199,'SCHEDA STRUTTURA'!$A$17:$A$147,0)),IFERROR(VLOOKUP($B199,'SCHEDA STRUTTURA'!$A$17:$G$147,6,FALSE)*1,0)+IFERROR(VLOOKUP($B199,'SCHEDA STRUTTURA'!$A$17:$G$147,7,FALSE)*1,0),IF(ISNUMBER(MATCH($B199,'SCHEDA PEZZI SPECIALI'!$A$38:$A$59,0)),IFERROR(VLOOKUP($B199,'SCHEDA PEZZI SPECIALI'!$A$38:$F$59,5,FALSE)*1,0)+IFERROR(VLOOKUP($B199,'SCHEDA PEZZI SPECIALI'!$A$38:$F$59,6,FALSE)*1,0),IF(ISNUMBER(MATCH($B199,'SCHEDA ELETTROMECCANICA'!$A$5:$A$14,0)),IFERROR(VLOOKUP($B199,'SCHEDA ELETTROMECCANICA'!$A$5:$D$14,4,FALSE)*1,0),IF(ISNUMBER(MATCH($B199,'SCHEDA BULLONERIA'!$A$6:$A$36,0)),IFERROR(VLOOKUP($B199,'SCHEDA BULLONERIA'!$A$6:$D$36,4,FALSE)*1,0),"")))))</f>
        <v/>
      </c>
      <c r="H199" t="inlineStr">
        <is>
          <t>sensori meteo</t>
        </is>
      </c>
      <c r="I199" s="13" t="n">
        <v>1</v>
      </c>
    </row>
    <row r="200">
      <c r="A200" s="13" t="n">
        <v>196</v>
      </c>
      <c r="B200" t="inlineStr">
        <is>
          <t>TK1024S</t>
        </is>
      </c>
      <c r="C200" t="inlineStr">
        <is>
          <t>Inclinometro</t>
        </is>
      </c>
      <c r="D200" t="inlineStr">
        <is>
          <t>Sensoristica e strumentazione</t>
        </is>
      </c>
      <c r="E200" s="13" t="inlineStr">
        <is>
          <t>pz</t>
        </is>
      </c>
      <c r="F200" s="14">
        <f>IF(ISNUMBER(VLOOKUP($B200,'SCHEDA ELETTROMECCANICA'!$A$5:$D$400,3,FALSE)),VLOOKUP($B200,'SCHEDA ELETTROMECCANICA'!$A$5:$D$400,3,FALSE),"")</f>
        <v/>
      </c>
      <c r="G200" s="12">
        <f>IF($B200="","",IF(ISNUMBER(MATCH($B200,'SCHEDA STRUTTURA'!$A$17:$A$147,0)),IFERROR(VLOOKUP($B200,'SCHEDA STRUTTURA'!$A$17:$G$147,6,FALSE)*1,0)+IFERROR(VLOOKUP($B200,'SCHEDA STRUTTURA'!$A$17:$G$147,7,FALSE)*1,0),IF(ISNUMBER(MATCH($B200,'SCHEDA PEZZI SPECIALI'!$A$38:$A$59,0)),IFERROR(VLOOKUP($B200,'SCHEDA PEZZI SPECIALI'!$A$38:$F$59,5,FALSE)*1,0)+IFERROR(VLOOKUP($B200,'SCHEDA PEZZI SPECIALI'!$A$38:$F$59,6,FALSE)*1,0),IF(ISNUMBER(MATCH($B200,'SCHEDA ELETTROMECCANICA'!$A$5:$A$14,0)),IFERROR(VLOOKUP($B200,'SCHEDA ELETTROMECCANICA'!$A$5:$D$14,4,FALSE)*1,0),IF(ISNUMBER(MATCH($B200,'SCHEDA BULLONERIA'!$A$6:$A$36,0)),IFERROR(VLOOKUP($B200,'SCHEDA BULLONERIA'!$A$6:$D$36,4,FALSE)*1,0),"")))))</f>
        <v/>
      </c>
      <c r="H200" t="inlineStr">
        <is>
          <t>KIT INCLINOMETRO</t>
        </is>
      </c>
      <c r="I200" s="13" t="n">
        <v>1</v>
      </c>
    </row>
    <row r="201">
      <c r="A201" s="13" t="n">
        <v>197</v>
      </c>
      <c r="C201" t="inlineStr">
        <is>
          <t>Pannellino fotovoltaico optional</t>
        </is>
      </c>
      <c r="D201" t="inlineStr">
        <is>
          <t>Moduli fotovoltaici</t>
        </is>
      </c>
      <c r="E201" s="13" t="inlineStr">
        <is>
          <t>pz</t>
        </is>
      </c>
      <c r="F201" s="14" t="n"/>
      <c r="G201" s="12" t="n"/>
      <c r="I201" s="13" t="n"/>
    </row>
    <row r="202">
      <c r="A202" s="13" t="n">
        <v>198</v>
      </c>
      <c r="C202" t="inlineStr">
        <is>
          <t>Pannello fotovoltaico</t>
        </is>
      </c>
      <c r="D202" t="inlineStr">
        <is>
          <t>Moduli fotovoltaici</t>
        </is>
      </c>
      <c r="E202" s="13" t="inlineStr">
        <is>
          <t>pz</t>
        </is>
      </c>
      <c r="F202" s="14" t="n"/>
      <c r="G202" s="12" t="n"/>
      <c r="I202" s="13" t="n"/>
    </row>
  </sheetData>
  <autoFilter ref="A4:I202"/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R346"/>
  <sheetViews>
    <sheetView tabSelected="1" topLeftCell="C1" workbookViewId="0">
      <pane ySplit="1" topLeftCell="A171" activePane="bottomLeft" state="frozen"/>
      <selection pane="bottomLeft" activeCell="H216" sqref="H216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9.88671875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 hidden="1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 hidden="1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 hidden="1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 hidden="1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 hidden="1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 hidden="1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 hidden="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 hidden="1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 hidden="1">
      <c r="A74" s="4" t="inlineStr">
        <is>
          <t>PILASTRO MOTORE</t>
        </is>
      </c>
      <c r="B74" s="4" t="n"/>
      <c r="C74" s="11" t="n">
        <v>3</v>
      </c>
      <c r="D74" s="4" t="inlineStr">
        <is>
          <t>10BZM10X40</t>
        </is>
      </c>
      <c r="E74" s="4" t="inlineStr">
        <is>
          <t>Bullone testa esagonale M10X40</t>
        </is>
      </c>
      <c r="F74" s="4" t="inlineStr">
        <is>
          <t>Bulloneria e minuteria</t>
        </is>
      </c>
      <c r="G74" s="11" t="n">
        <v>8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 hidden="1">
      <c r="A75" s="4" t="inlineStr">
        <is>
          <t>PILASTRO MOTORE</t>
        </is>
      </c>
      <c r="B75" s="4" t="n"/>
      <c r="C75" s="11" t="n">
        <v>4</v>
      </c>
      <c r="D75" s="4" t="inlineStr">
        <is>
          <t>10ROND10</t>
        </is>
      </c>
      <c r="E75" s="4" t="inlineStr">
        <is>
          <t>Rondella zn da 10</t>
        </is>
      </c>
      <c r="F75" s="4" t="inlineStr">
        <is>
          <t>Bulloneria e minuteria</t>
        </is>
      </c>
      <c r="G75" s="11" t="n">
        <v>16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 hidden="1">
      <c r="A76" s="4" t="inlineStr">
        <is>
          <t>PILASTRO MOTORE</t>
        </is>
      </c>
      <c r="B76" s="4" t="n"/>
      <c r="C76" s="11" t="n">
        <v>5</v>
      </c>
      <c r="D76" s="4" t="inlineStr">
        <is>
          <t>10DAZAM10</t>
        </is>
      </c>
      <c r="E76" s="4" t="inlineStr">
        <is>
          <t>Dado autobloccante M10</t>
        </is>
      </c>
      <c r="F76" s="4" t="inlineStr">
        <is>
          <t>Bulloneria e minuteria</t>
        </is>
      </c>
      <c r="G76" s="11" t="n">
        <v>8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 hidden="1">
      <c r="A77" s="4" t="inlineStr">
        <is>
          <t>PILASTRO MOTORE</t>
        </is>
      </c>
      <c r="B77" s="4" t="n"/>
      <c r="C77" s="11" t="n">
        <v>2</v>
      </c>
      <c r="D77" s="4" t="inlineStr">
        <is>
          <t>CHSD7-60-S112-24.15.300-L1.2</t>
        </is>
      </c>
      <c r="E77" s="4" t="inlineStr">
        <is>
          <t>Motoriduttore</t>
        </is>
      </c>
      <c r="F77" s="4" t="inlineStr">
        <is>
          <t>Motorizzazione</t>
        </is>
      </c>
      <c r="G77" s="11" t="n">
        <v>1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 hidden="1">
      <c r="A78" s="4" t="inlineStr">
        <is>
          <t>PILASTRO MOTORE</t>
        </is>
      </c>
      <c r="B78" s="4" t="n"/>
      <c r="C78" s="11" t="n">
        <v>3</v>
      </c>
      <c r="D78" s="4" t="inlineStr">
        <is>
          <t>10BZM16X60</t>
        </is>
      </c>
      <c r="E78" s="4" t="inlineStr">
        <is>
          <t>Bullone testa esagonale M16X60</t>
        </is>
      </c>
      <c r="F78" s="4" t="inlineStr">
        <is>
          <t>Bulloneria e minuteria</t>
        </is>
      </c>
      <c r="G78" s="11" t="n">
        <v>4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 hidden="1">
      <c r="A79" s="4" t="inlineStr">
        <is>
          <t>PILASTRO MOTORE</t>
        </is>
      </c>
      <c r="B79" s="4" t="n"/>
      <c r="C79" s="11" t="n">
        <v>4</v>
      </c>
      <c r="D79" s="4" t="inlineStr">
        <is>
          <t>10ROND16</t>
        </is>
      </c>
      <c r="E79" s="4" t="inlineStr">
        <is>
          <t>Rondella zn da 16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1</v>
      </c>
      <c r="D80" s="4" t="inlineStr">
        <is>
          <t>TTS.PM.003.IPE140</t>
        </is>
      </c>
      <c r="E80" s="4" t="inlineStr">
        <is>
          <t>Testa riduttore pilastro motore</t>
        </is>
      </c>
      <c r="F80" s="4" t="inlineStr">
        <is>
          <t>Carpenteria metallica</t>
        </is>
      </c>
      <c r="G80" s="11" t="n">
        <v>1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 hidden="1">
      <c r="A81" s="4" t="inlineStr">
        <is>
          <t>PILASTRO MOTORE</t>
        </is>
      </c>
      <c r="B81" s="4" t="n"/>
      <c r="C81" s="11" t="n">
        <v>5</v>
      </c>
      <c r="D81" s="4" t="inlineStr">
        <is>
          <t>10ROND16</t>
        </is>
      </c>
      <c r="E81" s="4" t="inlineStr">
        <is>
          <t>Rondella zn da 16</t>
        </is>
      </c>
      <c r="F81" s="4" t="inlineStr">
        <is>
          <t>Bulloneria e minuteria</t>
        </is>
      </c>
      <c r="G81" s="11" t="n">
        <v>4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 hidden="1">
      <c r="A82" s="4" t="inlineStr">
        <is>
          <t>PILASTRO MOTORE</t>
        </is>
      </c>
      <c r="B82" s="4" t="n"/>
      <c r="C82" s="11" t="n">
        <v>6</v>
      </c>
      <c r="D82" s="4" t="inlineStr">
        <is>
          <t>10DAZAM16</t>
        </is>
      </c>
      <c r="E82" s="4" t="inlineStr">
        <is>
          <t>Dado autobloccante M16</t>
        </is>
      </c>
      <c r="F82" s="4" t="inlineStr">
        <is>
          <t>Bulloneria e minuteria</t>
        </is>
      </c>
      <c r="G82" s="11" t="n">
        <v>4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CUSCINETTO</t>
        </is>
      </c>
      <c r="B83" s="4" t="n"/>
      <c r="C83" s="11" t="n">
        <v>1</v>
      </c>
      <c r="D83" s="4" t="inlineStr">
        <is>
          <t>TTS.PF.001.IPE140.30</t>
        </is>
      </c>
      <c r="E83" s="4" t="inlineStr">
        <is>
          <t>Pilastro fondazione trave IPE140 mt3,00</t>
        </is>
      </c>
      <c r="F83" s="4" t="inlineStr">
        <is>
          <t>Carpenteria metallica</t>
        </is>
      </c>
      <c r="G83" s="11" t="n">
        <v>1</v>
      </c>
      <c r="H83" s="11" t="n">
        <v>2</v>
      </c>
      <c r="I83" s="11" t="n">
        <v>4</v>
      </c>
      <c r="J83" s="11" t="n">
        <v>4</v>
      </c>
      <c r="K83" s="11" t="n">
        <v>4</v>
      </c>
      <c r="L83" s="11" t="n">
        <v>8</v>
      </c>
      <c r="M83" s="11" t="n">
        <v>10</v>
      </c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CUSCINETTO</t>
        </is>
      </c>
      <c r="B84" s="4" t="n"/>
      <c r="C84" s="11" t="n">
        <v>2</v>
      </c>
      <c r="D84" s="4" t="inlineStr">
        <is>
          <t>TTS.PC.001.IPE140.23</t>
        </is>
      </c>
      <c r="E84" s="4" t="inlineStr">
        <is>
          <t>Pilastro cuscinetto trave IPE 140 mt.2,30</t>
        </is>
      </c>
      <c r="F84" s="4" t="inlineStr">
        <is>
          <t>Carpenteria metallica</t>
        </is>
      </c>
      <c r="G84" s="11" t="n">
        <v>1</v>
      </c>
      <c r="H84" s="11" t="n">
        <v>2</v>
      </c>
      <c r="I84" s="11" t="n">
        <v>4</v>
      </c>
      <c r="J84" s="11" t="n">
        <v>4</v>
      </c>
      <c r="K84" s="11" t="n">
        <v>4</v>
      </c>
      <c r="L84" s="11" t="n">
        <v>8</v>
      </c>
      <c r="M84" s="11" t="n">
        <v>10</v>
      </c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2</v>
      </c>
      <c r="D85" s="4" t="inlineStr">
        <is>
          <t>TTS.PC.001.IPEA140.23</t>
        </is>
      </c>
      <c r="E85" s="4" t="inlineStr">
        <is>
          <t>Pilastro cuscinetto trave IPEA 140 mt.2,30 (alleggerita)</t>
        </is>
      </c>
      <c r="F85" s="4" t="inlineStr">
        <is>
          <t>Carpenteria metallica</t>
        </is>
      </c>
      <c r="G85" s="11" t="n">
        <v>0</v>
      </c>
      <c r="H85" s="11" t="n"/>
      <c r="I85" s="11" t="n"/>
      <c r="J85" s="11" t="n"/>
      <c r="K85" s="11" t="n"/>
      <c r="L85" s="11" t="n"/>
      <c r="M85" s="11" t="n"/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TTS.PC.001.IPE140.28</t>
        </is>
      </c>
      <c r="E86" s="4" t="inlineStr">
        <is>
          <t>Pilastro cuscinetto trave IPE 140 mt.2,80</t>
        </is>
      </c>
      <c r="F86" s="4" t="inlineStr">
        <is>
          <t>Carpenteria metallica</t>
        </is>
      </c>
      <c r="G86" s="11" t="n">
        <v>0</v>
      </c>
      <c r="H86" s="11" t="n"/>
      <c r="I86" s="11" t="n"/>
      <c r="J86" s="11" t="n"/>
      <c r="K86" s="11" t="n"/>
      <c r="L86" s="11" t="n"/>
      <c r="M86" s="11" t="n"/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TTS.PC.001.IPEA140.28</t>
        </is>
      </c>
      <c r="E87" s="4" t="inlineStr">
        <is>
          <t>Pilastro cuscinetto trave IPEA 140 mt.2,80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TTS.PC.001.IPE140.29</t>
        </is>
      </c>
      <c r="E88" s="4" t="inlineStr">
        <is>
          <t>Pilastro cuscinetto trave IPE 140 mt.2,90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TTS.PC.001.IPEA140.29</t>
        </is>
      </c>
      <c r="E89" s="4" t="inlineStr">
        <is>
          <t>Pilastro cuscinetto trave IPEA 140 mt.2,90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TTS.PC.001.IPE140.30</t>
        </is>
      </c>
      <c r="E90" s="4" t="inlineStr">
        <is>
          <t>Pilastro cuscinetto trave IPE 140 mt.3,00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TTS.PC.001.IPEA140.30</t>
        </is>
      </c>
      <c r="E91" s="4" t="inlineStr">
        <is>
          <t>Pilastro cuscinetto trave IPEA 140 mt.3,00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TTS.PC.001.IPE140.31</t>
        </is>
      </c>
      <c r="E92" s="4" t="inlineStr">
        <is>
          <t>Pilastro cuscinetto trave IPE 140 mt.3,10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TTS.PC.001.IPEA140.31</t>
        </is>
      </c>
      <c r="E93" s="4" t="inlineStr">
        <is>
          <t>Pilastro cuscinetto trave IPEA 140 mt.3,10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TTS.PC.001.IPE140.32</t>
        </is>
      </c>
      <c r="E94" s="4" t="inlineStr">
        <is>
          <t>Pilastro cuscinetto trave IPE 140 mt.3,20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TTS.PC.001.IPEA140.32</t>
        </is>
      </c>
      <c r="E95" s="4" t="inlineStr">
        <is>
          <t>Pilastro cuscinetto trave IPEA 140 mt.3,20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TTS.PC.001.IPE140.33</t>
        </is>
      </c>
      <c r="E96" s="4" t="inlineStr">
        <is>
          <t>Pilastro cuscinetto trave IPE 140 mt.3,30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TTS.PC.001.IPEA140.33</t>
        </is>
      </c>
      <c r="E97" s="4" t="inlineStr">
        <is>
          <t>Pilastro cuscinetto trave IPEA 140 mt.3,30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TTS.PC.001.IPE140.34</t>
        </is>
      </c>
      <c r="E98" s="4" t="inlineStr">
        <is>
          <t>Pilastro cuscinetto trave IPE 140 mt.3,40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TTS.PC.001.IPEA140.34</t>
        </is>
      </c>
      <c r="E99" s="4" t="inlineStr">
        <is>
          <t>Pilastro cuscinetto trave IPEA 140 mt.3,40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TTS.PC.001.IPE140.35</t>
        </is>
      </c>
      <c r="E100" s="4" t="inlineStr">
        <is>
          <t>Pilastro cuscinetto trave IPE 140 mt.3,50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TTS.PC.001.IPEA140.35</t>
        </is>
      </c>
      <c r="E101" s="4" t="inlineStr">
        <is>
          <t>Pilastro cuscinetto trave IPEA 140 mt.3,50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TTS.PC.001.IPE140.36</t>
        </is>
      </c>
      <c r="E102" s="4" t="inlineStr">
        <is>
          <t>Pilastro cuscinetto trave IPE 140 mt.3,60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TTS.PC.001.IPEA140.36</t>
        </is>
      </c>
      <c r="E103" s="4" t="inlineStr">
        <is>
          <t>Pilastro cuscinetto trave IPEA 140 mt.3,60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TTS.PC.001.IPE140.37</t>
        </is>
      </c>
      <c r="E104" s="4" t="inlineStr">
        <is>
          <t>Pilastro cuscinetto trave IPE 140 mt.3,70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TTS.PC.001.IPEA140.37</t>
        </is>
      </c>
      <c r="E105" s="4" t="inlineStr">
        <is>
          <t>Pilastro cuscinetto trave IPEA 140 mt.3,70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TTS.PC.001.IPE140.38</t>
        </is>
      </c>
      <c r="E106" s="4" t="inlineStr">
        <is>
          <t>Pilastro cuscinetto trave IPE 140 mt.3,80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TTS.PC.001.IPEA140.38</t>
        </is>
      </c>
      <c r="E107" s="4" t="inlineStr">
        <is>
          <t>Pilastro cuscinetto trave IPEA 140 mt.3,80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TTS.PC.001.IPE140.39</t>
        </is>
      </c>
      <c r="E108" s="4" t="inlineStr">
        <is>
          <t>Pilastro cuscinetto trave IPE 140 mt.3,90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TTS.PC.001.IPEA140.39</t>
        </is>
      </c>
      <c r="E109" s="4" t="inlineStr">
        <is>
          <t>Pilastro cuscinetto trave IPEA 140 mt.3,90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TTS.PC.001.IPE140.40</t>
        </is>
      </c>
      <c r="E110" s="4" t="inlineStr">
        <is>
          <t>Pilastro cuscinetto trave IPE 140 mt.4,00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TTS.PC.001.IPEA140.40</t>
        </is>
      </c>
      <c r="E111" s="4" t="inlineStr">
        <is>
          <t>Pilastro cuscinetto trave IPEA 140 mt.4,00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TTS.PC.001.IPE140.41</t>
        </is>
      </c>
      <c r="E112" s="4" t="inlineStr">
        <is>
          <t>Pilastro cuscinetto trave IPE 140 mt.4,10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TTS.PC.001.IPEA140.41</t>
        </is>
      </c>
      <c r="E113" s="4" t="inlineStr">
        <is>
          <t>Pilastro cuscinetto trave IPEA 140 mt.4,10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TTS.PC.001.IPE140.42</t>
        </is>
      </c>
      <c r="E114" s="4" t="inlineStr">
        <is>
          <t>Pilastro cuscinetto trave IPE 140 mt.4,20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TTS.PC.001.IPEA140.42</t>
        </is>
      </c>
      <c r="E115" s="4" t="inlineStr">
        <is>
          <t>Pilastro cuscinetto trave IPEA 140 mt.4,20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TTS.PC.001.IPE140.43</t>
        </is>
      </c>
      <c r="E116" s="4" t="inlineStr">
        <is>
          <t>Pilastro cuscinetto trave IPE 140 mt.4,30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TTS.PC.001.IPEA140.43</t>
        </is>
      </c>
      <c r="E117" s="4" t="inlineStr">
        <is>
          <t>Pilastro cuscinetto trave IPEA 140 mt.4,30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TTS.PC.001.IPE140.44</t>
        </is>
      </c>
      <c r="E118" s="4" t="inlineStr">
        <is>
          <t>Pilastro cuscinetto trave IPE 140 mt.4,40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TTS.PC.001.IPEA140.44</t>
        </is>
      </c>
      <c r="E119" s="4" t="inlineStr">
        <is>
          <t>Pilastro cuscinetto trave IPEA 140 mt.4,40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TTS.PC.001.IPE140.45</t>
        </is>
      </c>
      <c r="E120" s="4" t="inlineStr">
        <is>
          <t>Pilastro cuscinetto trave IPE 140 mt.4,50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TTS.PC.001.IPEA140.45</t>
        </is>
      </c>
      <c r="E121" s="4" t="inlineStr">
        <is>
          <t>Pilastro cuscinetto trave IPEA 140 mt.4,50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3</v>
      </c>
      <c r="D122" s="4" t="inlineStr">
        <is>
          <t>TTS.PF.002.IPE140</t>
        </is>
      </c>
      <c r="E122" s="4" t="inlineStr">
        <is>
          <t>Piastra giunzione montanti centrale 200x100x4 (8 fori Ø 11)</t>
        </is>
      </c>
      <c r="F122" s="4" t="inlineStr">
        <is>
          <t>Carpenteria metallica</t>
        </is>
      </c>
      <c r="G122" s="11" t="n">
        <v>2</v>
      </c>
      <c r="H122" s="11" t="n">
        <v>4</v>
      </c>
      <c r="I122" s="11" t="n">
        <v>8</v>
      </c>
      <c r="J122" s="11" t="n">
        <v>8</v>
      </c>
      <c r="K122" s="11" t="n">
        <v>8</v>
      </c>
      <c r="L122" s="11" t="n">
        <v>16</v>
      </c>
      <c r="M122" s="11" t="n">
        <v>20</v>
      </c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 hidden="1">
      <c r="A123" s="4" t="inlineStr">
        <is>
          <t>PILASTRO CUSCINETTO</t>
        </is>
      </c>
      <c r="B123" s="4" t="n"/>
      <c r="C123" s="11" t="n">
        <v>4</v>
      </c>
      <c r="D123" s="4" t="inlineStr">
        <is>
          <t>10BZM10X40</t>
        </is>
      </c>
      <c r="E123" s="4" t="inlineStr">
        <is>
          <t>Bullone testa esagonale M10X40</t>
        </is>
      </c>
      <c r="F123" s="4" t="inlineStr">
        <is>
          <t>Bulloneria e minuteria</t>
        </is>
      </c>
      <c r="G123" s="11" t="n">
        <v>8</v>
      </c>
      <c r="H123" s="11" t="n">
        <v>16</v>
      </c>
      <c r="I123" s="11" t="n">
        <v>32</v>
      </c>
      <c r="J123" s="11" t="n">
        <v>32</v>
      </c>
      <c r="K123" s="11" t="n">
        <v>32</v>
      </c>
      <c r="L123" s="11" t="n">
        <v>64</v>
      </c>
      <c r="M123" s="11" t="n">
        <v>80</v>
      </c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 hidden="1">
      <c r="A124" s="4" t="inlineStr">
        <is>
          <t>PILASTRO CUSCINETTO</t>
        </is>
      </c>
      <c r="B124" s="4" t="n"/>
      <c r="C124" s="11" t="n">
        <v>5</v>
      </c>
      <c r="D124" s="4" t="inlineStr">
        <is>
          <t>10ROND10</t>
        </is>
      </c>
      <c r="E124" s="4" t="inlineStr">
        <is>
          <t>Rondella zn da 10</t>
        </is>
      </c>
      <c r="F124" s="4" t="inlineStr">
        <is>
          <t>Bulloneria e minuteria</t>
        </is>
      </c>
      <c r="G124" s="11" t="n">
        <v>8</v>
      </c>
      <c r="H124" s="11" t="n">
        <v>16</v>
      </c>
      <c r="I124" s="11" t="n">
        <v>32</v>
      </c>
      <c r="J124" s="11" t="n">
        <v>32</v>
      </c>
      <c r="K124" s="11" t="n">
        <v>32</v>
      </c>
      <c r="L124" s="11" t="n">
        <v>64</v>
      </c>
      <c r="M124" s="11" t="n">
        <v>80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 hidden="1">
      <c r="A125" s="4" t="inlineStr">
        <is>
          <t>PILASTRO CUSCINETTO</t>
        </is>
      </c>
      <c r="B125" s="4" t="n"/>
      <c r="C125" s="11" t="n">
        <v>6</v>
      </c>
      <c r="D125" s="4" t="inlineStr">
        <is>
          <t>10ROND10</t>
        </is>
      </c>
      <c r="E125" s="4" t="inlineStr">
        <is>
          <t>Rondella zn da 10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 hidden="1">
      <c r="A126" s="4" t="inlineStr">
        <is>
          <t>PILASTRO CUSCINETTO</t>
        </is>
      </c>
      <c r="B126" s="4" t="n"/>
      <c r="C126" s="11" t="n">
        <v>7</v>
      </c>
      <c r="D126" s="4" t="inlineStr">
        <is>
          <t>10DAZAM10</t>
        </is>
      </c>
      <c r="E126" s="4" t="inlineStr">
        <is>
          <t>Dado autobloccante M10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1</v>
      </c>
      <c r="D127" s="4" t="inlineStr">
        <is>
          <t>TTS.PF.003.IPE140</t>
        </is>
      </c>
      <c r="E127" s="4" t="inlineStr">
        <is>
          <t>Piastra giunzione montanti esterna 240x70x6 (12 fori Ø 11)</t>
        </is>
      </c>
      <c r="F127" s="4" t="inlineStr">
        <is>
          <t>Carpenteria metallica</t>
        </is>
      </c>
      <c r="G127" s="11" t="n">
        <v>2</v>
      </c>
      <c r="H127" s="11" t="n">
        <v>4</v>
      </c>
      <c r="I127" s="11" t="n">
        <v>8</v>
      </c>
      <c r="J127" s="11" t="n">
        <v>8</v>
      </c>
      <c r="K127" s="11" t="n">
        <v>8</v>
      </c>
      <c r="L127" s="11" t="n">
        <v>16</v>
      </c>
      <c r="M127" s="11" t="n">
        <v>20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2</v>
      </c>
      <c r="D128" s="4" t="inlineStr">
        <is>
          <t>TTS.PF.004.IPE140</t>
        </is>
      </c>
      <c r="E128" s="4" t="inlineStr">
        <is>
          <t>Piastra giunzione montanti interna 240x25x6 (6 fori Ø 11)</t>
        </is>
      </c>
      <c r="F128" s="4" t="inlineStr">
        <is>
          <t>Carpenteria metallica</t>
        </is>
      </c>
      <c r="G128" s="11" t="n">
        <v>4</v>
      </c>
      <c r="H128" s="11" t="n">
        <v>8</v>
      </c>
      <c r="I128" s="11" t="n">
        <v>16</v>
      </c>
      <c r="J128" s="11" t="n">
        <v>16</v>
      </c>
      <c r="K128" s="11" t="n">
        <v>16</v>
      </c>
      <c r="L128" s="11" t="n">
        <v>32</v>
      </c>
      <c r="M128" s="11" t="n">
        <v>40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 hidden="1">
      <c r="A129" s="4" t="inlineStr">
        <is>
          <t>PILASTRO CUSCINETTO</t>
        </is>
      </c>
      <c r="B129" s="4" t="n"/>
      <c r="C129" s="11" t="n">
        <v>3</v>
      </c>
      <c r="D129" s="4" t="inlineStr">
        <is>
          <t>10BZM10X40</t>
        </is>
      </c>
      <c r="E129" s="4" t="inlineStr">
        <is>
          <t>Bullone testa esagonale M10X40</t>
        </is>
      </c>
      <c r="F129" s="4" t="inlineStr">
        <is>
          <t>Bulloneria e minuteria</t>
        </is>
      </c>
      <c r="G129" s="11" t="n">
        <v>24</v>
      </c>
      <c r="H129" s="11" t="n">
        <v>48</v>
      </c>
      <c r="I129" s="11" t="n">
        <v>96</v>
      </c>
      <c r="J129" s="11" t="n">
        <v>96</v>
      </c>
      <c r="K129" s="11" t="n">
        <v>96</v>
      </c>
      <c r="L129" s="11" t="n">
        <v>192</v>
      </c>
      <c r="M129" s="11" t="n">
        <v>240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 hidden="1">
      <c r="A130" s="4" t="inlineStr">
        <is>
          <t>PILASTRO CUSCINETTO</t>
        </is>
      </c>
      <c r="B130" s="4" t="n"/>
      <c r="C130" s="11" t="n">
        <v>4</v>
      </c>
      <c r="D130" s="4" t="inlineStr">
        <is>
          <t>10ROND10</t>
        </is>
      </c>
      <c r="E130" s="4" t="inlineStr">
        <is>
          <t>Rondella zn da 10</t>
        </is>
      </c>
      <c r="F130" s="4" t="inlineStr">
        <is>
          <t>Bulloneria e minuteria</t>
        </is>
      </c>
      <c r="G130" s="11" t="n">
        <v>24</v>
      </c>
      <c r="H130" s="11" t="n">
        <v>48</v>
      </c>
      <c r="I130" s="11" t="n">
        <v>96</v>
      </c>
      <c r="J130" s="11" t="n">
        <v>96</v>
      </c>
      <c r="K130" s="11" t="n">
        <v>96</v>
      </c>
      <c r="L130" s="11" t="n">
        <v>192</v>
      </c>
      <c r="M130" s="11" t="n">
        <v>240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 hidden="1">
      <c r="A131" s="4" t="inlineStr">
        <is>
          <t>PILASTRO CUSCINETTO</t>
        </is>
      </c>
      <c r="B131" s="4" t="n"/>
      <c r="C131" s="11" t="n">
        <v>5</v>
      </c>
      <c r="D131" s="4" t="inlineStr">
        <is>
          <t>10ROND10</t>
        </is>
      </c>
      <c r="E131" s="4" t="inlineStr">
        <is>
          <t>Rondella zn da 10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 hidden="1">
      <c r="A132" s="4" t="inlineStr">
        <is>
          <t>PILASTRO CUSCINETTO</t>
        </is>
      </c>
      <c r="B132" s="4" t="n"/>
      <c r="C132" s="11" t="n">
        <v>6</v>
      </c>
      <c r="D132" s="4" t="inlineStr">
        <is>
          <t>10DAZAM10</t>
        </is>
      </c>
      <c r="E132" s="4" t="inlineStr">
        <is>
          <t>Dado autobloccante M10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2</v>
      </c>
      <c r="D133" s="4" t="inlineStr">
        <is>
          <t>TTS.PC.002.IPE140</t>
        </is>
      </c>
      <c r="E133" s="4" t="inlineStr">
        <is>
          <t>Supporto laterale testa cuscinetto</t>
        </is>
      </c>
      <c r="F133" s="4" t="inlineStr">
        <is>
          <t>Carpenteria metallica</t>
        </is>
      </c>
      <c r="G133" s="11" t="n">
        <v>2</v>
      </c>
      <c r="H133" s="11" t="n">
        <v>4</v>
      </c>
      <c r="I133" s="11" t="n">
        <v>8</v>
      </c>
      <c r="J133" s="11" t="n">
        <v>8</v>
      </c>
      <c r="K133" s="11" t="n">
        <v>8</v>
      </c>
      <c r="L133" s="11" t="n">
        <v>16</v>
      </c>
      <c r="M133" s="11" t="n">
        <v>20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3</v>
      </c>
      <c r="D134" s="4" t="inlineStr">
        <is>
          <t>TTS.PC.003.IPE140</t>
        </is>
      </c>
      <c r="E134" s="4" t="inlineStr">
        <is>
          <t>Supporto testa cuscinetto</t>
        </is>
      </c>
      <c r="F134" s="4" t="inlineStr">
        <is>
          <t>Carpenteria metallica</t>
        </is>
      </c>
      <c r="G134" s="11" t="n">
        <v>1</v>
      </c>
      <c r="H134" s="11" t="n">
        <v>2</v>
      </c>
      <c r="I134" s="11" t="n">
        <v>4</v>
      </c>
      <c r="J134" s="11" t="n">
        <v>4</v>
      </c>
      <c r="K134" s="11" t="n">
        <v>4</v>
      </c>
      <c r="L134" s="11" t="n">
        <v>8</v>
      </c>
      <c r="M134" s="11" t="n">
        <v>10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 hidden="1">
      <c r="A135" s="4" t="inlineStr">
        <is>
          <t>PILASTRO CUSCINETTO</t>
        </is>
      </c>
      <c r="B135" s="4" t="n"/>
      <c r="C135" s="11" t="n">
        <v>4</v>
      </c>
      <c r="D135" s="4" t="inlineStr">
        <is>
          <t>10BZ10X30</t>
        </is>
      </c>
      <c r="E135" s="4" t="inlineStr">
        <is>
          <t>Bullone testa esagonale M10X30</t>
        </is>
      </c>
      <c r="F135" s="4" t="inlineStr">
        <is>
          <t>Bulloneria e minuteria</t>
        </is>
      </c>
      <c r="G135" s="11" t="n">
        <v>4</v>
      </c>
      <c r="H135" s="11" t="n">
        <v>8</v>
      </c>
      <c r="I135" s="11" t="n">
        <v>16</v>
      </c>
      <c r="J135" s="11" t="n">
        <v>16</v>
      </c>
      <c r="K135" s="11" t="n">
        <v>16</v>
      </c>
      <c r="L135" s="11" t="n">
        <v>32</v>
      </c>
      <c r="M135" s="11" t="n">
        <v>40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 hidden="1">
      <c r="A136" s="4" t="inlineStr">
        <is>
          <t>PILASTRO CUSCINETTO</t>
        </is>
      </c>
      <c r="B136" s="4" t="n"/>
      <c r="C136" s="11" t="n">
        <v>5</v>
      </c>
      <c r="D136" s="4" t="inlineStr">
        <is>
          <t>10ROND10</t>
        </is>
      </c>
      <c r="E136" s="4" t="inlineStr">
        <is>
          <t>Rondella zn da 10</t>
        </is>
      </c>
      <c r="F136" s="4" t="inlineStr">
        <is>
          <t>Bulloneria e minuteria</t>
        </is>
      </c>
      <c r="G136" s="11" t="n">
        <v>4</v>
      </c>
      <c r="H136" s="11" t="n">
        <v>8</v>
      </c>
      <c r="I136" s="11" t="n">
        <v>16</v>
      </c>
      <c r="J136" s="11" t="n">
        <v>16</v>
      </c>
      <c r="K136" s="11" t="n">
        <v>16</v>
      </c>
      <c r="L136" s="11" t="n">
        <v>32</v>
      </c>
      <c r="M136" s="11" t="n">
        <v>40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 hidden="1">
      <c r="A137" s="4" t="inlineStr">
        <is>
          <t>PILASTRO CUSCINETTO</t>
        </is>
      </c>
      <c r="B137" s="4" t="n"/>
      <c r="C137" s="11" t="n">
        <v>6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4</v>
      </c>
      <c r="H137" s="11" t="n">
        <v>8</v>
      </c>
      <c r="I137" s="11" t="n">
        <v>16</v>
      </c>
      <c r="J137" s="11" t="n">
        <v>16</v>
      </c>
      <c r="K137" s="11" t="n">
        <v>16</v>
      </c>
      <c r="L137" s="11" t="n">
        <v>32</v>
      </c>
      <c r="M137" s="11" t="n">
        <v>40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 hidden="1">
      <c r="A138" s="4" t="inlineStr">
        <is>
          <t>PILASTRO CUSCINETTO</t>
        </is>
      </c>
      <c r="B138" s="4" t="n"/>
      <c r="C138" s="11" t="n">
        <v>7</v>
      </c>
      <c r="D138" s="4" t="inlineStr">
        <is>
          <t>10DAZAM10</t>
        </is>
      </c>
      <c r="E138" s="4" t="inlineStr">
        <is>
          <t>Dado autobloccante M10</t>
        </is>
      </c>
      <c r="F138" s="4" t="inlineStr">
        <is>
          <t>Bulloneria e minuteria</t>
        </is>
      </c>
      <c r="G138" s="11" t="n">
        <v>4</v>
      </c>
      <c r="H138" s="11" t="n">
        <v>8</v>
      </c>
      <c r="I138" s="11" t="n">
        <v>16</v>
      </c>
      <c r="J138" s="11" t="n">
        <v>16</v>
      </c>
      <c r="K138" s="11" t="n">
        <v>16</v>
      </c>
      <c r="L138" s="11" t="n">
        <v>32</v>
      </c>
      <c r="M138" s="11" t="n">
        <v>40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 hidden="1">
      <c r="A139" s="4" t="inlineStr">
        <is>
          <t>PILASTRO CUSCINETTO</t>
        </is>
      </c>
      <c r="B139" s="4" t="n"/>
      <c r="C139" s="11" t="n">
        <v>2</v>
      </c>
      <c r="D139" s="4" t="inlineStr">
        <is>
          <t>ESQM_2_0_120_1</t>
        </is>
      </c>
      <c r="E139" s="4" t="inlineStr">
        <is>
          <t>Cuscinetto asse di rotazione</t>
        </is>
      </c>
      <c r="F139" s="4" t="inlineStr">
        <is>
          <t>Cuscinetti</t>
        </is>
      </c>
      <c r="G139" s="11" t="n">
        <v>1</v>
      </c>
      <c r="H139" s="11" t="n">
        <v>2</v>
      </c>
      <c r="I139" s="11" t="n">
        <v>4</v>
      </c>
      <c r="J139" s="11" t="n">
        <v>4</v>
      </c>
      <c r="K139" s="11" t="n">
        <v>4</v>
      </c>
      <c r="L139" s="11" t="n">
        <v>8</v>
      </c>
      <c r="M139" s="11" t="n">
        <v>10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 hidden="1">
      <c r="A140" s="4" t="inlineStr">
        <is>
          <t>PILASTRO CUSCINETTO</t>
        </is>
      </c>
      <c r="B140" s="4" t="n"/>
      <c r="C140" s="11" t="n">
        <v>3</v>
      </c>
      <c r="D140" s="4" t="inlineStr">
        <is>
          <t>10BZ16X140</t>
        </is>
      </c>
      <c r="E140" s="4" t="inlineStr">
        <is>
          <t>Bullone testa esagonale M16x140 mezzo filetto</t>
        </is>
      </c>
      <c r="F140" s="4" t="inlineStr">
        <is>
          <t>Bulloneria e minuteria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 hidden="1">
      <c r="A141" s="4" t="inlineStr">
        <is>
          <t>PILASTRO CUSCINETTO</t>
        </is>
      </c>
      <c r="B141" s="4" t="n"/>
      <c r="C141" s="11" t="n">
        <v>4</v>
      </c>
      <c r="D141" s="4" t="inlineStr">
        <is>
          <t>10ROND16</t>
        </is>
      </c>
      <c r="E141" s="4" t="inlineStr">
        <is>
          <t>Rondella zn da 16</t>
        </is>
      </c>
      <c r="F141" s="4" t="inlineStr">
        <is>
          <t>Bulloneria e minuteria</t>
        </is>
      </c>
      <c r="G141" s="11" t="n">
        <v>2</v>
      </c>
      <c r="H141" s="11" t="n">
        <v>4</v>
      </c>
      <c r="I141" s="11" t="n">
        <v>8</v>
      </c>
      <c r="J141" s="11" t="n">
        <v>8</v>
      </c>
      <c r="K141" s="11" t="n">
        <v>8</v>
      </c>
      <c r="L141" s="11" t="n">
        <v>16</v>
      </c>
      <c r="M141" s="11" t="n">
        <v>20</v>
      </c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 hidden="1">
      <c r="A142" s="4" t="inlineStr">
        <is>
          <t>PILASTRO CUSCINETTO</t>
        </is>
      </c>
      <c r="B142" s="4" t="n"/>
      <c r="C142" s="11" t="n">
        <v>5</v>
      </c>
      <c r="D142" s="4" t="inlineStr">
        <is>
          <t>10ROND16</t>
        </is>
      </c>
      <c r="E142" s="4" t="inlineStr">
        <is>
          <t>Rondella zn da 16</t>
        </is>
      </c>
      <c r="F142" s="4" t="inlineStr">
        <is>
          <t>Bulloneria e minuteria</t>
        </is>
      </c>
      <c r="G142" s="11" t="n">
        <v>2</v>
      </c>
      <c r="H142" s="11" t="n">
        <v>4</v>
      </c>
      <c r="I142" s="11" t="n">
        <v>8</v>
      </c>
      <c r="J142" s="11" t="n">
        <v>8</v>
      </c>
      <c r="K142" s="11" t="n">
        <v>8</v>
      </c>
      <c r="L142" s="11" t="n">
        <v>16</v>
      </c>
      <c r="M142" s="11" t="n">
        <v>20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 hidden="1">
      <c r="A143" s="4" t="inlineStr">
        <is>
          <t>PILASTRO CUSCINETTO</t>
        </is>
      </c>
      <c r="B143" s="4" t="n"/>
      <c r="C143" s="11" t="n">
        <v>6</v>
      </c>
      <c r="D143" s="4" t="inlineStr">
        <is>
          <t>10DAZAM16</t>
        </is>
      </c>
      <c r="E143" s="4" t="inlineStr">
        <is>
          <t>Dado autobloccante M16</t>
        </is>
      </c>
      <c r="F143" s="4" t="inlineStr">
        <is>
          <t>Bulloneria e minuteria</t>
        </is>
      </c>
      <c r="G143" s="11" t="n">
        <v>2</v>
      </c>
      <c r="H143" s="11" t="n">
        <v>4</v>
      </c>
      <c r="I143" s="11" t="n">
        <v>8</v>
      </c>
      <c r="J143" s="11" t="n">
        <v>8</v>
      </c>
      <c r="K143" s="11" t="n">
        <v>8</v>
      </c>
      <c r="L143" s="11" t="n">
        <v>16</v>
      </c>
      <c r="M143" s="11" t="n">
        <v>20</v>
      </c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ASSI DI ROTAZIONE 1303</t>
        </is>
      </c>
      <c r="B144" s="4" t="inlineStr">
        <is>
          <t>12 MODULI 1303</t>
        </is>
      </c>
      <c r="C144" s="11" t="n"/>
      <c r="D144" s="4" t="inlineStr">
        <is>
          <t>TTS.AR.001.8250</t>
        </is>
      </c>
      <c r="E144" s="4" t="inlineStr">
        <is>
          <t>Asse lato motore 120x120x3 mm. lunghezza mt.8,25</t>
        </is>
      </c>
      <c r="F144" s="4" t="inlineStr">
        <is>
          <t>Carpenteria metallica</t>
        </is>
      </c>
      <c r="G144" s="11" t="n">
        <v>2</v>
      </c>
      <c r="H144" s="11" t="n"/>
      <c r="I144" s="11" t="n"/>
      <c r="J144" s="11" t="n"/>
      <c r="K144" s="11" t="n"/>
      <c r="L144" s="11" t="n"/>
      <c r="M144" s="11" t="n"/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ASSI DI ROTAZIONE 1303</t>
        </is>
      </c>
      <c r="B145" s="4" t="inlineStr">
        <is>
          <t>12 MODULI 1303</t>
        </is>
      </c>
      <c r="C145" s="11" t="n"/>
      <c r="D145" s="4" t="inlineStr">
        <is>
          <t>TTS.AR.001.8250.25</t>
        </is>
      </c>
      <c r="E145" s="4" t="inlineStr">
        <is>
          <t>Asse lato motore 120x120x2,5 mm. lunghezza mt.8,25</t>
        </is>
      </c>
      <c r="F145" s="4" t="inlineStr">
        <is>
          <t>Carpenteria metallica</t>
        </is>
      </c>
      <c r="G145" s="11" t="n">
        <v>0</v>
      </c>
      <c r="H145" s="11" t="n"/>
      <c r="I145" s="11" t="n"/>
      <c r="J145" s="11" t="n"/>
      <c r="K145" s="11" t="n"/>
      <c r="L145" s="11" t="n"/>
      <c r="M145" s="11" t="n"/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ASSI DI ROTAZIONE 1303</t>
        </is>
      </c>
      <c r="B146" s="4" t="inlineStr">
        <is>
          <t>18 MODULI 1303</t>
        </is>
      </c>
      <c r="C146" s="11" t="n"/>
      <c r="D146" s="4" t="inlineStr">
        <is>
          <t>TTS.AR.001.7200</t>
        </is>
      </c>
      <c r="E146" s="4" t="inlineStr">
        <is>
          <t>Asse lato motore 120x120x3 mm. lunghezza mt.7,20</t>
        </is>
      </c>
      <c r="F146" s="4" t="inlineStr">
        <is>
          <t>Carpenteria metallica</t>
        </is>
      </c>
      <c r="G146" s="11" t="n">
        <v>2</v>
      </c>
      <c r="H146" s="11" t="n"/>
      <c r="I146" s="11" t="n"/>
      <c r="J146" s="11" t="n"/>
      <c r="K146" s="11" t="n"/>
      <c r="L146" s="11" t="n"/>
      <c r="M146" s="11" t="n"/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ASSI DI ROTAZIONE 1303</t>
        </is>
      </c>
      <c r="B147" s="4" t="inlineStr">
        <is>
          <t>18 MODULI 1303</t>
        </is>
      </c>
      <c r="C147" s="11" t="n"/>
      <c r="D147" s="4" t="inlineStr">
        <is>
          <t>TTS.AR.001.7200.25</t>
        </is>
      </c>
      <c r="E147" s="4" t="inlineStr">
        <is>
          <t>Asse lato motore 120x120x2,5 mm. lunghezza mt.7,20</t>
        </is>
      </c>
      <c r="F147" s="4" t="inlineStr">
        <is>
          <t>Carpenteria metallica</t>
        </is>
      </c>
      <c r="G147" s="11" t="n">
        <v>0</v>
      </c>
      <c r="H147" s="11" t="n"/>
      <c r="I147" s="11" t="n"/>
      <c r="J147" s="11" t="n"/>
      <c r="K147" s="11" t="n"/>
      <c r="L147" s="11" t="n"/>
      <c r="M147" s="11" t="n"/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ASSI DI ROTAZIONE 1303</t>
        </is>
      </c>
      <c r="B148" s="4" t="inlineStr">
        <is>
          <t>18 MODULI 1303</t>
        </is>
      </c>
      <c r="C148" s="11" t="n"/>
      <c r="D148" s="4" t="inlineStr">
        <is>
          <t>TTS.AR.002.5000</t>
        </is>
      </c>
      <c r="E148" s="4" t="inlineStr">
        <is>
          <t>Asse esterno 120x120x3 mm. lunghezza mt.5,00</t>
        </is>
      </c>
      <c r="F148" s="4" t="inlineStr">
        <is>
          <t>Carpenteria metallica</t>
        </is>
      </c>
      <c r="G148" s="11" t="n">
        <v>2</v>
      </c>
      <c r="H148" s="11" t="n"/>
      <c r="I148" s="11" t="n"/>
      <c r="J148" s="11" t="n"/>
      <c r="K148" s="11" t="n"/>
      <c r="L148" s="11" t="n"/>
      <c r="M148" s="11" t="n"/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ASSI DI ROTAZIONE 1303</t>
        </is>
      </c>
      <c r="B149" s="4" t="inlineStr">
        <is>
          <t>18 MODULI 1303</t>
        </is>
      </c>
      <c r="C149" s="11" t="n"/>
      <c r="D149" s="4" t="inlineStr">
        <is>
          <t>TTS.AR.002.5000.25</t>
        </is>
      </c>
      <c r="E149" s="4" t="inlineStr">
        <is>
          <t>Asse esterno 120x120x2,5 mm. lunghezza mt.5,00</t>
        </is>
      </c>
      <c r="F149" s="4" t="inlineStr">
        <is>
          <t>Carpenteria metallica</t>
        </is>
      </c>
      <c r="G149" s="11" t="n">
        <v>0</v>
      </c>
      <c r="H149" s="11" t="n"/>
      <c r="I149" s="11" t="n"/>
      <c r="J149" s="11" t="n"/>
      <c r="K149" s="11" t="n"/>
      <c r="L149" s="11" t="n"/>
      <c r="M149" s="11" t="n"/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ASSI DI ROTAZIONE 1303</t>
        </is>
      </c>
      <c r="B150" s="4" t="inlineStr">
        <is>
          <t>18 MODULI 1303</t>
        </is>
      </c>
      <c r="C150" s="11" t="n">
        <v>1</v>
      </c>
      <c r="D150" s="4" t="inlineStr">
        <is>
          <t>TTS.AR.2011</t>
        </is>
      </c>
      <c r="E150" s="4" t="inlineStr">
        <is>
          <t>Gaffa giunzione asse</t>
        </is>
      </c>
      <c r="F150" s="4" t="inlineStr">
        <is>
          <t>Carpenteria metallica</t>
        </is>
      </c>
      <c r="G150" s="11" t="n">
        <v>2</v>
      </c>
      <c r="H150" s="11" t="n"/>
      <c r="I150" s="11" t="n">
        <v>4</v>
      </c>
      <c r="J150" s="11" t="n"/>
      <c r="K150" s="11" t="n"/>
      <c r="L150" s="11" t="n"/>
      <c r="M150" s="11" t="n"/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 hidden="1">
      <c r="A151" s="4" t="inlineStr">
        <is>
          <t>ASSI DI ROTAZIONE 1303</t>
        </is>
      </c>
      <c r="B151" s="4" t="inlineStr">
        <is>
          <t>18 MODULI 1303</t>
        </is>
      </c>
      <c r="C151" s="11" t="n">
        <v>2</v>
      </c>
      <c r="D151" s="4" t="inlineStr">
        <is>
          <t>10BZM8X150</t>
        </is>
      </c>
      <c r="E151" s="4" t="inlineStr">
        <is>
          <t>Bullone testa esagonale zn M8X150</t>
        </is>
      </c>
      <c r="F151" s="4" t="inlineStr">
        <is>
          <t>Bulloneria e minuteria</t>
        </is>
      </c>
      <c r="G151" s="11" t="n">
        <v>2</v>
      </c>
      <c r="H151" s="11" t="n"/>
      <c r="I151" s="11" t="n">
        <v>4</v>
      </c>
      <c r="J151" s="11" t="n"/>
      <c r="K151" s="11" t="n"/>
      <c r="L151" s="11" t="n"/>
      <c r="M151" s="11" t="n"/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 hidden="1">
      <c r="A152" s="4" t="inlineStr">
        <is>
          <t>ASSI DI ROTAZIONE 1303</t>
        </is>
      </c>
      <c r="B152" s="4" t="inlineStr">
        <is>
          <t>18 MODULI 1303</t>
        </is>
      </c>
      <c r="C152" s="11" t="n">
        <v>3</v>
      </c>
      <c r="D152" s="4" t="inlineStr">
        <is>
          <t>10ROND8</t>
        </is>
      </c>
      <c r="E152" s="4" t="inlineStr">
        <is>
          <t>Rondella zn 8</t>
        </is>
      </c>
      <c r="F152" s="4" t="inlineStr">
        <is>
          <t>Bulloneria e minuteria</t>
        </is>
      </c>
      <c r="G152" s="11" t="n">
        <v>2</v>
      </c>
      <c r="H152" s="11" t="n"/>
      <c r="I152" s="11" t="n">
        <v>4</v>
      </c>
      <c r="J152" s="11" t="n"/>
      <c r="K152" s="11" t="n"/>
      <c r="L152" s="11" t="n"/>
      <c r="M152" s="11" t="n"/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 hidden="1">
      <c r="A153" s="4" t="inlineStr">
        <is>
          <t>ASSI DI ROTAZIONE 1303</t>
        </is>
      </c>
      <c r="B153" s="4" t="inlineStr">
        <is>
          <t>18 MODULI 1303</t>
        </is>
      </c>
      <c r="C153" s="11" t="n">
        <v>4</v>
      </c>
      <c r="D153" s="4" t="inlineStr">
        <is>
          <t>10ROND8</t>
        </is>
      </c>
      <c r="E153" s="4" t="inlineStr">
        <is>
          <t>Rondella zn 8</t>
        </is>
      </c>
      <c r="F153" s="4" t="inlineStr">
        <is>
          <t>Bulloneria e minuteria</t>
        </is>
      </c>
      <c r="G153" s="11" t="n">
        <v>2</v>
      </c>
      <c r="H153" s="11" t="n"/>
      <c r="I153" s="11" t="n">
        <v>4</v>
      </c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 hidden="1">
      <c r="A154" s="4" t="inlineStr">
        <is>
          <t>ASSI DI ROTAZIONE 1303</t>
        </is>
      </c>
      <c r="B154" s="4" t="inlineStr">
        <is>
          <t>18 MODULI 1303</t>
        </is>
      </c>
      <c r="C154" s="11" t="n">
        <v>5</v>
      </c>
      <c r="D154" s="4" t="inlineStr">
        <is>
          <t>10DAZAM8</t>
        </is>
      </c>
      <c r="E154" s="4" t="inlineStr">
        <is>
          <t>Dado autobloccante M8</t>
        </is>
      </c>
      <c r="F154" s="4" t="inlineStr">
        <is>
          <t>Bulloneria e minuteria</t>
        </is>
      </c>
      <c r="G154" s="11" t="n">
        <v>2</v>
      </c>
      <c r="H154" s="11" t="n"/>
      <c r="I154" s="11" t="n">
        <v>4</v>
      </c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 hidden="1">
      <c r="A155" s="4" t="inlineStr">
        <is>
          <t>ASSI DI ROTAZIONE 1303</t>
        </is>
      </c>
      <c r="B155" s="4" t="inlineStr">
        <is>
          <t>18 MODULI 1303</t>
        </is>
      </c>
      <c r="C155" s="11" t="n">
        <v>6</v>
      </c>
      <c r="D155" s="4" t="inlineStr">
        <is>
          <t>10BZM10X30</t>
        </is>
      </c>
      <c r="E155" s="4" t="inlineStr">
        <is>
          <t>Bullone testa esagonale zn M10X30</t>
        </is>
      </c>
      <c r="F155" s="4" t="inlineStr">
        <is>
          <t>Bulloneria e minuteria</t>
        </is>
      </c>
      <c r="G155" s="11" t="n">
        <v>8</v>
      </c>
      <c r="H155" s="11" t="n"/>
      <c r="I155" s="11" t="n">
        <v>16</v>
      </c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 hidden="1">
      <c r="A156" s="4" t="inlineStr">
        <is>
          <t>ASSI DI ROTAZIONE 1303</t>
        </is>
      </c>
      <c r="B156" s="4" t="inlineStr">
        <is>
          <t>18 MODULI 1303</t>
        </is>
      </c>
      <c r="C156" s="11" t="n">
        <v>7</v>
      </c>
      <c r="D156" s="4" t="inlineStr">
        <is>
          <t>10ROND10</t>
        </is>
      </c>
      <c r="E156" s="4" t="inlineStr">
        <is>
          <t>Rondella zn 10</t>
        </is>
      </c>
      <c r="F156" s="4" t="inlineStr">
        <is>
          <t>Bulloneria e minuteria</t>
        </is>
      </c>
      <c r="G156" s="11" t="n">
        <v>8</v>
      </c>
      <c r="H156" s="11" t="n"/>
      <c r="I156" s="11" t="n">
        <v>16</v>
      </c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 hidden="1">
      <c r="A157" s="4" t="inlineStr">
        <is>
          <t>ASSI DI ROTAZIONE 1303</t>
        </is>
      </c>
      <c r="B157" s="4" t="inlineStr">
        <is>
          <t>18 MODULI 1303</t>
        </is>
      </c>
      <c r="C157" s="11" t="n">
        <v>8</v>
      </c>
      <c r="D157" s="4" t="inlineStr">
        <is>
          <t>10ROND10</t>
        </is>
      </c>
      <c r="E157" s="4" t="inlineStr">
        <is>
          <t>Rondella zn 10</t>
        </is>
      </c>
      <c r="F157" s="4" t="inlineStr">
        <is>
          <t>Bulloneria e minuteria</t>
        </is>
      </c>
      <c r="G157" s="11" t="n">
        <v>8</v>
      </c>
      <c r="H157" s="11" t="n"/>
      <c r="I157" s="11" t="n">
        <v>16</v>
      </c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 hidden="1">
      <c r="A158" s="4" t="inlineStr">
        <is>
          <t>ASSI DI ROTAZIONE 1303</t>
        </is>
      </c>
      <c r="B158" s="4" t="inlineStr">
        <is>
          <t>18 MODULI 1303</t>
        </is>
      </c>
      <c r="C158" s="11" t="n">
        <v>9</v>
      </c>
      <c r="D158" s="4" t="inlineStr">
        <is>
          <t>10DAZAM10</t>
        </is>
      </c>
      <c r="E158" s="4" t="inlineStr">
        <is>
          <t>Dado autobloccante M10</t>
        </is>
      </c>
      <c r="F158" s="4" t="inlineStr">
        <is>
          <t>Bulloneria e minuteria</t>
        </is>
      </c>
      <c r="G158" s="11" t="n">
        <v>8</v>
      </c>
      <c r="H158" s="11" t="n"/>
      <c r="I158" s="11" t="n">
        <v>16</v>
      </c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20 MODULI 1303</t>
        </is>
      </c>
      <c r="C159" s="11" t="n"/>
      <c r="D159" s="4" t="inlineStr">
        <is>
          <t>TTS.AR.001.7200</t>
        </is>
      </c>
      <c r="E159" s="4" t="inlineStr">
        <is>
          <t>Asse lato motore 120x120x3 mm. lunghezza mt.7,20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20 MODULI 1303</t>
        </is>
      </c>
      <c r="C160" s="11" t="n"/>
      <c r="D160" s="4" t="inlineStr">
        <is>
          <t>TTS.AR.002.6300</t>
        </is>
      </c>
      <c r="E160" s="4" t="inlineStr">
        <is>
          <t>Asse esterno 120x120x3 mm. lunghezza mt.6,30</t>
        </is>
      </c>
      <c r="F160" s="4" t="inlineStr">
        <is>
          <t>Carpenteria metallica</t>
        </is>
      </c>
      <c r="G160" s="11" t="n">
        <v>2</v>
      </c>
      <c r="H160" s="11" t="n"/>
      <c r="I160" s="11" t="n"/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20 MODULI 1303</t>
        </is>
      </c>
      <c r="C161" s="11" t="n"/>
      <c r="D161" s="4" t="inlineStr">
        <is>
          <t>TTS.AR.002.6300.25</t>
        </is>
      </c>
      <c r="E161" s="4" t="inlineStr">
        <is>
          <t>Asse esterno 120x120x2,5 mm. lunghezza mt.6,30</t>
        </is>
      </c>
      <c r="F161" s="4" t="inlineStr">
        <is>
          <t>Carpenteria metallica</t>
        </is>
      </c>
      <c r="G161" s="11" t="n">
        <v>0</v>
      </c>
      <c r="H161" s="11" t="n"/>
      <c r="I161" s="11" t="n"/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20 MODULI 1303</t>
        </is>
      </c>
      <c r="C162" s="11" t="n">
        <v>1</v>
      </c>
      <c r="D162" s="4" t="inlineStr">
        <is>
          <t>TTS.AR.2011</t>
        </is>
      </c>
      <c r="E162" s="4" t="inlineStr">
        <is>
          <t>Gaffa giunzione asse</t>
        </is>
      </c>
      <c r="F162" s="4" t="inlineStr">
        <is>
          <t>Carpenteria metallica</t>
        </is>
      </c>
      <c r="G162" s="11" t="n">
        <v>2</v>
      </c>
      <c r="H162" s="11" t="n"/>
      <c r="I162" s="11" t="n"/>
      <c r="J162" s="11" t="n">
        <v>4</v>
      </c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 hidden="1">
      <c r="A163" s="4" t="inlineStr">
        <is>
          <t>ASSI DI ROTAZIONE 1303</t>
        </is>
      </c>
      <c r="B163" s="4" t="inlineStr">
        <is>
          <t>20 MODULI 1303</t>
        </is>
      </c>
      <c r="C163" s="11" t="n">
        <v>2</v>
      </c>
      <c r="D163" s="4" t="inlineStr">
        <is>
          <t>10BZM8X150</t>
        </is>
      </c>
      <c r="E163" s="4" t="inlineStr">
        <is>
          <t>Bullone testa esagonale zn M8X150</t>
        </is>
      </c>
      <c r="F163" s="4" t="inlineStr">
        <is>
          <t>Bulloneria e minuteria</t>
        </is>
      </c>
      <c r="G163" s="11" t="n">
        <v>2</v>
      </c>
      <c r="H163" s="11" t="n"/>
      <c r="I163" s="11" t="n"/>
      <c r="J163" s="11" t="n">
        <v>4</v>
      </c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 hidden="1">
      <c r="A164" s="4" t="inlineStr">
        <is>
          <t>ASSI DI ROTAZIONE 1303</t>
        </is>
      </c>
      <c r="B164" s="4" t="inlineStr">
        <is>
          <t>20 MODULI 1303</t>
        </is>
      </c>
      <c r="C164" s="11" t="n">
        <v>3</v>
      </c>
      <c r="D164" s="4" t="inlineStr">
        <is>
          <t>10ROND8</t>
        </is>
      </c>
      <c r="E164" s="4" t="inlineStr">
        <is>
          <t>Rondella zn 8</t>
        </is>
      </c>
      <c r="F164" s="4" t="inlineStr">
        <is>
          <t>Bulloneria e minuteria</t>
        </is>
      </c>
      <c r="G164" s="11" t="n">
        <v>2</v>
      </c>
      <c r="H164" s="11" t="n"/>
      <c r="I164" s="11" t="n"/>
      <c r="J164" s="11" t="n">
        <v>4</v>
      </c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 hidden="1">
      <c r="A165" s="4" t="inlineStr">
        <is>
          <t>ASSI DI ROTAZIONE 1303</t>
        </is>
      </c>
      <c r="B165" s="4" t="inlineStr">
        <is>
          <t>20 MODULI 1303</t>
        </is>
      </c>
      <c r="C165" s="11" t="n">
        <v>4</v>
      </c>
      <c r="D165" s="4" t="inlineStr">
        <is>
          <t>10ROND8</t>
        </is>
      </c>
      <c r="E165" s="4" t="inlineStr">
        <is>
          <t>Rondella zn 8</t>
        </is>
      </c>
      <c r="F165" s="4" t="inlineStr">
        <is>
          <t>Bulloneria e minuteria</t>
        </is>
      </c>
      <c r="G165" s="11" t="n">
        <v>2</v>
      </c>
      <c r="H165" s="11" t="n"/>
      <c r="I165" s="11" t="n"/>
      <c r="J165" s="11" t="n">
        <v>4</v>
      </c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 hidden="1">
      <c r="A166" s="4" t="inlineStr">
        <is>
          <t>ASSI DI ROTAZIONE 1303</t>
        </is>
      </c>
      <c r="B166" s="4" t="inlineStr">
        <is>
          <t>20 MODULI 1303</t>
        </is>
      </c>
      <c r="C166" s="11" t="n">
        <v>5</v>
      </c>
      <c r="D166" s="4" t="inlineStr">
        <is>
          <t>10DAZAM8</t>
        </is>
      </c>
      <c r="E166" s="4" t="inlineStr">
        <is>
          <t>Dado autobloccante M8</t>
        </is>
      </c>
      <c r="F166" s="4" t="inlineStr">
        <is>
          <t>Bulloneria e minuteria</t>
        </is>
      </c>
      <c r="G166" s="11" t="n">
        <v>2</v>
      </c>
      <c r="H166" s="11" t="n"/>
      <c r="I166" s="11" t="n"/>
      <c r="J166" s="11" t="n">
        <v>4</v>
      </c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 hidden="1">
      <c r="A167" s="4" t="inlineStr">
        <is>
          <t>ASSI DI ROTAZIONE 1303</t>
        </is>
      </c>
      <c r="B167" s="4" t="inlineStr">
        <is>
          <t>20 MODULI 1303</t>
        </is>
      </c>
      <c r="C167" s="11" t="n">
        <v>6</v>
      </c>
      <c r="D167" s="4" t="inlineStr">
        <is>
          <t>10BZM10X30</t>
        </is>
      </c>
      <c r="E167" s="4" t="inlineStr">
        <is>
          <t>Bullone testa esagonale zn M10X30</t>
        </is>
      </c>
      <c r="F167" s="4" t="inlineStr">
        <is>
          <t>Bulloneria e minuteria</t>
        </is>
      </c>
      <c r="G167" s="11" t="n">
        <v>8</v>
      </c>
      <c r="H167" s="11" t="n"/>
      <c r="I167" s="11" t="n"/>
      <c r="J167" s="11" t="n">
        <v>16</v>
      </c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 hidden="1">
      <c r="A168" s="4" t="inlineStr">
        <is>
          <t>ASSI DI ROTAZIONE 1303</t>
        </is>
      </c>
      <c r="B168" s="4" t="inlineStr">
        <is>
          <t>20 MODULI 1303</t>
        </is>
      </c>
      <c r="C168" s="11" t="n">
        <v>7</v>
      </c>
      <c r="D168" s="4" t="inlineStr">
        <is>
          <t>10ROND10</t>
        </is>
      </c>
      <c r="E168" s="4" t="inlineStr">
        <is>
          <t>Rondella zn 10</t>
        </is>
      </c>
      <c r="F168" s="4" t="inlineStr">
        <is>
          <t>Bulloneria e minuteria</t>
        </is>
      </c>
      <c r="G168" s="11" t="n">
        <v>8</v>
      </c>
      <c r="H168" s="11" t="n"/>
      <c r="I168" s="11" t="n"/>
      <c r="J168" s="11" t="n">
        <v>16</v>
      </c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 hidden="1">
      <c r="A169" s="4" t="inlineStr">
        <is>
          <t>ASSI DI ROTAZIONE 1303</t>
        </is>
      </c>
      <c r="B169" s="4" t="inlineStr">
        <is>
          <t>20 MODULI 1303</t>
        </is>
      </c>
      <c r="C169" s="11" t="n">
        <v>8</v>
      </c>
      <c r="D169" s="4" t="inlineStr">
        <is>
          <t>10ROND10</t>
        </is>
      </c>
      <c r="E169" s="4" t="inlineStr">
        <is>
          <t>Rondella zn 10</t>
        </is>
      </c>
      <c r="F169" s="4" t="inlineStr">
        <is>
          <t>Bulloneria e minuteria</t>
        </is>
      </c>
      <c r="G169" s="11" t="n">
        <v>8</v>
      </c>
      <c r="H169" s="11" t="n"/>
      <c r="I169" s="11" t="n"/>
      <c r="J169" s="11" t="n">
        <v>16</v>
      </c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 hidden="1">
      <c r="A170" s="4" t="inlineStr">
        <is>
          <t>ASSI DI ROTAZIONE 1303</t>
        </is>
      </c>
      <c r="B170" s="4" t="inlineStr">
        <is>
          <t>20 MODULI 1303</t>
        </is>
      </c>
      <c r="C170" s="11" t="n">
        <v>9</v>
      </c>
      <c r="D170" s="4" t="inlineStr">
        <is>
          <t>10DAZAM10</t>
        </is>
      </c>
      <c r="E170" s="4" t="inlineStr">
        <is>
          <t>Dado autobloccante M10</t>
        </is>
      </c>
      <c r="F170" s="4" t="inlineStr">
        <is>
          <t>Bulloneria e minuteria</t>
        </is>
      </c>
      <c r="G170" s="11" t="n">
        <v>8</v>
      </c>
      <c r="H170" s="11" t="n"/>
      <c r="I170" s="11" t="n"/>
      <c r="J170" s="11" t="n">
        <v>16</v>
      </c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22 MODULI 1303</t>
        </is>
      </c>
      <c r="C171" s="11" t="n"/>
      <c r="D171" s="4" t="inlineStr">
        <is>
          <t>TTS.AR.001.8700</t>
        </is>
      </c>
      <c r="E171" s="4" t="inlineStr">
        <is>
          <t>Asse lato motore 120x120x3 mm. lunghezza mt.8,70</t>
        </is>
      </c>
      <c r="F171" s="4" t="inlineStr">
        <is>
          <t>Carpenteria metallica</t>
        </is>
      </c>
      <c r="G171" s="11" t="n">
        <v>2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22 MODULI 1303</t>
        </is>
      </c>
      <c r="C172" s="11" t="n"/>
      <c r="D172" s="4" t="inlineStr">
        <is>
          <t>TTS.AR.001.8700.25</t>
        </is>
      </c>
      <c r="E172" s="4" t="inlineStr">
        <is>
          <t>Asse lato motore 120x120x2,5 mm. lunghezza mt.8,70</t>
        </is>
      </c>
      <c r="F172" s="4" t="inlineStr">
        <is>
          <t>Carpenteria metallica</t>
        </is>
      </c>
      <c r="G172" s="11" t="n">
        <v>0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22 MODULI 1303</t>
        </is>
      </c>
      <c r="C173" s="11" t="n"/>
      <c r="D173" s="4" t="inlineStr">
        <is>
          <t>TTS.AR.002.6150</t>
        </is>
      </c>
      <c r="E173" s="4" t="inlineStr">
        <is>
          <t>Asse esterno 120x120x3 mm. lunghezza mt.6,15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/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22 MODULI 1303</t>
        </is>
      </c>
      <c r="C174" s="11" t="n"/>
      <c r="D174" s="4" t="inlineStr">
        <is>
          <t>TTS.AR.002.6150.25</t>
        </is>
      </c>
      <c r="E174" s="4" t="inlineStr">
        <is>
          <t>Asse esterno 120x120x2,5 mm. lunghezza mt.6,15</t>
        </is>
      </c>
      <c r="F174" s="4" t="inlineStr">
        <is>
          <t>Carpenteria metallica</t>
        </is>
      </c>
      <c r="G174" s="11" t="n">
        <v>0</v>
      </c>
      <c r="H174" s="11" t="n"/>
      <c r="I174" s="11" t="n"/>
      <c r="J174" s="11" t="n"/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22 MODULI 1303</t>
        </is>
      </c>
      <c r="C175" s="11" t="n">
        <v>1</v>
      </c>
      <c r="D175" s="4" t="inlineStr">
        <is>
          <t>TTS.AR.2011</t>
        </is>
      </c>
      <c r="E175" s="4" t="inlineStr">
        <is>
          <t>Gaffa giunzione asse</t>
        </is>
      </c>
      <c r="F175" s="4" t="inlineStr">
        <is>
          <t>Carpenteria metallica</t>
        </is>
      </c>
      <c r="G175" s="11" t="n">
        <v>2</v>
      </c>
      <c r="H175" s="11" t="n"/>
      <c r="I175" s="11" t="n"/>
      <c r="J175" s="11" t="n"/>
      <c r="K175" s="11" t="n">
        <v>4</v>
      </c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 hidden="1">
      <c r="A176" s="4" t="inlineStr">
        <is>
          <t>ASSI DI ROTAZIONE 1303</t>
        </is>
      </c>
      <c r="B176" s="4" t="inlineStr">
        <is>
          <t>22 MODULI 1303</t>
        </is>
      </c>
      <c r="C176" s="11" t="n">
        <v>2</v>
      </c>
      <c r="D176" s="4" t="inlineStr">
        <is>
          <t>10BZM8X150</t>
        </is>
      </c>
      <c r="E176" s="4" t="inlineStr">
        <is>
          <t>Bullone testa esagonale zn M8X150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/>
      <c r="K176" s="11" t="n">
        <v>4</v>
      </c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 hidden="1">
      <c r="A177" s="4" t="inlineStr">
        <is>
          <t>ASSI DI ROTAZIONE 1303</t>
        </is>
      </c>
      <c r="B177" s="4" t="inlineStr">
        <is>
          <t>22 MODULI 1303</t>
        </is>
      </c>
      <c r="C177" s="11" t="n">
        <v>3</v>
      </c>
      <c r="D177" s="4" t="inlineStr">
        <is>
          <t>10ROND8</t>
        </is>
      </c>
      <c r="E177" s="4" t="inlineStr">
        <is>
          <t>Rondella zn 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/>
      <c r="K177" s="11" t="n">
        <v>4</v>
      </c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 hidden="1">
      <c r="A178" s="4" t="inlineStr">
        <is>
          <t>ASSI DI ROTAZIONE 1303</t>
        </is>
      </c>
      <c r="B178" s="4" t="inlineStr">
        <is>
          <t>22 MODULI 1303</t>
        </is>
      </c>
      <c r="C178" s="11" t="n">
        <v>4</v>
      </c>
      <c r="D178" s="4" t="inlineStr">
        <is>
          <t>10ROND8</t>
        </is>
      </c>
      <c r="E178" s="4" t="inlineStr">
        <is>
          <t>Rondella zn 8</t>
        </is>
      </c>
      <c r="F178" s="4" t="inlineStr">
        <is>
          <t>Bulloneria e minuteria</t>
        </is>
      </c>
      <c r="G178" s="11" t="n">
        <v>2</v>
      </c>
      <c r="H178" s="11" t="n"/>
      <c r="I178" s="11" t="n"/>
      <c r="J178" s="11" t="n"/>
      <c r="K178" s="11" t="n">
        <v>4</v>
      </c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 hidden="1">
      <c r="A179" s="4" t="inlineStr">
        <is>
          <t>ASSI DI ROTAZIONE 1303</t>
        </is>
      </c>
      <c r="B179" s="4" t="inlineStr">
        <is>
          <t>22 MODULI 1303</t>
        </is>
      </c>
      <c r="C179" s="11" t="n">
        <v>5</v>
      </c>
      <c r="D179" s="4" t="inlineStr">
        <is>
          <t>10DAZAM8</t>
        </is>
      </c>
      <c r="E179" s="4" t="inlineStr">
        <is>
          <t>Dado autobloccante M8</t>
        </is>
      </c>
      <c r="F179" s="4" t="inlineStr">
        <is>
          <t>Bulloneria e minuteria</t>
        </is>
      </c>
      <c r="G179" s="11" t="n">
        <v>2</v>
      </c>
      <c r="H179" s="11" t="n"/>
      <c r="I179" s="11" t="n"/>
      <c r="J179" s="11" t="n"/>
      <c r="K179" s="11" t="n">
        <v>4</v>
      </c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 hidden="1">
      <c r="A180" s="4" t="inlineStr">
        <is>
          <t>ASSI DI ROTAZIONE 1303</t>
        </is>
      </c>
      <c r="B180" s="4" t="inlineStr">
        <is>
          <t>22 MODULI 1303</t>
        </is>
      </c>
      <c r="C180" s="11" t="n">
        <v>6</v>
      </c>
      <c r="D180" s="4" t="inlineStr">
        <is>
          <t>10BZM10X30</t>
        </is>
      </c>
      <c r="E180" s="4" t="inlineStr">
        <is>
          <t>Bullone testa esagonale zn M10X30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/>
      <c r="K180" s="11" t="n">
        <v>16</v>
      </c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 hidden="1">
      <c r="A181" s="4" t="inlineStr">
        <is>
          <t>ASSI DI ROTAZIONE 1303</t>
        </is>
      </c>
      <c r="B181" s="4" t="inlineStr">
        <is>
          <t>22 MODULI 1303</t>
        </is>
      </c>
      <c r="C181" s="11" t="n">
        <v>7</v>
      </c>
      <c r="D181" s="4" t="inlineStr">
        <is>
          <t>10ROND10</t>
        </is>
      </c>
      <c r="E181" s="4" t="inlineStr">
        <is>
          <t>Rondella zn 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/>
      <c r="K181" s="11" t="n">
        <v>16</v>
      </c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 hidden="1">
      <c r="A182" s="4" t="inlineStr">
        <is>
          <t>ASSI DI ROTAZIONE 1303</t>
        </is>
      </c>
      <c r="B182" s="4" t="inlineStr">
        <is>
          <t>22 MODULI 1303</t>
        </is>
      </c>
      <c r="C182" s="11" t="n">
        <v>8</v>
      </c>
      <c r="D182" s="4" t="inlineStr">
        <is>
          <t>10ROND10</t>
        </is>
      </c>
      <c r="E182" s="4" t="inlineStr">
        <is>
          <t>Rondella zn 10</t>
        </is>
      </c>
      <c r="F182" s="4" t="inlineStr">
        <is>
          <t>Bulloneria e minuteria</t>
        </is>
      </c>
      <c r="G182" s="11" t="n">
        <v>8</v>
      </c>
      <c r="H182" s="11" t="n"/>
      <c r="I182" s="11" t="n"/>
      <c r="J182" s="11" t="n"/>
      <c r="K182" s="11" t="n">
        <v>16</v>
      </c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 hidden="1">
      <c r="A183" s="4" t="inlineStr">
        <is>
          <t>ASSI DI ROTAZIONE 1303</t>
        </is>
      </c>
      <c r="B183" s="4" t="inlineStr">
        <is>
          <t>22 MODULI 1303</t>
        </is>
      </c>
      <c r="C183" s="11" t="n">
        <v>9</v>
      </c>
      <c r="D183" s="4" t="inlineStr">
        <is>
          <t>10DAZAM10</t>
        </is>
      </c>
      <c r="E183" s="4" t="inlineStr">
        <is>
          <t>Dado autobloccante M10</t>
        </is>
      </c>
      <c r="F183" s="4" t="inlineStr">
        <is>
          <t>Bulloneria e minuteria</t>
        </is>
      </c>
      <c r="G183" s="11" t="n">
        <v>8</v>
      </c>
      <c r="H183" s="11" t="n"/>
      <c r="I183" s="11" t="n"/>
      <c r="J183" s="11" t="n"/>
      <c r="K183" s="11" t="n">
        <v>16</v>
      </c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36 MODULI 1303</t>
        </is>
      </c>
      <c r="C184" s="11" t="n"/>
      <c r="D184" s="4" t="inlineStr">
        <is>
          <t>TTS.AR.001.8700</t>
        </is>
      </c>
      <c r="E184" s="4" t="inlineStr">
        <is>
          <t>Asse lato motore 120x120x3 mm. lunghezza mt.8,70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36 MODULI 1303</t>
        </is>
      </c>
      <c r="C185" s="11" t="n"/>
      <c r="D185" s="4" t="inlineStr">
        <is>
          <t>TTS.AR.002.6756</t>
        </is>
      </c>
      <c r="E185" s="4" t="inlineStr">
        <is>
          <t>Asse esterno 120x120x3 mm. lunghezza mt.6,756</t>
        </is>
      </c>
      <c r="F185" s="4" t="inlineStr">
        <is>
          <t>Carpenteria metallica</t>
        </is>
      </c>
      <c r="G185" s="11" t="n">
        <v>2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36 MODULI 1303</t>
        </is>
      </c>
      <c r="C186" s="11" t="n"/>
      <c r="D186" s="4" t="inlineStr">
        <is>
          <t>TTS.AR.002.6756.25</t>
        </is>
      </c>
      <c r="E186" s="4" t="inlineStr">
        <is>
          <t>Asse esterno 120x120x2,5 mm. lunghezza mt.6,756</t>
        </is>
      </c>
      <c r="F186" s="4" t="inlineStr">
        <is>
          <t>Carpenteria metallica</t>
        </is>
      </c>
      <c r="G186" s="11" t="n">
        <v>0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36 MODULI 1303</t>
        </is>
      </c>
      <c r="C187" s="11" t="n"/>
      <c r="D187" s="4" t="inlineStr">
        <is>
          <t>TTS.AR.002.8645</t>
        </is>
      </c>
      <c r="E187" s="4" t="inlineStr">
        <is>
          <t>Asse esterno 120x120x3 mm. lunghezza mt.8,645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/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36 MODULI 1303</t>
        </is>
      </c>
      <c r="C188" s="11" t="n"/>
      <c r="D188" s="4" t="inlineStr">
        <is>
          <t>TTS.AR.002.8645.25</t>
        </is>
      </c>
      <c r="E188" s="4" t="inlineStr">
        <is>
          <t>Asse esterno 120x120x2,5 mm. lunghezza mt.8,645</t>
        </is>
      </c>
      <c r="F188" s="4" t="inlineStr">
        <is>
          <t>Carpenteria metallica</t>
        </is>
      </c>
      <c r="G188" s="11" t="n">
        <v>0</v>
      </c>
      <c r="H188" s="11" t="n"/>
      <c r="I188" s="11" t="n"/>
      <c r="J188" s="11" t="n"/>
      <c r="K188" s="11" t="n"/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36 MODULI 1303</t>
        </is>
      </c>
      <c r="C189" s="11" t="n">
        <v>1</v>
      </c>
      <c r="D189" s="4" t="inlineStr">
        <is>
          <t>TTS.AR.2011</t>
        </is>
      </c>
      <c r="E189" s="4" t="inlineStr">
        <is>
          <t>Gaffa giunzione asse</t>
        </is>
      </c>
      <c r="F189" s="4" t="inlineStr">
        <is>
          <t>Carpenteria metallica</t>
        </is>
      </c>
      <c r="G189" s="11" t="n">
        <v>2</v>
      </c>
      <c r="H189" s="11" t="n"/>
      <c r="I189" s="11" t="n"/>
      <c r="J189" s="11" t="n"/>
      <c r="K189" s="11" t="n"/>
      <c r="L189" s="11" t="n">
        <v>8</v>
      </c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 hidden="1">
      <c r="A190" s="4" t="inlineStr">
        <is>
          <t>ASSI DI ROTAZIONE 1303</t>
        </is>
      </c>
      <c r="B190" s="4" t="inlineStr">
        <is>
          <t>36 MODULI 1303</t>
        </is>
      </c>
      <c r="C190" s="11" t="n">
        <v>2</v>
      </c>
      <c r="D190" s="4" t="inlineStr">
        <is>
          <t>10BZM8X150</t>
        </is>
      </c>
      <c r="E190" s="4" t="inlineStr">
        <is>
          <t>Bullone testa esagonale zn M8X150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/>
      <c r="L190" s="11" t="n">
        <v>8</v>
      </c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 hidden="1">
      <c r="A191" s="4" t="inlineStr">
        <is>
          <t>ASSI DI ROTAZIONE 1303</t>
        </is>
      </c>
      <c r="B191" s="4" t="inlineStr">
        <is>
          <t>36 MODULI 1303</t>
        </is>
      </c>
      <c r="C191" s="11" t="n">
        <v>3</v>
      </c>
      <c r="D191" s="4" t="inlineStr">
        <is>
          <t>10ROND8</t>
        </is>
      </c>
      <c r="E191" s="4" t="inlineStr">
        <is>
          <t>Rondella zn 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/>
      <c r="L191" s="11" t="n">
        <v>8</v>
      </c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 hidden="1">
      <c r="A192" s="4" t="inlineStr">
        <is>
          <t>ASSI DI ROTAZIONE 1303</t>
        </is>
      </c>
      <c r="B192" s="4" t="inlineStr">
        <is>
          <t>36 MODULI 1303</t>
        </is>
      </c>
      <c r="C192" s="11" t="n">
        <v>4</v>
      </c>
      <c r="D192" s="4" t="inlineStr">
        <is>
          <t>10ROND8</t>
        </is>
      </c>
      <c r="E192" s="4" t="inlineStr">
        <is>
          <t>Rondella zn 8</t>
        </is>
      </c>
      <c r="F192" s="4" t="inlineStr">
        <is>
          <t>Bulloneria e minuteria</t>
        </is>
      </c>
      <c r="G192" s="11" t="n">
        <v>2</v>
      </c>
      <c r="H192" s="11" t="n"/>
      <c r="I192" s="11" t="n"/>
      <c r="J192" s="11" t="n"/>
      <c r="K192" s="11" t="n"/>
      <c r="L192" s="11" t="n">
        <v>8</v>
      </c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 hidden="1">
      <c r="A193" s="4" t="inlineStr">
        <is>
          <t>ASSI DI ROTAZIONE 1303</t>
        </is>
      </c>
      <c r="B193" s="4" t="inlineStr">
        <is>
          <t>36 MODULI 1303</t>
        </is>
      </c>
      <c r="C193" s="11" t="n">
        <v>5</v>
      </c>
      <c r="D193" s="4" t="inlineStr">
        <is>
          <t>10DAZAM8</t>
        </is>
      </c>
      <c r="E193" s="4" t="inlineStr">
        <is>
          <t>Dado autobloccante M8</t>
        </is>
      </c>
      <c r="F193" s="4" t="inlineStr">
        <is>
          <t>Bulloneria e minuteria</t>
        </is>
      </c>
      <c r="G193" s="11" t="n">
        <v>2</v>
      </c>
      <c r="H193" s="11" t="n"/>
      <c r="I193" s="11" t="n"/>
      <c r="J193" s="11" t="n"/>
      <c r="K193" s="11" t="n"/>
      <c r="L193" s="11" t="n">
        <v>8</v>
      </c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 hidden="1">
      <c r="A194" s="4" t="inlineStr">
        <is>
          <t>ASSI DI ROTAZIONE 1303</t>
        </is>
      </c>
      <c r="B194" s="4" t="inlineStr">
        <is>
          <t>36 MODULI 1303</t>
        </is>
      </c>
      <c r="C194" s="11" t="n">
        <v>6</v>
      </c>
      <c r="D194" s="4" t="inlineStr">
        <is>
          <t>10BZM10X30</t>
        </is>
      </c>
      <c r="E194" s="4" t="inlineStr">
        <is>
          <t>Bullone testa esagonale zn M10X30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/>
      <c r="L194" s="11" t="n">
        <v>32</v>
      </c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 hidden="1">
      <c r="A195" s="4" t="inlineStr">
        <is>
          <t>ASSI DI ROTAZIONE 1303</t>
        </is>
      </c>
      <c r="B195" s="4" t="inlineStr">
        <is>
          <t>36 MODULI 1303</t>
        </is>
      </c>
      <c r="C195" s="11" t="n">
        <v>7</v>
      </c>
      <c r="D195" s="4" t="inlineStr">
        <is>
          <t>10ROND10</t>
        </is>
      </c>
      <c r="E195" s="4" t="inlineStr">
        <is>
          <t>Rondella zn 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/>
      <c r="L195" s="11" t="n">
        <v>32</v>
      </c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 hidden="1">
      <c r="A196" s="4" t="inlineStr">
        <is>
          <t>ASSI DI ROTAZIONE 1303</t>
        </is>
      </c>
      <c r="B196" s="4" t="inlineStr">
        <is>
          <t>36 MODULI 1303</t>
        </is>
      </c>
      <c r="C196" s="11" t="n">
        <v>8</v>
      </c>
      <c r="D196" s="4" t="inlineStr">
        <is>
          <t>10ROND10</t>
        </is>
      </c>
      <c r="E196" s="4" t="inlineStr">
        <is>
          <t>Rondella zn 10</t>
        </is>
      </c>
      <c r="F196" s="4" t="inlineStr">
        <is>
          <t>Bulloneria e minuteria</t>
        </is>
      </c>
      <c r="G196" s="11" t="n">
        <v>8</v>
      </c>
      <c r="H196" s="11" t="n"/>
      <c r="I196" s="11" t="n"/>
      <c r="J196" s="11" t="n"/>
      <c r="K196" s="11" t="n"/>
      <c r="L196" s="11" t="n">
        <v>32</v>
      </c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 hidden="1">
      <c r="A197" s="4" t="inlineStr">
        <is>
          <t>ASSI DI ROTAZIONE 1303</t>
        </is>
      </c>
      <c r="B197" s="4" t="inlineStr">
        <is>
          <t>36 MODULI 1303</t>
        </is>
      </c>
      <c r="C197" s="11" t="n">
        <v>9</v>
      </c>
      <c r="D197" s="4" t="inlineStr">
        <is>
          <t>10DAZAM10</t>
        </is>
      </c>
      <c r="E197" s="4" t="inlineStr">
        <is>
          <t>Dado autobloccante M10</t>
        </is>
      </c>
      <c r="F197" s="4" t="inlineStr">
        <is>
          <t>Bulloneria e minuteria</t>
        </is>
      </c>
      <c r="G197" s="11" t="n">
        <v>8</v>
      </c>
      <c r="H197" s="11" t="n"/>
      <c r="I197" s="11" t="n"/>
      <c r="J197" s="11" t="n"/>
      <c r="K197" s="11" t="n"/>
      <c r="L197" s="11" t="n">
        <v>32</v>
      </c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40 MODULI 1303</t>
        </is>
      </c>
      <c r="C198" s="11" t="n"/>
      <c r="D198" s="4" t="inlineStr">
        <is>
          <t>TTS.AR.001.8700</t>
        </is>
      </c>
      <c r="E198" s="4" t="inlineStr">
        <is>
          <t>Asse lato motore 120x120x3 mm. lunghezza mt.8,70</t>
        </is>
      </c>
      <c r="F198" s="4" t="inlineStr">
        <is>
          <t>Carpenteria metallica</t>
        </is>
      </c>
      <c r="G198" s="11" t="n">
        <v>2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40 MODULI 1303</t>
        </is>
      </c>
      <c r="C199" s="11" t="n"/>
      <c r="D199" s="4" t="inlineStr">
        <is>
          <t>TTS.AR.002.8250</t>
        </is>
      </c>
      <c r="E199" s="4" t="inlineStr">
        <is>
          <t>Primo asse centrale 120x120x3 mm. lunghezza mt.8,25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40 MODULI 1303</t>
        </is>
      </c>
      <c r="C200" s="11" t="n"/>
      <c r="D200" s="4" t="inlineStr">
        <is>
          <t>TTS.AR.002.8250.25</t>
        </is>
      </c>
      <c r="E200" s="4" t="inlineStr">
        <is>
          <t>Primo asse centrale 120x120x2,5 mm. lunghezza mt.8,25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40 MODULI 1303</t>
        </is>
      </c>
      <c r="C201" s="11" t="n"/>
      <c r="D201" s="4" t="inlineStr">
        <is>
          <t>TTS.AR.003.5000</t>
        </is>
      </c>
      <c r="E201" s="4" t="inlineStr">
        <is>
          <t>Secondo asse centrale 120x120x3 mm. lunghezza mt.5,000</t>
        </is>
      </c>
      <c r="F201" s="4" t="inlineStr">
        <is>
          <t>Carpenteria metallica</t>
        </is>
      </c>
      <c r="G201" s="11" t="n">
        <v>2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40 MODULI 1303</t>
        </is>
      </c>
      <c r="C202" s="11" t="n"/>
      <c r="D202" s="4" t="inlineStr">
        <is>
          <t>TTS.AR.003.5000.25</t>
        </is>
      </c>
      <c r="E202" s="4" t="inlineStr">
        <is>
          <t>Secondo asse centrale 120x120x2,5 mm. lunghezza mt.5,000</t>
        </is>
      </c>
      <c r="F202" s="4" t="inlineStr">
        <is>
          <t>Carpenteria metallica</t>
        </is>
      </c>
      <c r="G202" s="11" t="n">
        <v>0</v>
      </c>
      <c r="H202" s="11" t="n"/>
      <c r="I202" s="11" t="n"/>
      <c r="J202" s="11" t="n"/>
      <c r="K202" s="11" t="n"/>
      <c r="L202" s="11" t="n"/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40 MODULI 1303</t>
        </is>
      </c>
      <c r="C203" s="11" t="n"/>
      <c r="D203" s="4" t="inlineStr">
        <is>
          <t>TTS.AR.004.4800</t>
        </is>
      </c>
      <c r="E203" s="4" t="inlineStr">
        <is>
          <t>Asse esterno 120x120x3 mm. lunghezza mt.4,800</t>
        </is>
      </c>
      <c r="F203" s="4" t="inlineStr">
        <is>
          <t>Carpenteria metallica</t>
        </is>
      </c>
      <c r="G203" s="11" t="n">
        <v>2</v>
      </c>
      <c r="H203" s="11" t="n"/>
      <c r="I203" s="11" t="n"/>
      <c r="J203" s="11" t="n"/>
      <c r="K203" s="11" t="n"/>
      <c r="L203" s="11" t="n"/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40 MODULI 1303</t>
        </is>
      </c>
      <c r="C204" s="11" t="n"/>
      <c r="D204" s="4" t="inlineStr">
        <is>
          <t>TTS.AR.004.4800.25</t>
        </is>
      </c>
      <c r="E204" s="4" t="inlineStr">
        <is>
          <t>Asse esterno 120x120x2,5 mm. lunghezza mt.4,800</t>
        </is>
      </c>
      <c r="F204" s="4" t="inlineStr">
        <is>
          <t>Carpenteria metallica</t>
        </is>
      </c>
      <c r="G204" s="11" t="n">
        <v>0</v>
      </c>
      <c r="H204" s="11" t="n"/>
      <c r="I204" s="11" t="n"/>
      <c r="J204" s="11" t="n"/>
      <c r="K204" s="11" t="n"/>
      <c r="L204" s="11" t="n"/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40 MODULI 1303</t>
        </is>
      </c>
      <c r="C205" s="11" t="n">
        <v>1</v>
      </c>
      <c r="D205" s="4" t="inlineStr">
        <is>
          <t>TTS.AR.2011</t>
        </is>
      </c>
      <c r="E205" s="4" t="inlineStr">
        <is>
          <t>Gaffa giunzione asse</t>
        </is>
      </c>
      <c r="F205" s="4" t="inlineStr">
        <is>
          <t>Carpenteria metallica</t>
        </is>
      </c>
      <c r="G205" s="11" t="n">
        <v>2</v>
      </c>
      <c r="H205" s="11" t="n"/>
      <c r="I205" s="11" t="n"/>
      <c r="J205" s="11" t="n"/>
      <c r="K205" s="11" t="n"/>
      <c r="L205" s="11" t="n"/>
      <c r="M205" s="11" t="n">
        <v>12</v>
      </c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 hidden="1">
      <c r="A206" s="4" t="inlineStr">
        <is>
          <t>ASSI DI ROTAZIONE 1303</t>
        </is>
      </c>
      <c r="B206" s="4" t="inlineStr">
        <is>
          <t>40 MODULI 1303</t>
        </is>
      </c>
      <c r="C206" s="11" t="n">
        <v>2</v>
      </c>
      <c r="D206" s="4" t="inlineStr">
        <is>
          <t>10BZM8X150</t>
        </is>
      </c>
      <c r="E206" s="4" t="inlineStr">
        <is>
          <t>Bullone testa esagonale zn M8X150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/>
      <c r="M206" s="11" t="n">
        <v>12</v>
      </c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 hidden="1">
      <c r="A207" s="4" t="inlineStr">
        <is>
          <t>ASSI DI ROTAZIONE 1303</t>
        </is>
      </c>
      <c r="B207" s="4" t="inlineStr">
        <is>
          <t>40 MODULI 1303</t>
        </is>
      </c>
      <c r="C207" s="11" t="n">
        <v>3</v>
      </c>
      <c r="D207" s="4" t="inlineStr">
        <is>
          <t>10ROND8</t>
        </is>
      </c>
      <c r="E207" s="4" t="inlineStr">
        <is>
          <t>Rondella zn 8</t>
        </is>
      </c>
      <c r="F207" s="4" t="inlineStr">
        <is>
          <t>Bulloneria e minuteria</t>
        </is>
      </c>
      <c r="G207" s="11" t="n">
        <v>2</v>
      </c>
      <c r="H207" s="11" t="n"/>
      <c r="I207" s="11" t="n"/>
      <c r="J207" s="11" t="n"/>
      <c r="K207" s="11" t="n"/>
      <c r="L207" s="11" t="n"/>
      <c r="M207" s="11" t="n">
        <v>12</v>
      </c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 hidden="1">
      <c r="A208" s="4" t="inlineStr">
        <is>
          <t>ASSI DI ROTAZIONE 1303</t>
        </is>
      </c>
      <c r="B208" s="4" t="inlineStr">
        <is>
          <t>40 MODULI 1303</t>
        </is>
      </c>
      <c r="C208" s="11" t="n">
        <v>4</v>
      </c>
      <c r="D208" s="4" t="inlineStr">
        <is>
          <t>10ROND8</t>
        </is>
      </c>
      <c r="E208" s="4" t="inlineStr">
        <is>
          <t>Rondella zn 8</t>
        </is>
      </c>
      <c r="F208" s="4" t="inlineStr">
        <is>
          <t>Bulloneria e minuteria</t>
        </is>
      </c>
      <c r="G208" s="11" t="n">
        <v>2</v>
      </c>
      <c r="H208" s="11" t="n"/>
      <c r="I208" s="11" t="n"/>
      <c r="J208" s="11" t="n"/>
      <c r="K208" s="11" t="n"/>
      <c r="L208" s="11" t="n"/>
      <c r="M208" s="11" t="n">
        <v>12</v>
      </c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 hidden="1">
      <c r="A209" s="4" t="inlineStr">
        <is>
          <t>ASSI DI ROTAZIONE 1303</t>
        </is>
      </c>
      <c r="B209" s="4" t="inlineStr">
        <is>
          <t>40 MODULI 1303</t>
        </is>
      </c>
      <c r="C209" s="11" t="n">
        <v>5</v>
      </c>
      <c r="D209" s="4" t="inlineStr">
        <is>
          <t>10DAZAM8</t>
        </is>
      </c>
      <c r="E209" s="4" t="inlineStr">
        <is>
          <t>Dado autobloccante M8</t>
        </is>
      </c>
      <c r="F209" s="4" t="inlineStr">
        <is>
          <t>Bulloneria e minuteria</t>
        </is>
      </c>
      <c r="G209" s="11" t="n">
        <v>2</v>
      </c>
      <c r="H209" s="11" t="n"/>
      <c r="I209" s="11" t="n"/>
      <c r="J209" s="11" t="n"/>
      <c r="K209" s="11" t="n"/>
      <c r="L209" s="11" t="n"/>
      <c r="M209" s="11" t="n">
        <v>12</v>
      </c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 hidden="1">
      <c r="A210" s="4" t="inlineStr">
        <is>
          <t>ASSI DI ROTAZIONE 1303</t>
        </is>
      </c>
      <c r="B210" s="4" t="inlineStr">
        <is>
          <t>40 MODULI 1303</t>
        </is>
      </c>
      <c r="C210" s="11" t="n">
        <v>6</v>
      </c>
      <c r="D210" s="4" t="inlineStr">
        <is>
          <t>10BZM10X30</t>
        </is>
      </c>
      <c r="E210" s="4" t="inlineStr">
        <is>
          <t>Bullone testa esagonale zn M10X30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/>
      <c r="M210" s="11" t="n">
        <v>16</v>
      </c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 hidden="1">
      <c r="A211" s="4" t="inlineStr">
        <is>
          <t>ASSI DI ROTAZIONE 1303</t>
        </is>
      </c>
      <c r="B211" s="4" t="inlineStr">
        <is>
          <t>40 MODULI 1303</t>
        </is>
      </c>
      <c r="C211" s="11" t="n">
        <v>7</v>
      </c>
      <c r="D211" s="4" t="inlineStr">
        <is>
          <t>10ROND10</t>
        </is>
      </c>
      <c r="E211" s="4" t="inlineStr">
        <is>
          <t>Rondella zn 10</t>
        </is>
      </c>
      <c r="F211" s="4" t="inlineStr">
        <is>
          <t>Bulloneria e minuteria</t>
        </is>
      </c>
      <c r="G211" s="11" t="n">
        <v>8</v>
      </c>
      <c r="H211" s="11" t="n"/>
      <c r="I211" s="11" t="n"/>
      <c r="J211" s="11" t="n"/>
      <c r="K211" s="11" t="n"/>
      <c r="L211" s="11" t="n"/>
      <c r="M211" s="11" t="n">
        <v>16</v>
      </c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 hidden="1">
      <c r="A212" s="4" t="inlineStr">
        <is>
          <t>ASSI DI ROTAZIONE 1303</t>
        </is>
      </c>
      <c r="B212" s="4" t="inlineStr">
        <is>
          <t>40 MODULI 1303</t>
        </is>
      </c>
      <c r="C212" s="11" t="n">
        <v>8</v>
      </c>
      <c r="D212" s="4" t="inlineStr">
        <is>
          <t>10ROND10</t>
        </is>
      </c>
      <c r="E212" s="4" t="inlineStr">
        <is>
          <t>Rondella zn 10</t>
        </is>
      </c>
      <c r="F212" s="4" t="inlineStr">
        <is>
          <t>Bulloneria e minuteria</t>
        </is>
      </c>
      <c r="G212" s="11" t="n">
        <v>8</v>
      </c>
      <c r="H212" s="11" t="n"/>
      <c r="I212" s="11" t="n"/>
      <c r="J212" s="11" t="n"/>
      <c r="K212" s="11" t="n"/>
      <c r="L212" s="11" t="n"/>
      <c r="M212" s="11" t="n">
        <v>16</v>
      </c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 hidden="1">
      <c r="A213" s="4" t="inlineStr">
        <is>
          <t>ASSI DI ROTAZIONE 1303</t>
        </is>
      </c>
      <c r="B213" s="4" t="inlineStr">
        <is>
          <t>40 MODULI 1303</t>
        </is>
      </c>
      <c r="C213" s="11" t="n">
        <v>9</v>
      </c>
      <c r="D213" s="4" t="inlineStr">
        <is>
          <t>10DAZAM10</t>
        </is>
      </c>
      <c r="E213" s="4" t="inlineStr">
        <is>
          <t>Dado autobloccante M10</t>
        </is>
      </c>
      <c r="F213" s="4" t="inlineStr">
        <is>
          <t>Bulloneria e minuteria</t>
        </is>
      </c>
      <c r="G213" s="11" t="n">
        <v>8</v>
      </c>
      <c r="H213" s="11" t="n"/>
      <c r="I213" s="11" t="n"/>
      <c r="J213" s="11" t="n"/>
      <c r="K213" s="11" t="n"/>
      <c r="L213" s="11" t="n"/>
      <c r="M213" s="11" t="n">
        <v>16</v>
      </c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 hidden="1">
      <c r="A214" s="4" t="inlineStr">
        <is>
          <t>KIT OMEGA+pannelli</t>
        </is>
      </c>
      <c r="B214" s="4" t="n"/>
      <c r="C214" s="11" t="n">
        <v>1</v>
      </c>
      <c r="D214" s="4" t="inlineStr">
        <is>
          <t>10BZM8X25</t>
        </is>
      </c>
      <c r="E214" s="4" t="inlineStr">
        <is>
          <t>Bullone testa esagonale zn M8X25</t>
        </is>
      </c>
      <c r="F214" s="4" t="inlineStr">
        <is>
          <t>Bulloneria e minuteria</t>
        </is>
      </c>
      <c r="G214" s="11" t="n">
        <v>4</v>
      </c>
      <c r="H214" s="11" t="n">
        <v>56</v>
      </c>
      <c r="I214" s="11" t="n">
        <v>80</v>
      </c>
      <c r="J214" s="11" t="n">
        <v>88</v>
      </c>
      <c r="K214" s="11" t="n">
        <v>96</v>
      </c>
      <c r="L214" s="11" t="n">
        <v>152</v>
      </c>
      <c r="M214" s="11" t="n">
        <v>168</v>
      </c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KIT OMEGA+pannelli</t>
        </is>
      </c>
      <c r="B215" s="4" t="n"/>
      <c r="C215" s="11" t="n">
        <v>2</v>
      </c>
      <c r="D215" s="4" t="inlineStr">
        <is>
          <t>TTS.AR.3011</t>
        </is>
      </c>
      <c r="E215" s="4" t="inlineStr">
        <is>
          <t>Supporto a L superiore omega</t>
        </is>
      </c>
      <c r="F215" s="4" t="inlineStr">
        <is>
          <t>Carpenteria metallica</t>
        </is>
      </c>
      <c r="G215" s="11" t="n">
        <v>2</v>
      </c>
      <c r="H215" s="11" t="n">
        <v>28</v>
      </c>
      <c r="I215" s="11" t="n">
        <v>40</v>
      </c>
      <c r="J215" s="11" t="n">
        <v>44</v>
      </c>
      <c r="K215" s="11" t="n">
        <v>48</v>
      </c>
      <c r="L215" s="11" t="n">
        <v>76</v>
      </c>
      <c r="M215" s="11" t="n">
        <v>84</v>
      </c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KIT OMEGA+pannelli</t>
        </is>
      </c>
      <c r="B216" s="4" t="n"/>
      <c r="C216" s="11" t="n">
        <v>3</v>
      </c>
      <c r="D216" s="4" t="inlineStr">
        <is>
          <t>TTS.AR.3012</t>
        </is>
      </c>
      <c r="E216" s="4" t="inlineStr">
        <is>
          <t>Supporto a V inferiore omega</t>
        </is>
      </c>
      <c r="F216" s="4" t="inlineStr">
        <is>
          <t>Carpenteria metallica</t>
        </is>
      </c>
      <c r="G216" s="11" t="n">
        <v>2</v>
      </c>
      <c r="H216" s="11" t="n">
        <v>56</v>
      </c>
      <c r="I216" s="11" t="n">
        <v>40</v>
      </c>
      <c r="J216" s="11" t="n">
        <v>44</v>
      </c>
      <c r="K216" s="11" t="n">
        <v>48</v>
      </c>
      <c r="L216" s="11" t="n">
        <v>76</v>
      </c>
      <c r="M216" s="11" t="n">
        <v>84</v>
      </c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 hidden="1">
      <c r="A217" s="4" t="inlineStr">
        <is>
          <t>KIT OMEGA+pannelli</t>
        </is>
      </c>
      <c r="B217" s="4" t="n"/>
      <c r="C217" s="11" t="n">
        <v>4</v>
      </c>
      <c r="D217" s="4" t="inlineStr">
        <is>
          <t>10ROND8</t>
        </is>
      </c>
      <c r="E217" s="4" t="inlineStr">
        <is>
          <t>Rondella zn 8</t>
        </is>
      </c>
      <c r="F217" s="4" t="inlineStr">
        <is>
          <t>Bulloneria e minuteria</t>
        </is>
      </c>
      <c r="G217" s="11" t="n">
        <v>4</v>
      </c>
      <c r="H217" s="11" t="n">
        <v>56</v>
      </c>
      <c r="I217" s="11" t="n">
        <v>80</v>
      </c>
      <c r="J217" s="11" t="n">
        <v>88</v>
      </c>
      <c r="K217" s="11" t="n">
        <v>96</v>
      </c>
      <c r="L217" s="11" t="n">
        <v>152</v>
      </c>
      <c r="M217" s="11" t="n">
        <v>168</v>
      </c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 hidden="1">
      <c r="A218" s="4" t="inlineStr">
        <is>
          <t>KIT OMEGA+pannelli</t>
        </is>
      </c>
      <c r="B218" s="4" t="n"/>
      <c r="C218" s="11" t="n">
        <v>5</v>
      </c>
      <c r="D218" s="4" t="inlineStr">
        <is>
          <t>10DAZAM8</t>
        </is>
      </c>
      <c r="E218" s="4" t="inlineStr">
        <is>
          <t>Dado autobloccante M8</t>
        </is>
      </c>
      <c r="F218" s="4" t="inlineStr">
        <is>
          <t>Bulloneria e minuteria</t>
        </is>
      </c>
      <c r="G218" s="11" t="n">
        <v>4</v>
      </c>
      <c r="H218" s="11" t="n">
        <v>56</v>
      </c>
      <c r="I218" s="11" t="n">
        <v>80</v>
      </c>
      <c r="J218" s="11" t="n">
        <v>88</v>
      </c>
      <c r="K218" s="11" t="n">
        <v>96</v>
      </c>
      <c r="L218" s="11" t="n">
        <v>152</v>
      </c>
      <c r="M218" s="11" t="n">
        <v>168</v>
      </c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 hidden="1">
      <c r="A219" s="4" t="inlineStr">
        <is>
          <t>KIT OMEGA+pannelli</t>
        </is>
      </c>
      <c r="B219" s="4" t="n"/>
      <c r="C219" s="11" t="n">
        <v>6</v>
      </c>
      <c r="D219" s="4" t="inlineStr">
        <is>
          <t>10BZM10X160</t>
        </is>
      </c>
      <c r="E219" s="4" t="inlineStr">
        <is>
          <t>Bullone testa esagonale zn M10X160</t>
        </is>
      </c>
      <c r="F219" s="4" t="inlineStr">
        <is>
          <t>Bulloneria e minuteria</t>
        </is>
      </c>
      <c r="G219" s="11" t="n">
        <v>4</v>
      </c>
      <c r="H219" s="11" t="n">
        <v>56</v>
      </c>
      <c r="I219" s="11" t="n">
        <v>80</v>
      </c>
      <c r="J219" s="11" t="n">
        <v>88</v>
      </c>
      <c r="K219" s="11" t="n">
        <v>96</v>
      </c>
      <c r="L219" s="11" t="n">
        <v>152</v>
      </c>
      <c r="M219" s="11" t="n">
        <v>168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 hidden="1">
      <c r="A220" s="4" t="inlineStr">
        <is>
          <t>KIT OMEGA+pannelli</t>
        </is>
      </c>
      <c r="B220" s="4" t="n"/>
      <c r="C220" s="11" t="n">
        <v>7</v>
      </c>
      <c r="D220" s="4" t="inlineStr">
        <is>
          <t>10ROND10</t>
        </is>
      </c>
      <c r="E220" s="4" t="inlineStr">
        <is>
          <t>Rondella zn 10</t>
        </is>
      </c>
      <c r="F220" s="4" t="inlineStr">
        <is>
          <t>Bulloneria e minuteria</t>
        </is>
      </c>
      <c r="G220" s="11" t="n">
        <v>4</v>
      </c>
      <c r="H220" s="11" t="n">
        <v>56</v>
      </c>
      <c r="I220" s="11" t="n">
        <v>80</v>
      </c>
      <c r="J220" s="11" t="n">
        <v>88</v>
      </c>
      <c r="K220" s="11" t="n">
        <v>96</v>
      </c>
      <c r="L220" s="11" t="n">
        <v>152</v>
      </c>
      <c r="M220" s="11" t="n">
        <v>168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 hidden="1">
      <c r="A221" s="4" t="inlineStr">
        <is>
          <t>KIT OMEGA+pannelli</t>
        </is>
      </c>
      <c r="B221" s="4" t="n"/>
      <c r="C221" s="11" t="n">
        <v>8</v>
      </c>
      <c r="D221" s="4" t="inlineStr">
        <is>
          <t>10DAZAM8</t>
        </is>
      </c>
      <c r="E221" s="4" t="inlineStr">
        <is>
          <t>Dado autobloccante M8</t>
        </is>
      </c>
      <c r="F221" s="4" t="inlineStr">
        <is>
          <t>Bulloneria e minuteria</t>
        </is>
      </c>
      <c r="G221" s="11" t="n">
        <v>4</v>
      </c>
      <c r="H221" s="11" t="n">
        <v>56</v>
      </c>
      <c r="I221" s="11" t="n">
        <v>80</v>
      </c>
      <c r="J221" s="11" t="n">
        <v>88</v>
      </c>
      <c r="K221" s="11" t="n">
        <v>96</v>
      </c>
      <c r="L221" s="11" t="n">
        <v>152</v>
      </c>
      <c r="M221" s="11" t="n">
        <v>168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 hidden="1">
      <c r="A222" s="4" t="inlineStr">
        <is>
          <t>KIT OMEGA+pannelli</t>
        </is>
      </c>
      <c r="B222" s="4" t="n"/>
      <c r="C222" s="11" t="n">
        <v>9</v>
      </c>
      <c r="D222" s="4" t="inlineStr">
        <is>
          <t>10BZM6X150</t>
        </is>
      </c>
      <c r="E222" s="4" t="inlineStr">
        <is>
          <t>Bullone testa esagonale zn M6X150</t>
        </is>
      </c>
      <c r="F222" s="4" t="inlineStr">
        <is>
          <t>Bulloneria e minuteria</t>
        </is>
      </c>
      <c r="G222" s="11" t="n">
        <v>2</v>
      </c>
      <c r="H222" s="11" t="n">
        <v>28</v>
      </c>
      <c r="I222" s="11" t="n">
        <v>40</v>
      </c>
      <c r="J222" s="11" t="n">
        <v>44</v>
      </c>
      <c r="K222" s="11" t="n">
        <v>48</v>
      </c>
      <c r="L222" s="11" t="n">
        <v>76</v>
      </c>
      <c r="M222" s="11" t="n">
        <v>336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KIT OMEGA+pannelli</t>
        </is>
      </c>
      <c r="B223" s="4" t="n"/>
      <c r="C223" s="11" t="n">
        <v>10</v>
      </c>
      <c r="D223" s="4" t="inlineStr">
        <is>
          <t>TTS.AR.3013</t>
        </is>
      </c>
      <c r="E223" s="4" t="inlineStr">
        <is>
          <t>Gaffa sotto omega</t>
        </is>
      </c>
      <c r="F223" s="4" t="inlineStr">
        <is>
          <t>Carpenteria metallica</t>
        </is>
      </c>
      <c r="G223" s="11" t="n">
        <v>1</v>
      </c>
      <c r="H223" s="11" t="n">
        <v>14</v>
      </c>
      <c r="I223" s="11" t="n">
        <v>20</v>
      </c>
      <c r="J223" s="11" t="n">
        <v>22</v>
      </c>
      <c r="K223" s="11" t="n">
        <v>24</v>
      </c>
      <c r="L223" s="11" t="n">
        <v>38</v>
      </c>
      <c r="M223" s="11" t="n">
        <v>42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 hidden="1">
      <c r="A224" s="4" t="inlineStr">
        <is>
          <t>KIT OMEGA+pannelli</t>
        </is>
      </c>
      <c r="B224" s="4" t="n"/>
      <c r="C224" s="11" t="n">
        <v>11</v>
      </c>
      <c r="D224" s="4" t="inlineStr">
        <is>
          <t>10ROND6</t>
        </is>
      </c>
      <c r="E224" s="4" t="inlineStr">
        <is>
          <t>Rondella zn 6</t>
        </is>
      </c>
      <c r="F224" s="4" t="inlineStr">
        <is>
          <t>Bulloneria e minuteria</t>
        </is>
      </c>
      <c r="G224" s="11" t="n">
        <v>2</v>
      </c>
      <c r="H224" s="11" t="n">
        <v>28</v>
      </c>
      <c r="I224" s="11" t="n">
        <v>40</v>
      </c>
      <c r="J224" s="11" t="n">
        <v>44</v>
      </c>
      <c r="K224" s="11" t="n">
        <v>48</v>
      </c>
      <c r="L224" s="11" t="n">
        <v>76</v>
      </c>
      <c r="M224" s="11" t="n">
        <v>84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 hidden="1">
      <c r="A225" s="4" t="inlineStr">
        <is>
          <t>KIT OMEGA+pannelli</t>
        </is>
      </c>
      <c r="B225" s="4" t="n"/>
      <c r="C225" s="11" t="n">
        <v>12</v>
      </c>
      <c r="D225" s="4" t="inlineStr">
        <is>
          <t>10DAZAM6</t>
        </is>
      </c>
      <c r="E225" s="4" t="inlineStr">
        <is>
          <t>Dado autobloccante M6</t>
        </is>
      </c>
      <c r="F225" s="4" t="inlineStr">
        <is>
          <t>Bulloneria e minuteria</t>
        </is>
      </c>
      <c r="G225" s="11" t="n">
        <v>2</v>
      </c>
      <c r="H225" s="11" t="n">
        <v>28</v>
      </c>
      <c r="I225" s="11" t="n">
        <v>40</v>
      </c>
      <c r="J225" s="11" t="n">
        <v>44</v>
      </c>
      <c r="K225" s="11" t="n">
        <v>48</v>
      </c>
      <c r="L225" s="11" t="n">
        <v>76</v>
      </c>
      <c r="M225" s="11" t="n">
        <v>84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KIT OMEGA+pannelli</t>
        </is>
      </c>
      <c r="B226" s="4" t="n"/>
      <c r="C226" s="11" t="n">
        <v>13</v>
      </c>
      <c r="D226" s="4" t="inlineStr">
        <is>
          <t>TTS.AR.3014</t>
        </is>
      </c>
      <c r="E226" s="4" t="inlineStr">
        <is>
          <t>Omega supporto pannello</t>
        </is>
      </c>
      <c r="F226" s="4" t="inlineStr">
        <is>
          <t>Carpenteria metallica</t>
        </is>
      </c>
      <c r="G226" s="11" t="n">
        <v>1</v>
      </c>
      <c r="H226" s="11" t="n">
        <v>14</v>
      </c>
      <c r="I226" s="11" t="n">
        <v>40</v>
      </c>
      <c r="J226" s="11" t="n">
        <v>22</v>
      </c>
      <c r="K226" s="11" t="n">
        <v>48</v>
      </c>
      <c r="L226" s="11" t="n">
        <v>38</v>
      </c>
      <c r="M226" s="11" t="n">
        <v>42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KIT OMEGA+pannelli</t>
        </is>
      </c>
      <c r="B227" s="4" t="n"/>
      <c r="C227" s="11" t="n">
        <v>13</v>
      </c>
      <c r="D227" s="4" t="inlineStr">
        <is>
          <t>TTS.AR.3014.18</t>
        </is>
      </c>
      <c r="E227" s="4" t="inlineStr">
        <is>
          <t>Omega supporto pannello mm1,8</t>
        </is>
      </c>
      <c r="F227" s="4" t="inlineStr">
        <is>
          <t>Carpenteria metallica</t>
        </is>
      </c>
      <c r="G227" s="11" t="n">
        <v>0</v>
      </c>
      <c r="H227" s="11" t="n"/>
      <c r="I227" s="11" t="n"/>
      <c r="J227" s="11" t="n"/>
      <c r="K227" s="11" t="n"/>
      <c r="L227" s="11" t="n"/>
      <c r="M227" s="11" t="n"/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 hidden="1">
      <c r="A228" s="4" t="inlineStr">
        <is>
          <t>KIT OMEGA+pannelli</t>
        </is>
      </c>
      <c r="B228" s="4" t="n"/>
      <c r="C228" s="11" t="n">
        <v>14</v>
      </c>
      <c r="D228" s="4" t="inlineStr">
        <is>
          <t>10ROND8</t>
        </is>
      </c>
      <c r="E228" s="4" t="inlineStr">
        <is>
          <t>Rondella zn 8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 hidden="1">
      <c r="A229" s="4" t="inlineStr">
        <is>
          <t>KIT OMEGA+pannelli</t>
        </is>
      </c>
      <c r="B229" s="4" t="n"/>
      <c r="C229" s="11" t="n">
        <v>15</v>
      </c>
      <c r="D229" s="4" t="inlineStr">
        <is>
          <t>10ROND10</t>
        </is>
      </c>
      <c r="E229" s="4" t="inlineStr">
        <is>
          <t>Rondella zn 10</t>
        </is>
      </c>
      <c r="F229" s="4" t="inlineStr">
        <is>
          <t>Bulloneria e minuteria</t>
        </is>
      </c>
      <c r="G229" s="11" t="n">
        <v>4</v>
      </c>
      <c r="H229" s="11" t="n">
        <v>56</v>
      </c>
      <c r="I229" s="11" t="n">
        <v>80</v>
      </c>
      <c r="J229" s="11" t="n">
        <v>88</v>
      </c>
      <c r="K229" s="11" t="n">
        <v>96</v>
      </c>
      <c r="L229" s="11" t="n">
        <v>152</v>
      </c>
      <c r="M229" s="11" t="n">
        <v>168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 hidden="1">
      <c r="A230" s="4" t="inlineStr">
        <is>
          <t>KIT OMEGA+pannelli</t>
        </is>
      </c>
      <c r="B230" s="4" t="n"/>
      <c r="C230" s="11" t="n">
        <v>16</v>
      </c>
      <c r="D230" s="4" t="inlineStr">
        <is>
          <t>10ROND6</t>
        </is>
      </c>
      <c r="E230" s="4" t="inlineStr">
        <is>
          <t>Rondella zn 6</t>
        </is>
      </c>
      <c r="F230" s="4" t="inlineStr">
        <is>
          <t>Bulloneria e minuteria</t>
        </is>
      </c>
      <c r="G230" s="11" t="n">
        <v>2</v>
      </c>
      <c r="H230" s="11" t="n">
        <v>28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 hidden="1">
      <c r="A231" t="inlineStr">
        <is>
          <t>KIT OMEGA+pannelli</t>
        </is>
      </c>
      <c r="C231" s="13" t="n">
        <v>1</v>
      </c>
      <c r="E231" t="inlineStr">
        <is>
          <t>Pannello fotovoltaico</t>
        </is>
      </c>
      <c r="F231" t="inlineStr">
        <is>
          <t>Moduli fotovoltaici</t>
        </is>
      </c>
      <c r="G231" s="13" t="n">
        <v>1</v>
      </c>
      <c r="H231" s="13" t="n">
        <v>12</v>
      </c>
      <c r="I231" s="13" t="n">
        <v>18</v>
      </c>
      <c r="J231" s="13" t="n">
        <v>20</v>
      </c>
      <c r="K231" s="13" t="n">
        <v>22</v>
      </c>
      <c r="L231" s="13" t="n">
        <v>36</v>
      </c>
      <c r="M231" s="13" t="n">
        <v>40</v>
      </c>
      <c r="N231" s="13" t="n"/>
      <c r="O231" s="13" t="inlineStr">
        <is>
          <t>pz</t>
        </is>
      </c>
      <c r="P231" s="14" t="n"/>
      <c r="Q231" s="12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 hidden="1">
      <c r="A232" t="inlineStr">
        <is>
          <t>KIT OMEGA+pannelli</t>
        </is>
      </c>
      <c r="C232" s="13" t="n">
        <v>3</v>
      </c>
      <c r="D232" t="inlineStr">
        <is>
          <t>10ROND8</t>
        </is>
      </c>
      <c r="E232" s="6" t="inlineStr">
        <is>
          <t>Rondella da 8 zn</t>
        </is>
      </c>
      <c r="F232" t="inlineStr">
        <is>
          <t>Bulloneria e minuteria</t>
        </is>
      </c>
      <c r="G232" s="13" t="n">
        <v>4</v>
      </c>
      <c r="H232" s="13" t="n">
        <v>12</v>
      </c>
      <c r="I232" s="13" t="n">
        <v>72</v>
      </c>
      <c r="J232" s="13" t="n">
        <v>80</v>
      </c>
      <c r="K232" s="13" t="n">
        <v>88</v>
      </c>
      <c r="L232" s="13" t="n">
        <v>144</v>
      </c>
      <c r="M232" s="13" t="n">
        <v>160</v>
      </c>
      <c r="N232" s="13" t="n"/>
      <c r="O232" s="13" t="inlineStr">
        <is>
          <t>pz</t>
        </is>
      </c>
      <c r="P232" s="14" t="n"/>
      <c r="Q232" s="7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 hidden="1">
      <c r="A233" t="inlineStr">
        <is>
          <t>KIT OMEGA+pannelli</t>
        </is>
      </c>
      <c r="C233" s="13" t="n">
        <v>4</v>
      </c>
      <c r="D233" t="inlineStr">
        <is>
          <t>10BZM8X25</t>
        </is>
      </c>
      <c r="E233" t="inlineStr">
        <is>
          <t>Bullone testa esagonale zn M8x25</t>
        </is>
      </c>
      <c r="F233" t="inlineStr">
        <is>
          <t>Bulloneria e minuteria</t>
        </is>
      </c>
      <c r="G233" s="13" t="n">
        <v>4</v>
      </c>
      <c r="H233" s="13" t="n">
        <v>48</v>
      </c>
      <c r="I233" s="13" t="n">
        <v>72</v>
      </c>
      <c r="J233" s="13" t="n">
        <v>80</v>
      </c>
      <c r="K233" s="13" t="n">
        <v>88</v>
      </c>
      <c r="L233" s="13" t="n">
        <v>144</v>
      </c>
      <c r="M233" s="13" t="n">
        <v>160</v>
      </c>
      <c r="N233" s="13" t="n"/>
      <c r="O233" s="13" t="inlineStr">
        <is>
          <t>pz</t>
        </is>
      </c>
      <c r="P233" s="14" t="n"/>
      <c r="Q233" s="12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 hidden="1">
      <c r="A234" t="inlineStr">
        <is>
          <t>KIT OMEGA+pannelli</t>
        </is>
      </c>
      <c r="C234" s="13" t="n">
        <v>5</v>
      </c>
      <c r="D234" t="inlineStr">
        <is>
          <t>10ROND8</t>
        </is>
      </c>
      <c r="E234" t="inlineStr">
        <is>
          <t>Rondella da 8 zn</t>
        </is>
      </c>
      <c r="F234" t="inlineStr">
        <is>
          <t>Bulloneria e minuteria</t>
        </is>
      </c>
      <c r="G234" s="13" t="n">
        <v>4</v>
      </c>
      <c r="H234" s="13" t="n">
        <v>48</v>
      </c>
      <c r="I234" s="13" t="n">
        <v>72</v>
      </c>
      <c r="J234" s="13" t="n">
        <v>80</v>
      </c>
      <c r="K234" s="13" t="n">
        <v>88</v>
      </c>
      <c r="L234" s="13" t="n">
        <v>144</v>
      </c>
      <c r="M234" s="13" t="n">
        <v>160</v>
      </c>
      <c r="N234" s="13" t="n"/>
      <c r="O234" s="13" t="inlineStr">
        <is>
          <t>pz</t>
        </is>
      </c>
      <c r="P234" s="14" t="n"/>
      <c r="Q234" s="12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 hidden="1">
      <c r="A235" t="inlineStr">
        <is>
          <t>KIT OMEGA+pannelli</t>
        </is>
      </c>
      <c r="C235" s="13" t="n">
        <v>6</v>
      </c>
      <c r="D235" t="inlineStr">
        <is>
          <t>10DADAZM8</t>
        </is>
      </c>
      <c r="E235" t="inlineStr">
        <is>
          <t>Dado autobloccante M8 zn</t>
        </is>
      </c>
      <c r="F235" t="inlineStr">
        <is>
          <t>Bulloneria e minuteria</t>
        </is>
      </c>
      <c r="G235" s="13" t="n">
        <v>4</v>
      </c>
      <c r="H235" s="13" t="n">
        <v>48</v>
      </c>
      <c r="I235" s="13" t="n">
        <v>72</v>
      </c>
      <c r="J235" s="13" t="n">
        <v>80</v>
      </c>
      <c r="K235" s="13" t="n">
        <v>88</v>
      </c>
      <c r="L235" s="13" t="n">
        <v>144</v>
      </c>
      <c r="M235" s="13" t="n">
        <v>160</v>
      </c>
      <c r="N235" s="13" t="n"/>
      <c r="O235" s="13" t="inlineStr">
        <is>
          <t>pz</t>
        </is>
      </c>
      <c r="P235" s="14" t="n"/>
      <c r="Q235" s="12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 hidden="1">
      <c r="A236" t="inlineStr">
        <is>
          <t>KIT OMEGA+pannelli</t>
        </is>
      </c>
      <c r="C236" s="13" t="n">
        <v>1</v>
      </c>
      <c r="E236" t="inlineStr">
        <is>
          <t>Pannellino fotovoltaico optional</t>
        </is>
      </c>
      <c r="F236" t="inlineStr">
        <is>
          <t>Moduli fotovoltaici</t>
        </is>
      </c>
      <c r="G236" s="13" t="n">
        <v>1</v>
      </c>
      <c r="H236" s="13" t="n"/>
      <c r="I236" s="13" t="n"/>
      <c r="J236" s="13" t="n"/>
      <c r="K236" s="13" t="n"/>
      <c r="L236" s="13" t="n"/>
      <c r="M236" s="13" t="n"/>
      <c r="N236" s="13" t="n"/>
      <c r="O236" s="13" t="inlineStr">
        <is>
          <t>pz</t>
        </is>
      </c>
      <c r="P236" s="14" t="n"/>
      <c r="Q236" s="12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 hidden="1">
      <c r="A237" t="inlineStr">
        <is>
          <t>KIT OMEGA+pannelli</t>
        </is>
      </c>
      <c r="C237" s="13" t="n">
        <v>3</v>
      </c>
      <c r="D237" t="inlineStr">
        <is>
          <t>10ROND8</t>
        </is>
      </c>
      <c r="E237" t="inlineStr">
        <is>
          <t>Rondella da 8 zn</t>
        </is>
      </c>
      <c r="F237" t="inlineStr">
        <is>
          <t>Bulloneria e minuteria</t>
        </is>
      </c>
      <c r="G237" s="13" t="n">
        <v>4</v>
      </c>
      <c r="H237" s="13" t="n"/>
      <c r="I237" s="13" t="n"/>
      <c r="J237" s="13" t="n"/>
      <c r="K237" s="13" t="n"/>
      <c r="L237" s="13" t="n"/>
      <c r="M237" s="13" t="n"/>
      <c r="N237" s="13" t="n"/>
      <c r="O237" s="13" t="inlineStr">
        <is>
          <t>pz</t>
        </is>
      </c>
      <c r="P237" s="14" t="n"/>
      <c r="Q237" s="12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 hidden="1">
      <c r="A238" t="inlineStr">
        <is>
          <t>KIT OMEGA+pannelli</t>
        </is>
      </c>
      <c r="C238" s="13" t="n">
        <v>4</v>
      </c>
      <c r="D238" t="inlineStr">
        <is>
          <t>10BZM8X25</t>
        </is>
      </c>
      <c r="E238" t="inlineStr">
        <is>
          <t>Bullone testa esagonale zn M8x25</t>
        </is>
      </c>
      <c r="F238" t="inlineStr">
        <is>
          <t>Bulloneria e minuteria</t>
        </is>
      </c>
      <c r="G238" s="13" t="n">
        <v>4</v>
      </c>
      <c r="H238" s="13" t="n"/>
      <c r="I238" s="13" t="n"/>
      <c r="J238" s="13" t="n"/>
      <c r="K238" s="13" t="n"/>
      <c r="L238" s="13" t="n"/>
      <c r="M238" s="13" t="n"/>
      <c r="N238" s="13" t="n"/>
      <c r="O238" s="13" t="inlineStr">
        <is>
          <t>pz</t>
        </is>
      </c>
      <c r="P238" s="14" t="n"/>
      <c r="Q238" s="12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 hidden="1">
      <c r="A239" t="inlineStr">
        <is>
          <t>KIT OMEGA+pannelli</t>
        </is>
      </c>
      <c r="C239" s="13" t="n">
        <v>5</v>
      </c>
      <c r="D239" t="inlineStr">
        <is>
          <t>10ROND8</t>
        </is>
      </c>
      <c r="E239" t="inlineStr">
        <is>
          <t>Rondella da 8 zn</t>
        </is>
      </c>
      <c r="F239" t="inlineStr">
        <is>
          <t>Bulloneria e minuteria</t>
        </is>
      </c>
      <c r="G239" s="13" t="n">
        <v>4</v>
      </c>
      <c r="H239" s="13" t="n"/>
      <c r="I239" s="13" t="n"/>
      <c r="J239" s="13" t="n"/>
      <c r="K239" s="13" t="n"/>
      <c r="L239" s="13" t="n"/>
      <c r="M239" s="13" t="n"/>
      <c r="N239" s="13" t="n"/>
      <c r="O239" s="13" t="inlineStr">
        <is>
          <t>pz</t>
        </is>
      </c>
      <c r="P239" s="14" t="n"/>
      <c r="Q239" s="12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 hidden="1">
      <c r="A240" t="inlineStr">
        <is>
          <t>KIT OMEGA+pannelli</t>
        </is>
      </c>
      <c r="C240" s="13" t="n">
        <v>6</v>
      </c>
      <c r="D240" t="inlineStr">
        <is>
          <t>10DADAZM8</t>
        </is>
      </c>
      <c r="E240" t="inlineStr">
        <is>
          <t>Dado autobloccante M8 zn</t>
        </is>
      </c>
      <c r="F240" t="inlineStr">
        <is>
          <t>Bulloneria e minuteria</t>
        </is>
      </c>
      <c r="G240" s="13" t="n">
        <v>4</v>
      </c>
      <c r="H240" s="13" t="n"/>
      <c r="I240" s="13" t="n"/>
      <c r="J240" s="13" t="n"/>
      <c r="K240" s="13" t="n"/>
      <c r="L240" s="13" t="n"/>
      <c r="M240" s="13" t="n"/>
      <c r="N240" s="13" t="n"/>
      <c r="O240" s="13" t="inlineStr">
        <is>
          <t>pz</t>
        </is>
      </c>
      <c r="P240" s="14" t="n"/>
      <c r="Q240" s="12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 hidden="1">
      <c r="A241" t="inlineStr">
        <is>
          <t>KIT FINE CORSA</t>
        </is>
      </c>
      <c r="B241" t="inlineStr">
        <is>
          <t>1 KIT PER TRACKER</t>
        </is>
      </c>
      <c r="C241" s="13" t="n">
        <v>1</v>
      </c>
      <c r="D241" t="inlineStr">
        <is>
          <t>10BZM5X30</t>
        </is>
      </c>
      <c r="E241" t="inlineStr">
        <is>
          <t>Bullone testa esagonale zn M5x30</t>
        </is>
      </c>
      <c r="F241" t="inlineStr">
        <is>
          <t>Bulloneria e minuteria</t>
        </is>
      </c>
      <c r="G241" s="13" t="n">
        <v>4</v>
      </c>
      <c r="H241" s="13" t="n"/>
      <c r="I241" s="13" t="n"/>
      <c r="J241" s="13" t="n"/>
      <c r="K241" s="13" t="n"/>
      <c r="L241" s="13" t="n"/>
      <c r="M241" s="13" t="n"/>
      <c r="N241" s="13" t="n"/>
      <c r="O241" s="13" t="inlineStr">
        <is>
          <t>pz</t>
        </is>
      </c>
      <c r="P241" s="14" t="n"/>
      <c r="Q241" s="12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 hidden="1">
      <c r="A242" t="inlineStr">
        <is>
          <t>KIT FINE CORSA</t>
        </is>
      </c>
      <c r="B242" t="inlineStr">
        <is>
          <t>1 KIT PER TRACKER</t>
        </is>
      </c>
      <c r="C242" s="13" t="n">
        <v>2</v>
      </c>
      <c r="D242" t="inlineStr">
        <is>
          <t>10S-FC</t>
        </is>
      </c>
      <c r="E242" t="inlineStr">
        <is>
          <t>Sensore fine corsa elettrico</t>
        </is>
      </c>
      <c r="F242" t="inlineStr">
        <is>
          <t>Sensoristica e strumentazione</t>
        </is>
      </c>
      <c r="G242" s="13" t="n">
        <v>1</v>
      </c>
      <c r="H242" s="13" t="n"/>
      <c r="I242" s="13" t="n"/>
      <c r="J242" s="13" t="n"/>
      <c r="K242" s="13" t="n"/>
      <c r="L242" s="13" t="n"/>
      <c r="M242" s="13" t="n"/>
      <c r="N242" s="13" t="n"/>
      <c r="O242" s="13" t="inlineStr">
        <is>
          <t>pz</t>
        </is>
      </c>
      <c r="P242" s="14" t="n"/>
      <c r="Q242" s="12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t="inlineStr">
        <is>
          <t>KIT FINE CORSA</t>
        </is>
      </c>
      <c r="B243" t="inlineStr">
        <is>
          <t>1 KIT PER TRACKER</t>
        </is>
      </c>
      <c r="C243" s="13" t="n">
        <v>3</v>
      </c>
      <c r="D243" t="inlineStr">
        <is>
          <t>TTS.AR.5011</t>
        </is>
      </c>
      <c r="E243" t="inlineStr">
        <is>
          <t>Piastra ad L supporto fine corsa</t>
        </is>
      </c>
      <c r="F243" t="inlineStr">
        <is>
          <t>Carpenteria metallica</t>
        </is>
      </c>
      <c r="G243" s="13" t="n">
        <v>1</v>
      </c>
      <c r="H243" s="13" t="n"/>
      <c r="I243" s="13" t="n"/>
      <c r="J243" s="13" t="n"/>
      <c r="K243" s="13" t="n"/>
      <c r="L243" s="13" t="n"/>
      <c r="M243" s="13" t="n"/>
      <c r="N243" s="13" t="n"/>
      <c r="O243" s="13" t="inlineStr">
        <is>
          <t>pz</t>
        </is>
      </c>
      <c r="P243" s="14" t="n"/>
      <c r="Q243" s="12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 hidden="1">
      <c r="A244" t="inlineStr">
        <is>
          <t>KIT FINE CORSA</t>
        </is>
      </c>
      <c r="B244" t="inlineStr">
        <is>
          <t>1 KIT PER TRACKER</t>
        </is>
      </c>
      <c r="C244" s="13" t="n">
        <v>4</v>
      </c>
      <c r="D244" t="inlineStr">
        <is>
          <t>10ROND5</t>
        </is>
      </c>
      <c r="E244" t="inlineStr">
        <is>
          <t>Rondella zn 5</t>
        </is>
      </c>
      <c r="F244" t="inlineStr">
        <is>
          <t>Bulloneria e minuteria</t>
        </is>
      </c>
      <c r="G244" s="13" t="n">
        <v>2</v>
      </c>
      <c r="H244" s="13" t="n"/>
      <c r="I244" s="13" t="n"/>
      <c r="J244" s="13" t="n"/>
      <c r="K244" s="13" t="n"/>
      <c r="L244" s="13" t="n"/>
      <c r="M244" s="13" t="n"/>
      <c r="N244" s="13" t="n"/>
      <c r="O244" s="13" t="inlineStr">
        <is>
          <t>pz</t>
        </is>
      </c>
      <c r="P244" s="14" t="n"/>
      <c r="Q244" s="12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 hidden="1">
      <c r="A245" t="inlineStr">
        <is>
          <t>KIT FINE CORSA</t>
        </is>
      </c>
      <c r="B245" t="inlineStr">
        <is>
          <t>1 KIT PER TRACKER</t>
        </is>
      </c>
      <c r="C245" s="13" t="n">
        <v>5</v>
      </c>
      <c r="D245" t="inlineStr">
        <is>
          <t>10DAZAM5</t>
        </is>
      </c>
      <c r="E245" t="inlineStr">
        <is>
          <t>Dado M5 autobloccante</t>
        </is>
      </c>
      <c r="F245" t="inlineStr">
        <is>
          <t>Bulloneria e minuteria</t>
        </is>
      </c>
      <c r="G245" s="13" t="n">
        <v>4</v>
      </c>
      <c r="H245" s="13" t="n"/>
      <c r="I245" s="13" t="n"/>
      <c r="J245" s="13" t="n"/>
      <c r="K245" s="13" t="n"/>
      <c r="L245" s="13" t="n"/>
      <c r="M245" s="13" t="n"/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 hidden="1">
      <c r="A246" t="inlineStr">
        <is>
          <t>KIT FINE CORSA</t>
        </is>
      </c>
      <c r="B246" t="inlineStr">
        <is>
          <t>1 KIT PER TRACKER</t>
        </is>
      </c>
      <c r="C246" s="13" t="n">
        <v>6</v>
      </c>
      <c r="D246" t="inlineStr">
        <is>
          <t>10BZM6X20</t>
        </is>
      </c>
      <c r="E246" t="inlineStr">
        <is>
          <t>Bullone testa esagonale zn M6X20</t>
        </is>
      </c>
      <c r="F246" t="inlineStr">
        <is>
          <t>Bulloneria e minuteria</t>
        </is>
      </c>
      <c r="G246" s="13" t="n">
        <v>2</v>
      </c>
      <c r="H246" s="13" t="n"/>
      <c r="I246" s="13" t="n"/>
      <c r="J246" s="13" t="n"/>
      <c r="K246" s="13" t="n"/>
      <c r="L246" s="13" t="n"/>
      <c r="M246" s="13" t="n"/>
      <c r="N246" s="13" t="n"/>
      <c r="O246" s="13" t="inlineStr">
        <is>
          <t>pz</t>
        </is>
      </c>
      <c r="P246" s="14" t="n"/>
      <c r="Q246" s="12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 hidden="1">
      <c r="A247" t="inlineStr">
        <is>
          <t>KIT FINE CORSA</t>
        </is>
      </c>
      <c r="B247" t="inlineStr">
        <is>
          <t>1 KIT PER TRACKER</t>
        </is>
      </c>
      <c r="C247" s="13" t="n">
        <v>7</v>
      </c>
      <c r="D247" t="inlineStr">
        <is>
          <t>10ROND6</t>
        </is>
      </c>
      <c r="E247" t="inlineStr">
        <is>
          <t>Rondella zn 6</t>
        </is>
      </c>
      <c r="F247" t="inlineStr">
        <is>
          <t>Bulloneria e minuteria</t>
        </is>
      </c>
      <c r="G247" s="13" t="n">
        <v>2</v>
      </c>
      <c r="H247" s="13" t="n"/>
      <c r="I247" s="13" t="n"/>
      <c r="J247" s="13" t="n"/>
      <c r="K247" s="13" t="n"/>
      <c r="L247" s="13" t="n"/>
      <c r="M247" s="13" t="n"/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 hidden="1">
      <c r="A248" t="inlineStr">
        <is>
          <t>KIT FINE CORSA</t>
        </is>
      </c>
      <c r="B248" t="inlineStr">
        <is>
          <t>1 KIT PER TRACKER</t>
        </is>
      </c>
      <c r="C248" s="13" t="n">
        <v>9</v>
      </c>
      <c r="D248" t="inlineStr">
        <is>
          <t>10ROND6</t>
        </is>
      </c>
      <c r="E248" t="inlineStr">
        <is>
          <t>Rondella zn 6</t>
        </is>
      </c>
      <c r="F248" t="inlineStr">
        <is>
          <t>Bulloneria e minuteria</t>
        </is>
      </c>
      <c r="G248" s="13" t="n">
        <v>2</v>
      </c>
      <c r="H248" s="13" t="n"/>
      <c r="I248" s="13" t="n"/>
      <c r="J248" s="13" t="n"/>
      <c r="K248" s="13" t="n"/>
      <c r="L248" s="13" t="n"/>
      <c r="M248" s="13" t="n"/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 hidden="1">
      <c r="A249" t="inlineStr">
        <is>
          <t>KIT FINE CORSA</t>
        </is>
      </c>
      <c r="B249" t="inlineStr">
        <is>
          <t>1 KIT PER TRACKER</t>
        </is>
      </c>
      <c r="C249" s="13" t="n">
        <v>10</v>
      </c>
      <c r="D249" t="inlineStr">
        <is>
          <t>10DAZAM6</t>
        </is>
      </c>
      <c r="E249" t="inlineStr">
        <is>
          <t>Dado M6 autobloccante</t>
        </is>
      </c>
      <c r="F249" t="inlineStr">
        <is>
          <t>Bulloneria e minuteria</t>
        </is>
      </c>
      <c r="G249" s="13" t="n">
        <v>2</v>
      </c>
      <c r="H249" s="13" t="n"/>
      <c r="I249" s="13" t="n"/>
      <c r="J249" s="13" t="n"/>
      <c r="K249" s="13" t="n"/>
      <c r="L249" s="13" t="n"/>
      <c r="M249" s="13" t="n"/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 hidden="1">
      <c r="A250" t="inlineStr">
        <is>
          <t>KIT FINE CORSA</t>
        </is>
      </c>
      <c r="B250" t="inlineStr">
        <is>
          <t>1 KIT PER TRACKER</t>
        </is>
      </c>
      <c r="C250" s="13" t="n">
        <v>1</v>
      </c>
      <c r="D250" t="inlineStr">
        <is>
          <t>10BZM16X25</t>
        </is>
      </c>
      <c r="E250" t="inlineStr">
        <is>
          <t>Bullone testa esagonale zn M16X25</t>
        </is>
      </c>
      <c r="F250" t="inlineStr">
        <is>
          <t>Bulloneria e minuteria</t>
        </is>
      </c>
      <c r="G250" s="13" t="n">
        <v>2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 hidden="1">
      <c r="A251" t="inlineStr">
        <is>
          <t>KIT FINE CORSA</t>
        </is>
      </c>
      <c r="B251" t="inlineStr">
        <is>
          <t>1 KIT PER TRACKER</t>
        </is>
      </c>
      <c r="C251" s="13" t="n">
        <v>2</v>
      </c>
      <c r="D251" t="inlineStr">
        <is>
          <t>10ROND16</t>
        </is>
      </c>
      <c r="E251" t="inlineStr">
        <is>
          <t>Rondella zn 16</t>
        </is>
      </c>
      <c r="F251" t="inlineStr">
        <is>
          <t>Bulloneria e minuteria</t>
        </is>
      </c>
      <c r="G251" s="13" t="n">
        <v>2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FINE CORSA</t>
        </is>
      </c>
      <c r="B252" t="inlineStr">
        <is>
          <t>1 KIT PER TRACKER</t>
        </is>
      </c>
      <c r="C252" s="13" t="n">
        <v>3</v>
      </c>
      <c r="D252" t="inlineStr">
        <is>
          <t>TTS.AR.5012</t>
        </is>
      </c>
      <c r="E252" t="inlineStr">
        <is>
          <t>Leva battente sensore fine corsa</t>
        </is>
      </c>
      <c r="F252" t="inlineStr">
        <is>
          <t>Carpenteria metallica</t>
        </is>
      </c>
      <c r="G252" s="13" t="n">
        <v>1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INCLINOMETRO</t>
        </is>
      </c>
      <c r="B253" t="inlineStr">
        <is>
          <t>1 KIT PER TRACKER</t>
        </is>
      </c>
      <c r="C253" s="13" t="n">
        <v>1</v>
      </c>
      <c r="D253" t="inlineStr">
        <is>
          <t>TTS.AR.4011</t>
        </is>
      </c>
      <c r="E253" t="inlineStr">
        <is>
          <t>Supporto superiore inclinometro</t>
        </is>
      </c>
      <c r="F253" t="inlineStr">
        <is>
          <t>Carpenteria metallica</t>
        </is>
      </c>
      <c r="G253" s="13" t="n">
        <v>1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 hidden="1">
      <c r="A254" t="inlineStr">
        <is>
          <t>KIT INCLINOMETRO</t>
        </is>
      </c>
      <c r="B254" t="inlineStr">
        <is>
          <t>1 KIT PER TRACKER</t>
        </is>
      </c>
      <c r="C254" s="13" t="n">
        <v>2</v>
      </c>
      <c r="D254" t="inlineStr">
        <is>
          <t>10BZM8X150</t>
        </is>
      </c>
      <c r="E254" t="inlineStr">
        <is>
          <t>Bullone testa esagonale zn M8X150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 hidden="1">
      <c r="A255" t="inlineStr">
        <is>
          <t>KIT INCLINOMETRO</t>
        </is>
      </c>
      <c r="B255" t="inlineStr">
        <is>
          <t>1 KIT PER TRACKER</t>
        </is>
      </c>
      <c r="C255" s="13" t="n">
        <v>3</v>
      </c>
      <c r="D255" t="inlineStr">
        <is>
          <t>10ROND8</t>
        </is>
      </c>
      <c r="E255" t="inlineStr">
        <is>
          <t>Rondella zn 8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INCLINOMETRO</t>
        </is>
      </c>
      <c r="B256" t="inlineStr">
        <is>
          <t>1 KIT PER TRACKER</t>
        </is>
      </c>
      <c r="C256" s="13" t="n">
        <v>4</v>
      </c>
      <c r="D256" t="inlineStr">
        <is>
          <t>TTS.AR.4012</t>
        </is>
      </c>
      <c r="E256" t="inlineStr">
        <is>
          <t>Supporto inferiore inclinometro</t>
        </is>
      </c>
      <c r="F256" t="inlineStr">
        <is>
          <t>Carpenteria metallica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 hidden="1">
      <c r="A257" t="inlineStr">
        <is>
          <t>KIT INCLINOMETRO</t>
        </is>
      </c>
      <c r="B257" t="inlineStr">
        <is>
          <t>1 KIT PER TRACKER</t>
        </is>
      </c>
      <c r="C257" s="13" t="n">
        <v>5</v>
      </c>
      <c r="D257" t="inlineStr">
        <is>
          <t>10ROND8</t>
        </is>
      </c>
      <c r="E257" t="inlineStr">
        <is>
          <t>Rondella zn 8</t>
        </is>
      </c>
      <c r="F257" t="inlineStr">
        <is>
          <t>Bulloneria e minuteria</t>
        </is>
      </c>
      <c r="G257" s="13" t="n">
        <v>4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 hidden="1">
      <c r="A258" t="inlineStr">
        <is>
          <t>KIT INCLINOMETRO</t>
        </is>
      </c>
      <c r="B258" t="inlineStr">
        <is>
          <t>1 KIT PER TRACKER</t>
        </is>
      </c>
      <c r="C258" s="13" t="n">
        <v>6</v>
      </c>
      <c r="D258" t="inlineStr">
        <is>
          <t>10DAZAM8</t>
        </is>
      </c>
      <c r="E258" t="inlineStr">
        <is>
          <t>Dado M8 autobloccante</t>
        </is>
      </c>
      <c r="F258" t="inlineStr">
        <is>
          <t>Bulloneria e minuteria</t>
        </is>
      </c>
      <c r="G258" s="13" t="n">
        <v>4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 hidden="1">
      <c r="A259" t="inlineStr">
        <is>
          <t>KIT INCLINOMETRO</t>
        </is>
      </c>
      <c r="B259" t="inlineStr">
        <is>
          <t>1 KIT PER TRACKER</t>
        </is>
      </c>
      <c r="C259" s="13" t="n">
        <v>7</v>
      </c>
      <c r="D259" t="inlineStr">
        <is>
          <t>TK1024S</t>
        </is>
      </c>
      <c r="E259" t="inlineStr">
        <is>
          <t>Inclinometro</t>
        </is>
      </c>
      <c r="F259" t="inlineStr">
        <is>
          <t>Sensoristica e strumentazione</t>
        </is>
      </c>
      <c r="G259" s="13" t="n">
        <v>1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 hidden="1">
      <c r="A260" t="inlineStr">
        <is>
          <t>KIT INCLINOMETRO</t>
        </is>
      </c>
      <c r="B260" t="inlineStr">
        <is>
          <t>1 KIT PER TRACKER</t>
        </is>
      </c>
      <c r="C260" s="13" t="n">
        <v>8</v>
      </c>
      <c r="D260" t="inlineStr">
        <is>
          <t>M5X30 8.8 ISO1207</t>
        </is>
      </c>
      <c r="E260" t="inlineStr">
        <is>
          <t>Bullone testa esagonale con intaglio M5x30</t>
        </is>
      </c>
      <c r="F260" t="inlineStr">
        <is>
          <t>Bulloneria e minuteria</t>
        </is>
      </c>
      <c r="G260" s="13" t="n">
        <v>4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 hidden="1">
      <c r="A261" t="inlineStr">
        <is>
          <t>KIT INCLINOMETRO</t>
        </is>
      </c>
      <c r="B261" t="inlineStr">
        <is>
          <t>1 KIT PER TRACKER</t>
        </is>
      </c>
      <c r="C261" s="13" t="n">
        <v>9</v>
      </c>
      <c r="D261" t="inlineStr">
        <is>
          <t>10ROND5</t>
        </is>
      </c>
      <c r="E261" t="inlineStr">
        <is>
          <t>Rondella zn 5</t>
        </is>
      </c>
      <c r="F261" t="inlineStr">
        <is>
          <t>Bulloneria e minuteria</t>
        </is>
      </c>
      <c r="G261" s="13" t="n">
        <v>4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 hidden="1">
      <c r="A262" t="inlineStr">
        <is>
          <t>KIT INCLINOMETRO</t>
        </is>
      </c>
      <c r="B262" t="inlineStr">
        <is>
          <t>1 KIT PER TRACKER</t>
        </is>
      </c>
      <c r="C262" s="13" t="n">
        <v>10</v>
      </c>
      <c r="D262" t="inlineStr">
        <is>
          <t>10DAZAM5</t>
        </is>
      </c>
      <c r="E262" t="inlineStr">
        <is>
          <t>Dado M5 autobloccante</t>
        </is>
      </c>
      <c r="F262" t="inlineStr">
        <is>
          <t>Bulloneria e minuteria</t>
        </is>
      </c>
      <c r="G262" s="13" t="n">
        <v>4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quadro motore</t>
        </is>
      </c>
      <c r="C263" s="13" t="n">
        <v>1</v>
      </c>
      <c r="D263" t="inlineStr">
        <is>
          <t>TTS.PM.2011</t>
        </is>
      </c>
      <c r="E263" t="inlineStr">
        <is>
          <t>Angolare 30x30x4 lungo 370 mm. superiore</t>
        </is>
      </c>
      <c r="F263" t="inlineStr">
        <is>
          <t>Carpenteria metallica</t>
        </is>
      </c>
      <c r="G263" s="13" t="n">
        <v>1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quadro motore</t>
        </is>
      </c>
      <c r="C264" s="13" t="n">
        <v>2</v>
      </c>
      <c r="D264" t="inlineStr">
        <is>
          <t>TTS.PM.2012</t>
        </is>
      </c>
      <c r="E264" t="inlineStr">
        <is>
          <t>Angolare 30x30x4 lungo 370 mm. inferiore</t>
        </is>
      </c>
      <c r="F264" t="inlineStr">
        <is>
          <t>Carpenteria metallica</t>
        </is>
      </c>
      <c r="G264" s="13" t="n">
        <v>1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 hidden="1">
      <c r="A265" t="inlineStr">
        <is>
          <t>kit quadro motore</t>
        </is>
      </c>
      <c r="C265" s="13" t="n">
        <v>3</v>
      </c>
      <c r="D265" t="inlineStr">
        <is>
          <t>10BZM6X30</t>
        </is>
      </c>
      <c r="E265" t="inlineStr">
        <is>
          <t>Bullone testa esagonale zn M6X30</t>
        </is>
      </c>
      <c r="F265" t="inlineStr">
        <is>
          <t>Bulloneria e minuteria</t>
        </is>
      </c>
      <c r="G265" s="13" t="n">
        <v>4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 hidden="1">
      <c r="A266" t="inlineStr">
        <is>
          <t>kit quadro motore</t>
        </is>
      </c>
      <c r="C266" s="13" t="n">
        <v>4</v>
      </c>
      <c r="D266" t="inlineStr">
        <is>
          <t>10ROND6</t>
        </is>
      </c>
      <c r="E266" t="inlineStr">
        <is>
          <t>Rondella zn 6</t>
        </is>
      </c>
      <c r="F266" t="inlineStr">
        <is>
          <t>Bulloneria e minuteria</t>
        </is>
      </c>
      <c r="G266" s="13" t="n">
        <v>4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 hidden="1">
      <c r="A267" t="inlineStr">
        <is>
          <t>kit quadro motore</t>
        </is>
      </c>
      <c r="C267" s="13" t="n">
        <v>5</v>
      </c>
      <c r="D267" t="inlineStr">
        <is>
          <t>10ROND6</t>
        </is>
      </c>
      <c r="E267" t="inlineStr">
        <is>
          <t>Rondella zn 6</t>
        </is>
      </c>
      <c r="F267" t="inlineStr">
        <is>
          <t>Bulloneria e minuteria</t>
        </is>
      </c>
      <c r="G267" s="13" t="n">
        <v>4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 hidden="1">
      <c r="A268" t="inlineStr">
        <is>
          <t>kit quadro motore</t>
        </is>
      </c>
      <c r="C268" s="13" t="n">
        <v>6</v>
      </c>
      <c r="D268" t="inlineStr">
        <is>
          <t>10DAZAM6</t>
        </is>
      </c>
      <c r="E268" t="inlineStr">
        <is>
          <t>Dado M6 autobloccante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quadro motore</t>
        </is>
      </c>
      <c r="C269" s="13" t="n">
        <v>7</v>
      </c>
      <c r="D269" t="inlineStr">
        <is>
          <t>TTS.PM.001.IPE140.22</t>
        </is>
      </c>
      <c r="E269" t="inlineStr">
        <is>
          <t>Pilastro motore trave ipe140 x 2220 con foratura alloggiamento quadro motore (standard)</t>
        </is>
      </c>
      <c r="F269" t="inlineStr">
        <is>
          <t>Carpenteria metallica</t>
        </is>
      </c>
      <c r="G269" s="13" t="n">
        <v>1</v>
      </c>
      <c r="H269" s="13" t="n"/>
      <c r="I269" s="13" t="n"/>
      <c r="J269" s="13" t="n"/>
      <c r="K269" s="13" t="n"/>
      <c r="L269" s="13" t="n"/>
      <c r="M269" s="13" t="n"/>
      <c r="N269" s="13" t="inlineStr">
        <is>
          <t>X</t>
        </is>
      </c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 hidden="1">
      <c r="A270" t="inlineStr">
        <is>
          <t>kit quadro motore</t>
        </is>
      </c>
      <c r="C270" s="13" t="n">
        <v>8</v>
      </c>
      <c r="D270" t="inlineStr">
        <is>
          <t>B04601</t>
        </is>
      </c>
      <c r="E270" t="inlineStr">
        <is>
          <t>Quadro in vetroresina Pedro VTR 01</t>
        </is>
      </c>
      <c r="F270" t="inlineStr">
        <is>
          <t>Quadristica ed elettrico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 hidden="1">
      <c r="A271" t="inlineStr">
        <is>
          <t>kit quadro motore</t>
        </is>
      </c>
      <c r="C271" s="13" t="n">
        <v>9</v>
      </c>
      <c r="D271" t="inlineStr">
        <is>
          <t>10BZM8X25</t>
        </is>
      </c>
      <c r="E271" t="inlineStr">
        <is>
          <t>Bullone testa esagonale zn M8X25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 hidden="1">
      <c r="A272" t="inlineStr">
        <is>
          <t>kit quadro motore</t>
        </is>
      </c>
      <c r="C272" s="13" t="n">
        <v>10</v>
      </c>
      <c r="D272" t="inlineStr">
        <is>
          <t>10ROND8</t>
        </is>
      </c>
      <c r="E272" t="inlineStr">
        <is>
          <t>Rondella zn 8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 hidden="1">
      <c r="A273" t="inlineStr">
        <is>
          <t>kit quadro motore</t>
        </is>
      </c>
      <c r="C273" s="13" t="n">
        <v>11</v>
      </c>
      <c r="D273" t="inlineStr">
        <is>
          <t>10ROND8</t>
        </is>
      </c>
      <c r="E273" t="inlineStr">
        <is>
          <t>Rondella zn 8</t>
        </is>
      </c>
      <c r="F273" t="inlineStr">
        <is>
          <t>Bulloneria e minuteria</t>
        </is>
      </c>
      <c r="G273" s="13" t="n">
        <v>4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 hidden="1">
      <c r="A274" t="inlineStr">
        <is>
          <t>kit quadro motore</t>
        </is>
      </c>
      <c r="C274" s="13" t="n">
        <v>12</v>
      </c>
      <c r="D274" t="inlineStr">
        <is>
          <t>10DAZAM8</t>
        </is>
      </c>
      <c r="E274" t="inlineStr">
        <is>
          <t>Dado M8 autobloccante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quadri centralina meteo</t>
        </is>
      </c>
      <c r="C275" s="13" t="n">
        <v>1</v>
      </c>
      <c r="D275" t="inlineStr">
        <is>
          <t>TTS.PM.001.IPE140.22.QC</t>
        </is>
      </c>
      <c r="E275" t="inlineStr">
        <is>
          <t>Pilastro motore trave ipe140 x 2220 con foratura alloggiamento quadro motore + quadro centralina meteo + quadro alimentazione centralina meteo</t>
        </is>
      </c>
      <c r="F275" t="inlineStr">
        <is>
          <t>Carpenteria metallica</t>
        </is>
      </c>
      <c r="G275" s="13" t="n">
        <v>1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quadri centralina meteo</t>
        </is>
      </c>
      <c r="C276" s="13" t="n">
        <v>1</v>
      </c>
      <c r="D276" t="inlineStr">
        <is>
          <t>TTS.PM.001.IPEA140.22.QC</t>
        </is>
      </c>
      <c r="E276" t="inlineStr">
        <is>
          <t>Pilastro motore trave ipea140 x 2220 con foratura alloggiamento quadro motore + quadro centralina meteo + quadro alimentazione centralina meteo (alleggerita)</t>
        </is>
      </c>
      <c r="F276" t="inlineStr">
        <is>
          <t>Carpenteria metallica</t>
        </is>
      </c>
      <c r="G276" s="13" t="n">
        <v>0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quadri centralina meteo</t>
        </is>
      </c>
      <c r="C277" s="13" t="n">
        <v>2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 hidden="1">
      <c r="A278" t="inlineStr">
        <is>
          <t>kit quadri centralina meteo</t>
        </is>
      </c>
      <c r="C278" s="13" t="n">
        <v>3</v>
      </c>
      <c r="D278" t="inlineStr">
        <is>
          <t>10DAZAM6</t>
        </is>
      </c>
      <c r="E278" t="inlineStr">
        <is>
          <t>Dado M6 autobloccante</t>
        </is>
      </c>
      <c r="F278" t="inlineStr">
        <is>
          <t>Bulloneria e minuteria</t>
        </is>
      </c>
      <c r="G278" s="13" t="n">
        <v>4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 hidden="1">
      <c r="A279" t="inlineStr">
        <is>
          <t>kit quadri centralina meteo</t>
        </is>
      </c>
      <c r="C279" s="13" t="n">
        <v>4</v>
      </c>
      <c r="D279" t="inlineStr">
        <is>
          <t>10ROND6</t>
        </is>
      </c>
      <c r="E279" t="inlineStr">
        <is>
          <t>Rondella zn 6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 hidden="1">
      <c r="A280" t="inlineStr">
        <is>
          <t>kit quadri centralina meteo</t>
        </is>
      </c>
      <c r="C280" s="13" t="n">
        <v>5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 hidden="1">
      <c r="A281" t="inlineStr">
        <is>
          <t>kit quadri centralina meteo</t>
        </is>
      </c>
      <c r="C281" s="13" t="n">
        <v>6</v>
      </c>
      <c r="D281" t="inlineStr">
        <is>
          <t>10BZM6X25</t>
        </is>
      </c>
      <c r="E281" t="inlineStr">
        <is>
          <t>Bullone testa esagonale zn M6X30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quadri centralina meteo</t>
        </is>
      </c>
      <c r="C282" s="13" t="n">
        <v>7</v>
      </c>
      <c r="D282" t="inlineStr">
        <is>
          <t>TTS.PM.2012</t>
        </is>
      </c>
      <c r="E282" t="inlineStr">
        <is>
          <t>Angolare 30x30x4 lungo 370 mm. inferiore</t>
        </is>
      </c>
      <c r="F282" t="inlineStr">
        <is>
          <t>Carpenteria metallica</t>
        </is>
      </c>
      <c r="G282" s="13" t="n">
        <v>1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 hidden="1">
      <c r="A283" t="inlineStr">
        <is>
          <t>kit quadri centralina meteo</t>
        </is>
      </c>
      <c r="C283" s="13" t="n">
        <v>8</v>
      </c>
      <c r="D283" t="inlineStr">
        <is>
          <t>15T-JUNCTBOXIP65</t>
        </is>
      </c>
      <c r="E283" t="inlineStr">
        <is>
          <t>Box centralina meteo</t>
        </is>
      </c>
      <c r="F283" t="inlineStr">
        <is>
          <t>Quadristica ed elettrico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n"/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 hidden="1">
      <c r="A284" t="inlineStr">
        <is>
          <t>kit quadri centralina meteo</t>
        </is>
      </c>
      <c r="C284" s="13" t="n">
        <v>9</v>
      </c>
      <c r="D284" t="inlineStr">
        <is>
          <t>10ROND8</t>
        </is>
      </c>
      <c r="E284" t="inlineStr">
        <is>
          <t>Rondella zn 8</t>
        </is>
      </c>
      <c r="F284" t="inlineStr">
        <is>
          <t>Bulloneria e minuteria</t>
        </is>
      </c>
      <c r="G284" s="13" t="n">
        <v>4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 hidden="1">
      <c r="A285" t="inlineStr">
        <is>
          <t>kit quadri centralina meteo</t>
        </is>
      </c>
      <c r="C285" s="13" t="n">
        <v>10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 hidden="1">
      <c r="A286" t="inlineStr">
        <is>
          <t>kit quadri centralina meteo</t>
        </is>
      </c>
      <c r="C286" s="13" t="n">
        <v>11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 hidden="1">
      <c r="A287" t="inlineStr">
        <is>
          <t>kit quadri centralina meteo</t>
        </is>
      </c>
      <c r="C287" s="13" t="n">
        <v>12</v>
      </c>
      <c r="D287" t="inlineStr">
        <is>
          <t>10DAZAM8</t>
        </is>
      </c>
      <c r="E287" t="inlineStr">
        <is>
          <t>Dado M8 autobloccante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 hidden="1">
      <c r="A288" t="inlineStr">
        <is>
          <t>kit quadri centralina meteo</t>
        </is>
      </c>
      <c r="C288" s="13" t="n">
        <v>13</v>
      </c>
      <c r="D288" t="inlineStr">
        <is>
          <t>10BZM8X25</t>
        </is>
      </c>
      <c r="E288" t="inlineStr">
        <is>
          <t>Bullone testa esagonale zn M8X25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 hidden="1">
      <c r="A289" t="inlineStr">
        <is>
          <t>kit quadri centralina meteo</t>
        </is>
      </c>
      <c r="C289" s="13" t="n">
        <v>14</v>
      </c>
      <c r="D289" t="inlineStr">
        <is>
          <t>10ROND8</t>
        </is>
      </c>
      <c r="E289" t="inlineStr">
        <is>
          <t>Rondella zn 8</t>
        </is>
      </c>
      <c r="F289" t="inlineStr">
        <is>
          <t>Bulloneria e minuteria</t>
        </is>
      </c>
      <c r="G289" s="13" t="n">
        <v>4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15</v>
      </c>
      <c r="D290" t="inlineStr">
        <is>
          <t>TTS.PM.2012</t>
        </is>
      </c>
      <c r="E290" s="6" t="inlineStr">
        <is>
          <t>Angolare 30x30x4 lungo 370 mm. inferiore</t>
        </is>
      </c>
      <c r="F290" t="inlineStr">
        <is>
          <t>Carpenteria metallica</t>
        </is>
      </c>
      <c r="G290" s="13" t="n">
        <v>1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7">
        <f>IF(AND(ISNUMBER(G290),ISNUMBER(Q290)),G290*Q290,"")</f>
        <v/>
      </c>
    </row>
    <row r="291" hidden="1">
      <c r="A291" t="inlineStr">
        <is>
          <t>kit quadri centralina meteo</t>
        </is>
      </c>
      <c r="C291" s="13" t="n">
        <v>16</v>
      </c>
      <c r="D291" t="inlineStr">
        <is>
          <t>B04601</t>
        </is>
      </c>
      <c r="E291" t="inlineStr">
        <is>
          <t>Quadro in vetroresina Pedro VTR 01</t>
        </is>
      </c>
      <c r="F291" t="inlineStr">
        <is>
          <t>Quadristica ed elettrico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inlineStr">
        <is>
          <t>X</t>
        </is>
      </c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 hidden="1">
      <c r="A292" t="inlineStr">
        <is>
          <t>kit quadri centralina meteo</t>
        </is>
      </c>
      <c r="C292" s="13" t="n">
        <v>17</v>
      </c>
      <c r="D292" t="inlineStr">
        <is>
          <t>B04601</t>
        </is>
      </c>
      <c r="E292" t="inlineStr">
        <is>
          <t>Quadro in vetroresina Pedro VTR 01</t>
        </is>
      </c>
      <c r="F292" t="inlineStr">
        <is>
          <t>Quadristica ed elettrico</t>
        </is>
      </c>
      <c r="G292" s="13" t="n">
        <v>1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 hidden="1">
      <c r="A293" t="inlineStr">
        <is>
          <t>kit quadri centralina meteo</t>
        </is>
      </c>
      <c r="C293" s="13" t="n">
        <v>18</v>
      </c>
      <c r="D293" t="inlineStr">
        <is>
          <t>10ROND8</t>
        </is>
      </c>
      <c r="E293" t="inlineStr">
        <is>
          <t>Rondella zn 8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 hidden="1">
      <c r="A294" t="inlineStr">
        <is>
          <t>kit quadri centralina meteo</t>
        </is>
      </c>
      <c r="C294" s="13" t="n">
        <v>19</v>
      </c>
      <c r="D294" t="inlineStr">
        <is>
          <t>10DAZAM8</t>
        </is>
      </c>
      <c r="E294" t="inlineStr">
        <is>
          <t>Dado M8 autobloccante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area</t>
        </is>
      </c>
      <c r="C295" s="13" t="n">
        <v>1</v>
      </c>
      <c r="D295" t="inlineStr">
        <is>
          <t>TTS.PC.3011</t>
        </is>
      </c>
      <c r="E295" t="inlineStr">
        <is>
          <t>Angolare 40x40x4 lungo 869 mm. superiore</t>
        </is>
      </c>
      <c r="F295" t="inlineStr">
        <is>
          <t>Carpenteria metallica</t>
        </is>
      </c>
      <c r="G295" s="13" t="n">
        <v>1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area</t>
        </is>
      </c>
      <c r="C296" s="13" t="n">
        <v>2</v>
      </c>
      <c r="D296" t="inlineStr">
        <is>
          <t>TTS.PC.3012</t>
        </is>
      </c>
      <c r="E296" t="inlineStr">
        <is>
          <t>Angolare 40x40x4 lungo 869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 hidden="1">
      <c r="A297" t="inlineStr">
        <is>
          <t>kit quadri area</t>
        </is>
      </c>
      <c r="C297" s="13" t="n">
        <v>3</v>
      </c>
      <c r="D297" t="inlineStr">
        <is>
          <t>10BZM8X25</t>
        </is>
      </c>
      <c r="E297" t="inlineStr">
        <is>
          <t>Bullone testa esagonale zn M6X30</t>
        </is>
      </c>
      <c r="F297" t="inlineStr">
        <is>
          <t>Bulloneria e minuteria</t>
        </is>
      </c>
      <c r="G297" s="13" t="n">
        <v>2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 hidden="1">
      <c r="A298" t="inlineStr">
        <is>
          <t>kit quadri area</t>
        </is>
      </c>
      <c r="C298" s="13" t="n">
        <v>4</v>
      </c>
      <c r="D298" t="inlineStr">
        <is>
          <t>10ROND8</t>
        </is>
      </c>
      <c r="E298" t="inlineStr">
        <is>
          <t>Rondella zn 6</t>
        </is>
      </c>
      <c r="F298" t="inlineStr">
        <is>
          <t>Bulloneria e minuteria</t>
        </is>
      </c>
      <c r="G298" s="13" t="n">
        <v>2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 hidden="1">
      <c r="A299" t="inlineStr">
        <is>
          <t>kit quadri area</t>
        </is>
      </c>
      <c r="C299" s="13" t="n">
        <v>5</v>
      </c>
      <c r="D299" t="inlineStr">
        <is>
          <t>10ROND8</t>
        </is>
      </c>
      <c r="E299" t="inlineStr">
        <is>
          <t>Rondella zn 6</t>
        </is>
      </c>
      <c r="F299" t="inlineStr">
        <is>
          <t>Bulloneria e minuteria</t>
        </is>
      </c>
      <c r="G299" s="13" t="n">
        <v>2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 hidden="1">
      <c r="A300" t="inlineStr">
        <is>
          <t>kit quadri area</t>
        </is>
      </c>
      <c r="C300" s="13" t="n">
        <v>6</v>
      </c>
      <c r="D300" t="inlineStr">
        <is>
          <t>10DAZAM8</t>
        </is>
      </c>
      <c r="E300" t="inlineStr">
        <is>
          <t>Dado M6 autobloccante</t>
        </is>
      </c>
      <c r="F300" t="inlineStr">
        <is>
          <t>Bulloneria e minuteria</t>
        </is>
      </c>
      <c r="G300" s="13" t="n">
        <v>2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 hidden="1">
      <c r="A301" t="inlineStr">
        <is>
          <t>kit quadri area</t>
        </is>
      </c>
      <c r="C301" s="13" t="n">
        <v>7</v>
      </c>
      <c r="D301" t="inlineStr">
        <is>
          <t>10BZM8X25</t>
        </is>
      </c>
      <c r="E301" t="inlineStr">
        <is>
          <t>Bullone testa esagonale zn M6X30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 hidden="1">
      <c r="A302" t="inlineStr">
        <is>
          <t>kit quadri area</t>
        </is>
      </c>
      <c r="C302" s="13" t="n">
        <v>8</v>
      </c>
      <c r="D302" t="inlineStr">
        <is>
          <t>10ROND8</t>
        </is>
      </c>
      <c r="E302" t="inlineStr">
        <is>
          <t>Rondella zn 6</t>
        </is>
      </c>
      <c r="F302" t="inlineStr">
        <is>
          <t>Bulloneria e minuteria</t>
        </is>
      </c>
      <c r="G302" s="13" t="n">
        <v>2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 hidden="1">
      <c r="A303" t="inlineStr">
        <is>
          <t>kit quadri area</t>
        </is>
      </c>
      <c r="C303" s="13" t="n">
        <v>9</v>
      </c>
      <c r="D303" t="inlineStr">
        <is>
          <t>10ROND8</t>
        </is>
      </c>
      <c r="E303" t="inlineStr">
        <is>
          <t>Rondella zn 6</t>
        </is>
      </c>
      <c r="F303" t="inlineStr">
        <is>
          <t>Bulloneria e minuteria</t>
        </is>
      </c>
      <c r="G303" s="13" t="n">
        <v>2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 hidden="1">
      <c r="A304" t="inlineStr">
        <is>
          <t>kit quadri area</t>
        </is>
      </c>
      <c r="C304" s="13" t="n">
        <v>10</v>
      </c>
      <c r="D304" t="inlineStr">
        <is>
          <t>10DAZAM8</t>
        </is>
      </c>
      <c r="E304" t="inlineStr">
        <is>
          <t>Dado M6 autobloccante</t>
        </is>
      </c>
      <c r="F304" t="inlineStr">
        <is>
          <t>Bulloneria e minuteria</t>
        </is>
      </c>
      <c r="G304" s="13" t="n">
        <v>2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12">
        <f>IF(AND(ISNUMBER(G304),ISNUMBER(Q304)),G304*Q304,"")</f>
        <v/>
      </c>
    </row>
    <row r="305">
      <c r="A305" t="inlineStr">
        <is>
          <t>kit quadri area</t>
        </is>
      </c>
      <c r="C305" s="13" t="n">
        <v>11</v>
      </c>
      <c r="D305" t="inlineStr">
        <is>
          <t>TTS.PC.3013</t>
        </is>
      </c>
      <c r="E305" t="inlineStr">
        <is>
          <t>Palo MAX lungo mt.2,150</t>
        </is>
      </c>
      <c r="F305" t="inlineStr">
        <is>
          <t>Carpenteria metallica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n"/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area</t>
        </is>
      </c>
      <c r="C306" s="13" t="n">
        <v>12</v>
      </c>
      <c r="D306" t="inlineStr">
        <is>
          <t>TTS.PC.001.IPE140.23.FQA</t>
        </is>
      </c>
      <c r="E306" t="inlineStr">
        <is>
          <t>Pilastro cuscinetto trave ipe140 x mt. 2,30 con foratura alloggiamento quadro area</t>
        </is>
      </c>
      <c r="F306" t="inlineStr">
        <is>
          <t>Carpenteria metallica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inlineStr">
        <is>
          <t>X</t>
        </is>
      </c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area</t>
        </is>
      </c>
      <c r="C307" s="13" t="n">
        <v>12</v>
      </c>
      <c r="D307" t="inlineStr">
        <is>
          <t>TTS.PC.001.IPEA140.23.FQA</t>
        </is>
      </c>
      <c r="E307" t="inlineStr">
        <is>
          <t>Pilastro cuscinetto trave ipea140 x mt. 2,30 con foratura alloggiamento quadro area (alleggerita)</t>
        </is>
      </c>
      <c r="F307" t="inlineStr">
        <is>
          <t>Carpenteria metallica</t>
        </is>
      </c>
      <c r="G307" s="13" t="n">
        <v>0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 hidden="1">
      <c r="A308" t="inlineStr">
        <is>
          <t>kit quadri inverter</t>
        </is>
      </c>
      <c r="C308" s="13" t="n">
        <v>1</v>
      </c>
      <c r="D308" t="inlineStr">
        <is>
          <t>10BZM8X20</t>
        </is>
      </c>
      <c r="E308" t="inlineStr">
        <is>
          <t>Bullone testa esagonale zn M8X20</t>
        </is>
      </c>
      <c r="F308" t="inlineStr">
        <is>
          <t>Bulloneria e minuteria</t>
        </is>
      </c>
      <c r="G308" s="13" t="n">
        <v>2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 hidden="1">
      <c r="A309" t="inlineStr">
        <is>
          <t>kit quadri inverter</t>
        </is>
      </c>
      <c r="C309" s="13" t="n">
        <v>2</v>
      </c>
      <c r="D309" t="inlineStr">
        <is>
          <t>10ROND8</t>
        </is>
      </c>
      <c r="E309" t="inlineStr">
        <is>
          <t>Rondella zn 8</t>
        </is>
      </c>
      <c r="F309" t="inlineStr">
        <is>
          <t>Bulloneria e minuteria</t>
        </is>
      </c>
      <c r="G309" s="13" t="n">
        <v>2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inverter</t>
        </is>
      </c>
      <c r="C310" s="13" t="n">
        <v>3</v>
      </c>
      <c r="D310" t="inlineStr">
        <is>
          <t>TTS.PC.2011.1076</t>
        </is>
      </c>
      <c r="E310" t="inlineStr">
        <is>
          <t>Angolare 40x40x4 lungo 1076 mm. supporto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inverter</t>
        </is>
      </c>
      <c r="C311" s="13" t="n">
        <v>4</v>
      </c>
      <c r="D311" t="inlineStr">
        <is>
          <t>TTS.PC.2013</t>
        </is>
      </c>
      <c r="E311" t="inlineStr">
        <is>
          <t>Palo MAX lungo mt.2,040</t>
        </is>
      </c>
      <c r="F311" t="inlineStr">
        <is>
          <t>Carpenteria metallica</t>
        </is>
      </c>
      <c r="G311" s="13" t="n">
        <v>1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 hidden="1">
      <c r="A312" t="inlineStr">
        <is>
          <t>kit quadri inverter</t>
        </is>
      </c>
      <c r="C312" s="13" t="n">
        <v>5</v>
      </c>
      <c r="D312" t="inlineStr">
        <is>
          <t>10ROND8</t>
        </is>
      </c>
      <c r="E312" t="inlineStr">
        <is>
          <t>Rondella zn 8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 hidden="1">
      <c r="A313" t="inlineStr">
        <is>
          <t>kit quadri inverter</t>
        </is>
      </c>
      <c r="C313" s="13" t="n">
        <v>6</v>
      </c>
      <c r="D313" t="inlineStr">
        <is>
          <t>10DAZAM8</t>
        </is>
      </c>
      <c r="E313" t="inlineStr">
        <is>
          <t>Dado M8 autobloccante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 hidden="1">
      <c r="A314" t="inlineStr">
        <is>
          <t>kit quadri inverter</t>
        </is>
      </c>
      <c r="C314" s="13" t="n">
        <v>7</v>
      </c>
      <c r="D314" t="inlineStr">
        <is>
          <t>10BZM8X30</t>
        </is>
      </c>
      <c r="E314" t="inlineStr">
        <is>
          <t>Bullone testa esagonale zn M8X30</t>
        </is>
      </c>
      <c r="F314" t="inlineStr">
        <is>
          <t>Bulloneria e minuteria</t>
        </is>
      </c>
      <c r="G314" s="13" t="n">
        <v>4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 hidden="1">
      <c r="A315" t="inlineStr">
        <is>
          <t>kit quadri inverter</t>
        </is>
      </c>
      <c r="C315" s="13" t="n">
        <v>8</v>
      </c>
      <c r="D315" t="inlineStr">
        <is>
          <t>10ROND8</t>
        </is>
      </c>
      <c r="E315" t="inlineStr">
        <is>
          <t>Rondella zn 8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inverter</t>
        </is>
      </c>
      <c r="C316" s="13" t="n">
        <v>9</v>
      </c>
      <c r="D316" t="inlineStr">
        <is>
          <t>TTS.PC.2012.1076</t>
        </is>
      </c>
      <c r="E316" t="inlineStr">
        <is>
          <t>Angolare 40x40x4 lungo1076 mm. supporto superiore</t>
        </is>
      </c>
      <c r="F316" t="inlineStr">
        <is>
          <t>Carpenteria metallica</t>
        </is>
      </c>
      <c r="G316" s="13" t="n">
        <v>1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inverter</t>
        </is>
      </c>
      <c r="C317" s="13" t="n">
        <v>10</v>
      </c>
      <c r="D317" t="inlineStr">
        <is>
          <t>TTS.PC.001.IPE140.23.FI</t>
        </is>
      </c>
      <c r="E317" t="inlineStr">
        <is>
          <t>Pilastro cuscinetto trave ipe140 x mt. 2,30 con foratura alloggiamento inverter</t>
        </is>
      </c>
      <c r="F317" t="inlineStr">
        <is>
          <t>Carpenteria metallica</t>
        </is>
      </c>
      <c r="G317" s="13" t="n">
        <v>1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inverter</t>
        </is>
      </c>
      <c r="C318" s="13" t="n">
        <v>10</v>
      </c>
      <c r="D318" t="inlineStr">
        <is>
          <t>TTS.PC.001.IPEA140.23.FI</t>
        </is>
      </c>
      <c r="E318" t="inlineStr">
        <is>
          <t>Pilastro cuscinetto trave ipea140 x mt. 2,30 con foratura alloggiamento inverter (alleggerita)</t>
        </is>
      </c>
      <c r="F318" t="inlineStr">
        <is>
          <t>Carpenteria metallica</t>
        </is>
      </c>
      <c r="G318" s="13" t="n">
        <v>0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 hidden="1">
      <c r="A319" t="inlineStr">
        <is>
          <t>kit quadri inverter</t>
        </is>
      </c>
      <c r="C319" s="13" t="n">
        <v>11</v>
      </c>
      <c r="D319" t="inlineStr">
        <is>
          <t>10ROND8</t>
        </is>
      </c>
      <c r="E319" t="inlineStr">
        <is>
          <t>Rondella zn 8</t>
        </is>
      </c>
      <c r="F319" t="inlineStr">
        <is>
          <t>Bulloneria e minuteria</t>
        </is>
      </c>
      <c r="G319" s="13" t="n">
        <v>4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 hidden="1">
      <c r="A320" t="inlineStr">
        <is>
          <t>kit quadri inverter</t>
        </is>
      </c>
      <c r="C320" s="13" t="n">
        <v>12</v>
      </c>
      <c r="D320" t="inlineStr">
        <is>
          <t>10DAZAM8</t>
        </is>
      </c>
      <c r="E320" t="inlineStr">
        <is>
          <t>Dado M8 autobloccante</t>
        </is>
      </c>
      <c r="F320" t="inlineStr">
        <is>
          <t>Bulloneria e minuteria</t>
        </is>
      </c>
      <c r="G320" s="13" t="n">
        <v>4</v>
      </c>
      <c r="H320" s="13" t="n"/>
      <c r="I320" s="13" t="n"/>
      <c r="J320" s="13" t="n"/>
      <c r="K320" s="13" t="n"/>
      <c r="L320" s="13" t="n"/>
      <c r="M320" s="13" t="n"/>
      <c r="N320" s="13" t="n"/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sensori meteo</t>
        </is>
      </c>
      <c r="B321" t="inlineStr">
        <is>
          <t>sensori meteo, al solito da stabilire con peppe</t>
        </is>
      </c>
      <c r="C321" s="13" t="n">
        <v>1</v>
      </c>
      <c r="D321" t="inlineStr">
        <is>
          <t>TTS.SM.001</t>
        </is>
      </c>
      <c r="E321" t="inlineStr">
        <is>
          <t>Piatto 50X5X230 supporto sensori</t>
        </is>
      </c>
      <c r="F321" t="inlineStr">
        <is>
          <t>Carpenteria metallica</t>
        </is>
      </c>
      <c r="G321" s="13" t="n">
        <v>1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 hidden="1">
      <c r="A322" t="inlineStr">
        <is>
          <t>sensori meteo</t>
        </is>
      </c>
      <c r="B322" t="inlineStr">
        <is>
          <t>sensori meteo, al solito da stabilire con peppe</t>
        </is>
      </c>
      <c r="C322" s="13" t="n">
        <v>2</v>
      </c>
      <c r="D322" t="inlineStr">
        <is>
          <t>15T-PIRANOMETRO</t>
        </is>
      </c>
      <c r="E322" t="inlineStr">
        <is>
          <t>Piranometro</t>
        </is>
      </c>
      <c r="F322" t="inlineStr">
        <is>
          <t>Sensoristica e strumentazione</t>
        </is>
      </c>
      <c r="G322" s="13" t="n">
        <v>1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 hidden="1">
      <c r="A323" t="inlineStr">
        <is>
          <t>sensori meteo</t>
        </is>
      </c>
      <c r="B323" t="inlineStr">
        <is>
          <t>sensori meteo, al solito da stabilire con peppe</t>
        </is>
      </c>
      <c r="C323" s="13" t="n">
        <v>3</v>
      </c>
      <c r="D323" t="inlineStr">
        <is>
          <t>15T-TERMARIA</t>
        </is>
      </c>
      <c r="E323" t="inlineStr">
        <is>
          <t>Termometro Aria_ mSTA.l</t>
        </is>
      </c>
      <c r="F323" t="inlineStr">
        <is>
          <t>Sensoristica e strumentazione</t>
        </is>
      </c>
      <c r="G323" s="13" t="n">
        <v>1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 hidden="1">
      <c r="A324" t="inlineStr">
        <is>
          <t>sensori meteo</t>
        </is>
      </c>
      <c r="B324" t="inlineStr">
        <is>
          <t>sensori meteo, al solito da stabilire con peppe</t>
        </is>
      </c>
      <c r="C324" s="13" t="n">
        <v>4</v>
      </c>
      <c r="D324" t="inlineStr">
        <is>
          <t>10ROND6</t>
        </is>
      </c>
      <c r="E324" t="inlineStr">
        <is>
          <t>Rondella zn 6</t>
        </is>
      </c>
      <c r="F324" t="inlineStr">
        <is>
          <t>Bulloneria e minuteria</t>
        </is>
      </c>
      <c r="G324" s="13" t="n">
        <v>2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 hidden="1">
      <c r="A325" t="inlineStr">
        <is>
          <t>sensori meteo</t>
        </is>
      </c>
      <c r="B325" t="inlineStr">
        <is>
          <t>sensori meteo, al solito da stabilire con peppe</t>
        </is>
      </c>
      <c r="C325" s="13" t="n">
        <v>5</v>
      </c>
      <c r="D325" t="inlineStr">
        <is>
          <t>10BZM6X30</t>
        </is>
      </c>
      <c r="E325" t="inlineStr">
        <is>
          <t>Bullone testa esagonale zn M6X30</t>
        </is>
      </c>
      <c r="F325" t="inlineStr">
        <is>
          <t>Bulloneria e minuteria</t>
        </is>
      </c>
      <c r="G325" s="13" t="n">
        <v>2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 hidden="1">
      <c r="A326" t="inlineStr">
        <is>
          <t>sensori meteo</t>
        </is>
      </c>
      <c r="B326" t="inlineStr">
        <is>
          <t>sensori meteo, al solito da stabilire con peppe</t>
        </is>
      </c>
      <c r="C326" s="13" t="n">
        <v>4</v>
      </c>
      <c r="D326" t="inlineStr">
        <is>
          <t>10ROND6</t>
        </is>
      </c>
      <c r="E326" t="inlineStr">
        <is>
          <t>Rondella zn 6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 hidden="1">
      <c r="A327" t="inlineStr">
        <is>
          <t>sensori meteo</t>
        </is>
      </c>
      <c r="B327" t="inlineStr">
        <is>
          <t>sensori meteo, al solito da stabilire con peppe</t>
        </is>
      </c>
      <c r="C327" s="13" t="n">
        <v>6</v>
      </c>
      <c r="D327" t="inlineStr">
        <is>
          <t>10DAZAM6</t>
        </is>
      </c>
      <c r="E327" t="inlineStr">
        <is>
          <t>Dado M6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 hidden="1">
      <c r="A328" t="inlineStr">
        <is>
          <t>sensori meteo</t>
        </is>
      </c>
      <c r="B328" t="inlineStr">
        <is>
          <t>kit sensore temperatura pannello</t>
        </is>
      </c>
      <c r="C328" s="13" t="n">
        <v>1</v>
      </c>
      <c r="D328" t="inlineStr">
        <is>
          <t>15T-TERMCONTP10</t>
        </is>
      </c>
      <c r="E328" t="inlineStr">
        <is>
          <t>Termometro a contatto P100_STC-i</t>
        </is>
      </c>
      <c r="F328" t="inlineStr">
        <is>
          <t>Sensoristica e strumentazione</t>
        </is>
      </c>
      <c r="G328" s="13" t="n">
        <v>1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 hidden="1">
      <c r="A329" t="inlineStr">
        <is>
          <t>sensori meteo</t>
        </is>
      </c>
      <c r="B329" t="inlineStr">
        <is>
          <t>kit sensore temperatura pannello</t>
        </is>
      </c>
      <c r="C329" s="13" t="n">
        <v>2</v>
      </c>
      <c r="E329" t="inlineStr">
        <is>
          <t>Pannello fotovoltaico</t>
        </is>
      </c>
      <c r="F329" t="inlineStr">
        <is>
          <t>Moduli fotovoltaici</t>
        </is>
      </c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sensori meteo</t>
        </is>
      </c>
      <c r="B330" t="inlineStr">
        <is>
          <t>kit sensore temperatura pannello</t>
        </is>
      </c>
      <c r="C330" s="13" t="n">
        <v>3</v>
      </c>
      <c r="D330" t="inlineStr">
        <is>
          <t>TTS.SM.002</t>
        </is>
      </c>
      <c r="E330" t="inlineStr">
        <is>
          <t>Piatto 30X3X193 leva sensore temperatura pannello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sensori meteo</t>
        </is>
      </c>
      <c r="B331" t="inlineStr">
        <is>
          <t>kit sensore temperatura pannello</t>
        </is>
      </c>
      <c r="C331" s="13" t="n">
        <v>4</v>
      </c>
      <c r="E331" t="inlineStr">
        <is>
          <t>Omega alloggiamento kit sensore termometro a contatto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 hidden="1">
      <c r="A332" t="inlineStr">
        <is>
          <t>sensori meteo</t>
        </is>
      </c>
      <c r="B332" t="inlineStr">
        <is>
          <t>kit sensore temperatura pannello</t>
        </is>
      </c>
      <c r="C332" s="13" t="n">
        <v>5</v>
      </c>
      <c r="D332" t="inlineStr">
        <is>
          <t>10ROND5</t>
        </is>
      </c>
      <c r="E332" t="inlineStr">
        <is>
          <t>Rondella ZN da 5</t>
        </is>
      </c>
      <c r="F332" t="inlineStr">
        <is>
          <t>Bulloneria e minuteria</t>
        </is>
      </c>
      <c r="G332" s="13" t="n">
        <v>2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 hidden="1">
      <c r="A333" t="inlineStr">
        <is>
          <t>sensori meteo</t>
        </is>
      </c>
      <c r="B333" t="inlineStr">
        <is>
          <t>kit sensore temperatura pannello</t>
        </is>
      </c>
      <c r="C333" s="13" t="n">
        <v>6</v>
      </c>
      <c r="D333" t="inlineStr">
        <is>
          <t>10BZM5X20</t>
        </is>
      </c>
      <c r="E333" t="inlineStr">
        <is>
          <t>Bullone testa esagonale zn M5x20</t>
        </is>
      </c>
      <c r="F333" t="inlineStr">
        <is>
          <t>Bulloneria e minuteria</t>
        </is>
      </c>
      <c r="G333" s="13" t="n">
        <v>2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 hidden="1">
      <c r="A334" t="inlineStr">
        <is>
          <t>sensori meteo</t>
        </is>
      </c>
      <c r="B334" t="inlineStr">
        <is>
          <t>kit sensore temperatura pannello</t>
        </is>
      </c>
      <c r="C334" s="13" t="n">
        <v>7</v>
      </c>
      <c r="D334" t="inlineStr">
        <is>
          <t>10ROND5</t>
        </is>
      </c>
      <c r="E334" t="inlineStr">
        <is>
          <t>Rondella ZN da 5</t>
        </is>
      </c>
      <c r="F334" t="inlineStr">
        <is>
          <t>Bulloneria e minuteria</t>
        </is>
      </c>
      <c r="G334" s="13" t="n">
        <v>2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 hidden="1">
      <c r="A335" t="inlineStr">
        <is>
          <t>sensori meteo</t>
        </is>
      </c>
      <c r="B335" t="inlineStr">
        <is>
          <t>kit sensore temperatura pannello</t>
        </is>
      </c>
      <c r="C335" s="13" t="n">
        <v>8</v>
      </c>
      <c r="D335" t="inlineStr">
        <is>
          <t>10DAZAM5</t>
        </is>
      </c>
      <c r="E335" t="inlineStr">
        <is>
          <t>Dado zincato autobloc. M5</t>
        </is>
      </c>
      <c r="F335" t="inlineStr">
        <is>
          <t>Bulloneria e minuteria</t>
        </is>
      </c>
      <c r="G335" s="13" t="n">
        <v>2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 hidden="1">
      <c r="A336" t="inlineStr">
        <is>
          <t>sensori meteo</t>
        </is>
      </c>
      <c r="B336" t="inlineStr">
        <is>
          <t>kit sensore temperatura pannello</t>
        </is>
      </c>
      <c r="C336" s="13" t="n">
        <v>9</v>
      </c>
      <c r="D336" t="inlineStr">
        <is>
          <t>10BZM5X20</t>
        </is>
      </c>
      <c r="E336" t="inlineStr">
        <is>
          <t>Bullone testa esagonale zn M5x20</t>
        </is>
      </c>
      <c r="F336" t="inlineStr">
        <is>
          <t>Bulloneria e minuteria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 hidden="1">
      <c r="A337" t="inlineStr">
        <is>
          <t>sensori meteo</t>
        </is>
      </c>
      <c r="B337" t="inlineStr">
        <is>
          <t>kit sensore temperatura pannello</t>
        </is>
      </c>
      <c r="C337" s="13" t="n">
        <v>10</v>
      </c>
      <c r="D337" t="inlineStr">
        <is>
          <t>10DAZAM5</t>
        </is>
      </c>
      <c r="E337" t="inlineStr">
        <is>
          <t>Dado zincato autobloc. M5</t>
        </is>
      </c>
      <c r="F337" t="inlineStr">
        <is>
          <t>Bulloneria e minuteria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 hidden="1">
      <c r="A338" t="inlineStr">
        <is>
          <t>sensori meteo</t>
        </is>
      </c>
      <c r="B338" t="inlineStr">
        <is>
          <t>kit sensore temperatura pannello</t>
        </is>
      </c>
      <c r="C338" s="13" t="n">
        <v>11</v>
      </c>
      <c r="D338" t="inlineStr">
        <is>
          <t>10ROND5</t>
        </is>
      </c>
      <c r="E338" t="inlineStr">
        <is>
          <t>Rondella ZN da 5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 hidden="1">
      <c r="A339" t="inlineStr">
        <is>
          <t>sensori meteo</t>
        </is>
      </c>
      <c r="B339" t="inlineStr">
        <is>
          <t>kit sensore temperatura pannello</t>
        </is>
      </c>
      <c r="C339" s="13" t="n">
        <v>12</v>
      </c>
      <c r="D339" t="inlineStr">
        <is>
          <t>10BZM5X20</t>
        </is>
      </c>
      <c r="E339" t="inlineStr">
        <is>
          <t>Bullone testa esagonale zn M5x20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 hidden="1">
      <c r="A340" t="inlineStr">
        <is>
          <t>sensori meteo</t>
        </is>
      </c>
      <c r="B340" t="inlineStr">
        <is>
          <t>kit sensore temperatura pannello</t>
        </is>
      </c>
      <c r="C340" s="13" t="n">
        <v>13</v>
      </c>
      <c r="D340" t="inlineStr">
        <is>
          <t>10ROND5</t>
        </is>
      </c>
      <c r="E340" t="inlineStr">
        <is>
          <t>Rondella ZN da 5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 hidden="1">
      <c r="A341" t="inlineStr">
        <is>
          <t>sensori meteo</t>
        </is>
      </c>
      <c r="B341" t="inlineStr">
        <is>
          <t>kit sensore temperatura pannello</t>
        </is>
      </c>
      <c r="C341" s="13" t="n">
        <v>14</v>
      </c>
      <c r="D341" t="inlineStr">
        <is>
          <t>10DAZAM5</t>
        </is>
      </c>
      <c r="E341" t="inlineStr">
        <is>
          <t>Dado zincato autobloc. M5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da stabilre con peppe quantità e ubicazione</t>
        </is>
      </c>
      <c r="C342" s="13" t="n">
        <v>1</v>
      </c>
      <c r="D342" t="inlineStr">
        <is>
          <t>TTS.SM.003</t>
        </is>
      </c>
      <c r="E342" t="inlineStr">
        <is>
          <t>Asta supporto anemometro</t>
        </is>
      </c>
      <c r="F342" t="inlineStr">
        <is>
          <t>Carpenteria metallica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 hidden="1">
      <c r="A343" t="inlineStr">
        <is>
          <t>sensori meteo</t>
        </is>
      </c>
      <c r="B343" t="inlineStr">
        <is>
          <t>da stabilre con peppe quantità e ubicazione</t>
        </is>
      </c>
      <c r="C343" s="13" t="n">
        <v>2</v>
      </c>
      <c r="D343" t="inlineStr">
        <is>
          <t>15T-SENSVELVEN</t>
        </is>
      </c>
      <c r="E343" t="inlineStr">
        <is>
          <t>Anemometro</t>
        </is>
      </c>
      <c r="F343" t="inlineStr">
        <is>
          <t>Sensoristica e strumentazione</t>
        </is>
      </c>
      <c r="G343" s="13" t="n">
        <v>1</v>
      </c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 hidden="1">
      <c r="A344" t="inlineStr">
        <is>
          <t>sensori meteo</t>
        </is>
      </c>
      <c r="B344" t="inlineStr">
        <is>
          <t>2 tappi per ogni tracker</t>
        </is>
      </c>
      <c r="C344" s="13" t="n">
        <v>1</v>
      </c>
      <c r="D344" t="inlineStr">
        <is>
          <t>06TAP120X120</t>
        </is>
      </c>
      <c r="E344" t="inlineStr">
        <is>
          <t>Tappo profilato 120x120</t>
        </is>
      </c>
      <c r="F344" t="inlineStr">
        <is>
          <t>Bulloneria e minuteria</t>
        </is>
      </c>
      <c r="G344" s="13" t="n">
        <v>2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6">
      <c r="E346" s="6" t="inlineStr">
        <is>
          <t>TOTALE (escl. righe 'già caricato altrove')</t>
        </is>
      </c>
      <c r="R346" s="7">
        <f>SUMIFS(R2:R344,N2:N344,"")</f>
        <v/>
      </c>
    </row>
  </sheetData>
  <autoFilter ref="A1:R344">
    <filterColumn colId="5" hiddenButton="0" showButton="1">
      <filters>
        <filter val="Carpenteria metallica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198</v>
      </c>
    </row>
    <row r="4">
      <c r="A4" s="6" t="inlineStr">
        <is>
          <t>Righe di distinta totali (tutti i kit)</t>
        </is>
      </c>
      <c r="B4" t="n">
        <v>343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155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      </is>
      </c>
    </row>
    <row r="25">
      <c r="A25" t="inlineStr">
        <is>
      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      </is>
      </c>
    </row>
    <row r="26">
      <c r="A26" t="inlineStr">
        <is>
      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      </is>
      </c>
    </row>
    <row r="27">
      <c r="A27" t="inlineStr">
        <is>
      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2026-09-01T09:32:14Z</dcterms:modified>
  <cp:lastModifiedBy>stella  terranova</cp:lastModifiedBy>
</cp:coreProperties>
</file>