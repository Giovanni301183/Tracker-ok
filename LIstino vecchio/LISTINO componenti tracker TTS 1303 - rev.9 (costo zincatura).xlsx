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A STRUTTURA" sheetId="1" state="visible" r:id="rId1"/>
    <sheet name="LISTINO" sheetId="2" state="visible" r:id="rId2"/>
    <sheet name="DISTINTA COMPLETA" sheetId="3" state="visible" r:id="rId3"/>
    <sheet name="RIEPILOGO" sheetId="4" state="visible" r:id="rId4"/>
  </sheets>
  <definedNames>
    <definedName name="_xlnm._FilterDatabase" localSheetId="1" hidden="1">'LISTINO'!$A$4:$I$208</definedName>
    <definedName name="_xlnm._FilterDatabase" localSheetId="2" hidden="1">'DISTINTA COMPLETA'!$A$1:$R$358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62" customWidth="1" style="16" min="2" max="2"/>
    <col width="12" customWidth="1" style="16" min="3" max="3"/>
    <col width="14" customWidth="1" style="16" min="4" max="4"/>
    <col width="18" customWidth="1" style="16" min="5" max="5"/>
    <col width="16" customWidth="1" style="16" min="6" max="6"/>
    <col width="16" customWidth="1" style="16" min="7" max="7"/>
  </cols>
  <sheetData>
    <row r="1">
      <c r="A1" s="17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Per ogni profilo: peso teorico al metro, maggiorazione peso per zincatura (%), costo di acquisto al kg e costo di zincatura al kg. Il peso finale include la maggiorazione. Nell'elenco: Costo acquisto (€) = Peso elemento × €/kg acquisto; Costo zincatura (€) = Peso elemento × magg. zincatura % × €/kg zincatura, solo se la maggiorazione è presente.</t>
        </is>
      </c>
    </row>
    <row r="4">
      <c r="A4" s="11" t="inlineStr">
        <is>
          <t>Profilo</t>
        </is>
      </c>
      <c r="B4" s="11" t="inlineStr">
        <is>
          <t>Peso teorico (kg/m)</t>
        </is>
      </c>
      <c r="C4" s="11" t="inlineStr">
        <is>
          <t>Magg. zincatura %</t>
        </is>
      </c>
      <c r="D4" s="11" t="inlineStr">
        <is>
          <t>Peso finale (kg/m)</t>
        </is>
      </c>
      <c r="E4" s="11" t="inlineStr">
        <is>
          <t>Costo acquisto (€/kg)</t>
        </is>
      </c>
      <c r="F4" s="11" t="inlineStr">
        <is>
          <t>Costo zincatura (€/kg)</t>
        </is>
      </c>
    </row>
    <row r="5">
      <c r="A5" t="inlineStr">
        <is>
          <t>IPE 140</t>
        </is>
      </c>
      <c r="B5" s="18" t="n"/>
      <c r="C5" s="19" t="n"/>
      <c r="D5" s="20">
        <f>IF(ISNUMBER($B5),$B5*(1+IF(ISNUMBER($C5),$C5,0)),"")</f>
        <v/>
      </c>
      <c r="E5" s="23" t="n"/>
      <c r="F5" s="23" t="n"/>
    </row>
    <row r="6">
      <c r="A6" t="inlineStr">
        <is>
          <t>IPEA 140</t>
        </is>
      </c>
      <c r="B6" s="18" t="n"/>
      <c r="C6" s="19" t="n"/>
      <c r="D6" s="20">
        <f>IF(ISNUMBER($B6),$B6*(1+IF(ISNUMBER($C6),$C6,0)),"")</f>
        <v/>
      </c>
      <c r="E6" s="23" t="n"/>
      <c r="F6" s="23" t="n"/>
    </row>
    <row r="7">
      <c r="A7" t="inlineStr">
        <is>
          <t>ASSE 120x120x3</t>
        </is>
      </c>
      <c r="B7" s="18" t="n">
        <v>11.8</v>
      </c>
      <c r="C7" s="19" t="n"/>
      <c r="D7" s="20">
        <f>IF(ISNUMBER($B7),$B7*(1+IF(ISNUMBER($C7),$C7,0)),"")</f>
        <v/>
      </c>
      <c r="E7" s="23" t="n"/>
      <c r="F7" s="23" t="n"/>
    </row>
    <row r="8">
      <c r="A8" t="inlineStr">
        <is>
          <t>ASSE 120x120x2,5</t>
        </is>
      </c>
      <c r="B8" s="18" t="n">
        <v>9.199999999999999</v>
      </c>
      <c r="C8" s="19" t="n"/>
      <c r="D8" s="20">
        <f>IF(ISNUMBER($B8),$B8*(1+IF(ISNUMBER($C8),$C8,0)),"")</f>
        <v/>
      </c>
      <c r="E8" s="23" t="n"/>
      <c r="F8" s="23" t="n"/>
    </row>
    <row r="12">
      <c r="A12" s="11" t="inlineStr">
        <is>
          <t>Codice</t>
        </is>
      </c>
      <c r="B12" s="11" t="inlineStr">
        <is>
          <t>Descrizione</t>
        </is>
      </c>
      <c r="C12" s="11" t="inlineStr">
        <is>
          <t>Profilo</t>
        </is>
      </c>
      <c r="D12" s="11" t="inlineStr">
        <is>
          <t>Lunghezza (m)</t>
        </is>
      </c>
      <c r="E12" s="11" t="inlineStr">
        <is>
          <t>Peso elemento (kg)</t>
        </is>
      </c>
      <c r="F12" s="11" t="inlineStr">
        <is>
          <t>Costo acquisto (€)</t>
        </is>
      </c>
      <c r="G12" s="11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4" t="inlineStr">
        <is>
          <t>IPE 140</t>
        </is>
      </c>
      <c r="D13" s="21" t="n">
        <v>2.3</v>
      </c>
      <c r="E13" s="22">
        <f>IF(AND(ISNUMBER($D13),ISNUMBER(VLOOKUP($C13,$A$5:$F$11,4,FALSE))),$D13*VLOOKUP($C13,$A$5:$F$11,4,FALSE),"")</f>
        <v/>
      </c>
      <c r="F13" s="13">
        <f>IF(AND(ISNUMBER($E13),ISNUMBER(VLOOKUP($C13,$A$5:$F$11,5,FALSE))),$E13*VLOOKUP($C13,$A$5:$F$11,5,FALSE),"")</f>
        <v/>
      </c>
      <c r="G13" s="13">
        <f>IF(AND(ISNUMBER($E13),ISNUMBER(VLOOKUP($C13,$A$5:$F$11,3,FALSE)),VLOOKUP($C13,$A$5:$F$11,3,FALSE)&gt;0,ISNUMBER(VLOOKUP($C13,$A$5:$F$11,6,FALSE))),$E13*VLOOKUP($C13,$A$5:$F$11,3,FALSE)*VLOOKUP($C13,$A$5:$F$11,6,FALSE),"")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4" t="inlineStr">
        <is>
          <t>IPE 140</t>
        </is>
      </c>
      <c r="D14" s="21" t="n">
        <v>2.3</v>
      </c>
      <c r="E14" s="22">
        <f>IF(AND(ISNUMBER($D14),ISNUMBER(VLOOKUP($C14,$A$5:$F$11,4,FALSE))),$D14*VLOOKUP($C14,$A$5:$F$11,4,FALSE),"")</f>
        <v/>
      </c>
      <c r="F14" s="13">
        <f>IF(AND(ISNUMBER($E14),ISNUMBER(VLOOKUP($C14,$A$5:$F$11,5,FALSE))),$E14*VLOOKUP($C14,$A$5:$F$11,5,FALSE),"")</f>
        <v/>
      </c>
      <c r="G14" s="13">
        <f>IF(AND(ISNUMBER($E14),ISNUMBER(VLOOKUP($C14,$A$5:$F$11,3,FALSE)),VLOOKUP($C14,$A$5:$F$11,3,FALSE)&gt;0,ISNUMBER(VLOOKUP($C14,$A$5:$F$11,6,FALSE))),$E14*VLOOKUP($C14,$A$5:$F$11,3,FALSE)*VLOOKUP($C14,$A$5:$F$11,6,FALSE),"")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4" t="inlineStr">
        <is>
          <t>IPE 140</t>
        </is>
      </c>
      <c r="D15" s="21" t="n">
        <v>2.3</v>
      </c>
      <c r="E15" s="22">
        <f>IF(AND(ISNUMBER($D15),ISNUMBER(VLOOKUP($C15,$A$5:$F$11,4,FALSE))),$D15*VLOOKUP($C15,$A$5:$F$11,4,FALSE),"")</f>
        <v/>
      </c>
      <c r="F15" s="13">
        <f>IF(AND(ISNUMBER($E15),ISNUMBER(VLOOKUP($C15,$A$5:$F$11,5,FALSE))),$E15*VLOOKUP($C15,$A$5:$F$11,5,FALSE),"")</f>
        <v/>
      </c>
      <c r="G15" s="13">
        <f>IF(AND(ISNUMBER($E15),ISNUMBER(VLOOKUP($C15,$A$5:$F$11,3,FALSE)),VLOOKUP($C15,$A$5:$F$11,3,FALSE)&gt;0,ISNUMBER(VLOOKUP($C15,$A$5:$F$11,6,FALSE))),$E15*VLOOKUP($C15,$A$5:$F$11,3,FALSE)*VLOOKUP($C15,$A$5:$F$11,6,FALSE),"")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4" t="inlineStr">
        <is>
          <t>IPE 140</t>
        </is>
      </c>
      <c r="D16" s="21" t="n">
        <v>2.8</v>
      </c>
      <c r="E16" s="22">
        <f>IF(AND(ISNUMBER($D16),ISNUMBER(VLOOKUP($C16,$A$5:$F$11,4,FALSE))),$D16*VLOOKUP($C16,$A$5:$F$11,4,FALSE),"")</f>
        <v/>
      </c>
      <c r="F16" s="13">
        <f>IF(AND(ISNUMBER($E16),ISNUMBER(VLOOKUP($C16,$A$5:$F$11,5,FALSE))),$E16*VLOOKUP($C16,$A$5:$F$11,5,FALSE),"")</f>
        <v/>
      </c>
      <c r="G16" s="13">
        <f>IF(AND(ISNUMBER($E16),ISNUMBER(VLOOKUP($C16,$A$5:$F$11,3,FALSE)),VLOOKUP($C16,$A$5:$F$11,3,FALSE)&gt;0,ISNUMBER(VLOOKUP($C16,$A$5:$F$11,6,FALSE))),$E16*VLOOKUP($C16,$A$5:$F$11,3,FALSE)*VLOOKUP($C16,$A$5:$F$11,6,FALSE),"")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4" t="inlineStr">
        <is>
          <t>IPE 140</t>
        </is>
      </c>
      <c r="D17" s="21" t="n">
        <v>2.9</v>
      </c>
      <c r="E17" s="22">
        <f>IF(AND(ISNUMBER($D17),ISNUMBER(VLOOKUP($C17,$A$5:$F$11,4,FALSE))),$D17*VLOOKUP($C17,$A$5:$F$11,4,FALSE),"")</f>
        <v/>
      </c>
      <c r="F17" s="13">
        <f>IF(AND(ISNUMBER($E17),ISNUMBER(VLOOKUP($C17,$A$5:$F$11,5,FALSE))),$E17*VLOOKUP($C17,$A$5:$F$11,5,FALSE),"")</f>
        <v/>
      </c>
      <c r="G17" s="13">
        <f>IF(AND(ISNUMBER($E17),ISNUMBER(VLOOKUP($C17,$A$5:$F$11,3,FALSE)),VLOOKUP($C17,$A$5:$F$11,3,FALSE)&gt;0,ISNUMBER(VLOOKUP($C17,$A$5:$F$11,6,FALSE))),$E17*VLOOKUP($C17,$A$5:$F$11,3,FALSE)*VLOOKUP($C17,$A$5:$F$11,6,FALSE),"")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4" t="inlineStr">
        <is>
          <t>IPE 140</t>
        </is>
      </c>
      <c r="D18" s="21" t="n">
        <v>3</v>
      </c>
      <c r="E18" s="22">
        <f>IF(AND(ISNUMBER($D18),ISNUMBER(VLOOKUP($C18,$A$5:$F$11,4,FALSE))),$D18*VLOOKUP($C18,$A$5:$F$11,4,FALSE),"")</f>
        <v/>
      </c>
      <c r="F18" s="13">
        <f>IF(AND(ISNUMBER($E18),ISNUMBER(VLOOKUP($C18,$A$5:$F$11,5,FALSE))),$E18*VLOOKUP($C18,$A$5:$F$11,5,FALSE),"")</f>
        <v/>
      </c>
      <c r="G18" s="13">
        <f>IF(AND(ISNUMBER($E18),ISNUMBER(VLOOKUP($C18,$A$5:$F$11,3,FALSE)),VLOOKUP($C18,$A$5:$F$11,3,FALSE)&gt;0,ISNUMBER(VLOOKUP($C18,$A$5:$F$11,6,FALSE))),$E18*VLOOKUP($C18,$A$5:$F$11,3,FALSE)*VLOOKUP($C18,$A$5:$F$11,6,FALSE),"")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4" t="inlineStr">
        <is>
          <t>IPE 140</t>
        </is>
      </c>
      <c r="D19" s="21" t="n">
        <v>3.1</v>
      </c>
      <c r="E19" s="22">
        <f>IF(AND(ISNUMBER($D19),ISNUMBER(VLOOKUP($C19,$A$5:$F$11,4,FALSE))),$D19*VLOOKUP($C19,$A$5:$F$11,4,FALSE),"")</f>
        <v/>
      </c>
      <c r="F19" s="13">
        <f>IF(AND(ISNUMBER($E19),ISNUMBER(VLOOKUP($C19,$A$5:$F$11,5,FALSE))),$E19*VLOOKUP($C19,$A$5:$F$11,5,FALSE),"")</f>
        <v/>
      </c>
      <c r="G19" s="13">
        <f>IF(AND(ISNUMBER($E19),ISNUMBER(VLOOKUP($C19,$A$5:$F$11,3,FALSE)),VLOOKUP($C19,$A$5:$F$11,3,FALSE)&gt;0,ISNUMBER(VLOOKUP($C19,$A$5:$F$11,6,FALSE))),$E19*VLOOKUP($C19,$A$5:$F$11,3,FALSE)*VLOOKUP($C19,$A$5:$F$11,6,FALSE),"")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4" t="inlineStr">
        <is>
          <t>IPE 140</t>
        </is>
      </c>
      <c r="D20" s="21" t="n">
        <v>3.2</v>
      </c>
      <c r="E20" s="22">
        <f>IF(AND(ISNUMBER($D20),ISNUMBER(VLOOKUP($C20,$A$5:$F$11,4,FALSE))),$D20*VLOOKUP($C20,$A$5:$F$11,4,FALSE),"")</f>
        <v/>
      </c>
      <c r="F20" s="13">
        <f>IF(AND(ISNUMBER($E20),ISNUMBER(VLOOKUP($C20,$A$5:$F$11,5,FALSE))),$E20*VLOOKUP($C20,$A$5:$F$11,5,FALSE),"")</f>
        <v/>
      </c>
      <c r="G20" s="13">
        <f>IF(AND(ISNUMBER($E20),ISNUMBER(VLOOKUP($C20,$A$5:$F$11,3,FALSE)),VLOOKUP($C20,$A$5:$F$11,3,FALSE)&gt;0,ISNUMBER(VLOOKUP($C20,$A$5:$F$11,6,FALSE))),$E20*VLOOKUP($C20,$A$5:$F$11,3,FALSE)*VLOOKUP($C20,$A$5:$F$11,6,FALSE),"")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4" t="inlineStr">
        <is>
          <t>IPE 140</t>
        </is>
      </c>
      <c r="D21" s="21" t="n">
        <v>3.3</v>
      </c>
      <c r="E21" s="22">
        <f>IF(AND(ISNUMBER($D21),ISNUMBER(VLOOKUP($C21,$A$5:$F$11,4,FALSE))),$D21*VLOOKUP($C21,$A$5:$F$11,4,FALSE),"")</f>
        <v/>
      </c>
      <c r="F21" s="13">
        <f>IF(AND(ISNUMBER($E21),ISNUMBER(VLOOKUP($C21,$A$5:$F$11,5,FALSE))),$E21*VLOOKUP($C21,$A$5:$F$11,5,FALSE),"")</f>
        <v/>
      </c>
      <c r="G21" s="13">
        <f>IF(AND(ISNUMBER($E21),ISNUMBER(VLOOKUP($C21,$A$5:$F$11,3,FALSE)),VLOOKUP($C21,$A$5:$F$11,3,FALSE)&gt;0,ISNUMBER(VLOOKUP($C21,$A$5:$F$11,6,FALSE))),$E21*VLOOKUP($C21,$A$5:$F$11,3,FALSE)*VLOOKUP($C21,$A$5:$F$11,6,FALSE),"")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4" t="inlineStr">
        <is>
          <t>IPE 140</t>
        </is>
      </c>
      <c r="D22" s="21" t="n">
        <v>3.4</v>
      </c>
      <c r="E22" s="22">
        <f>IF(AND(ISNUMBER($D22),ISNUMBER(VLOOKUP($C22,$A$5:$F$11,4,FALSE))),$D22*VLOOKUP($C22,$A$5:$F$11,4,FALSE),"")</f>
        <v/>
      </c>
      <c r="F22" s="13">
        <f>IF(AND(ISNUMBER($E22),ISNUMBER(VLOOKUP($C22,$A$5:$F$11,5,FALSE))),$E22*VLOOKUP($C22,$A$5:$F$11,5,FALSE),"")</f>
        <v/>
      </c>
      <c r="G22" s="13">
        <f>IF(AND(ISNUMBER($E22),ISNUMBER(VLOOKUP($C22,$A$5:$F$11,3,FALSE)),VLOOKUP($C22,$A$5:$F$11,3,FALSE)&gt;0,ISNUMBER(VLOOKUP($C22,$A$5:$F$11,6,FALSE))),$E22*VLOOKUP($C22,$A$5:$F$11,3,FALSE)*VLOOKUP($C22,$A$5:$F$11,6,FALSE),"")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4" t="inlineStr">
        <is>
          <t>IPE 140</t>
        </is>
      </c>
      <c r="D23" s="21" t="n">
        <v>3.5</v>
      </c>
      <c r="E23" s="22">
        <f>IF(AND(ISNUMBER($D23),ISNUMBER(VLOOKUP($C23,$A$5:$F$11,4,FALSE))),$D23*VLOOKUP($C23,$A$5:$F$11,4,FALSE),"")</f>
        <v/>
      </c>
      <c r="F23" s="13">
        <f>IF(AND(ISNUMBER($E23),ISNUMBER(VLOOKUP($C23,$A$5:$F$11,5,FALSE))),$E23*VLOOKUP($C23,$A$5:$F$11,5,FALSE),"")</f>
        <v/>
      </c>
      <c r="G23" s="13">
        <f>IF(AND(ISNUMBER($E23),ISNUMBER(VLOOKUP($C23,$A$5:$F$11,3,FALSE)),VLOOKUP($C23,$A$5:$F$11,3,FALSE)&gt;0,ISNUMBER(VLOOKUP($C23,$A$5:$F$11,6,FALSE))),$E23*VLOOKUP($C23,$A$5:$F$11,3,FALSE)*VLOOKUP($C23,$A$5:$F$11,6,FALSE),"")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4" t="inlineStr">
        <is>
          <t>IPE 140</t>
        </is>
      </c>
      <c r="D24" s="21" t="n">
        <v>3.6</v>
      </c>
      <c r="E24" s="22">
        <f>IF(AND(ISNUMBER($D24),ISNUMBER(VLOOKUP($C24,$A$5:$F$11,4,FALSE))),$D24*VLOOKUP($C24,$A$5:$F$11,4,FALSE),"")</f>
        <v/>
      </c>
      <c r="F24" s="13">
        <f>IF(AND(ISNUMBER($E24),ISNUMBER(VLOOKUP($C24,$A$5:$F$11,5,FALSE))),$E24*VLOOKUP($C24,$A$5:$F$11,5,FALSE),"")</f>
        <v/>
      </c>
      <c r="G24" s="13">
        <f>IF(AND(ISNUMBER($E24),ISNUMBER(VLOOKUP($C24,$A$5:$F$11,3,FALSE)),VLOOKUP($C24,$A$5:$F$11,3,FALSE)&gt;0,ISNUMBER(VLOOKUP($C24,$A$5:$F$11,6,FALSE))),$E24*VLOOKUP($C24,$A$5:$F$11,3,FALSE)*VLOOKUP($C24,$A$5:$F$11,6,FALSE),"")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4" t="inlineStr">
        <is>
          <t>IPE 140</t>
        </is>
      </c>
      <c r="D25" s="21" t="n">
        <v>3.7</v>
      </c>
      <c r="E25" s="22">
        <f>IF(AND(ISNUMBER($D25),ISNUMBER(VLOOKUP($C25,$A$5:$F$11,4,FALSE))),$D25*VLOOKUP($C25,$A$5:$F$11,4,FALSE),"")</f>
        <v/>
      </c>
      <c r="F25" s="13">
        <f>IF(AND(ISNUMBER($E25),ISNUMBER(VLOOKUP($C25,$A$5:$F$11,5,FALSE))),$E25*VLOOKUP($C25,$A$5:$F$11,5,FALSE),"")</f>
        <v/>
      </c>
      <c r="G25" s="13">
        <f>IF(AND(ISNUMBER($E25),ISNUMBER(VLOOKUP($C25,$A$5:$F$11,3,FALSE)),VLOOKUP($C25,$A$5:$F$11,3,FALSE)&gt;0,ISNUMBER(VLOOKUP($C25,$A$5:$F$11,6,FALSE))),$E25*VLOOKUP($C25,$A$5:$F$11,3,FALSE)*VLOOKUP($C25,$A$5:$F$11,6,FALSE),"")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4" t="inlineStr">
        <is>
          <t>IPE 140</t>
        </is>
      </c>
      <c r="D26" s="21" t="n">
        <v>3.8</v>
      </c>
      <c r="E26" s="22">
        <f>IF(AND(ISNUMBER($D26),ISNUMBER(VLOOKUP($C26,$A$5:$F$11,4,FALSE))),$D26*VLOOKUP($C26,$A$5:$F$11,4,FALSE),"")</f>
        <v/>
      </c>
      <c r="F26" s="13">
        <f>IF(AND(ISNUMBER($E26),ISNUMBER(VLOOKUP($C26,$A$5:$F$11,5,FALSE))),$E26*VLOOKUP($C26,$A$5:$F$11,5,FALSE),"")</f>
        <v/>
      </c>
      <c r="G26" s="13">
        <f>IF(AND(ISNUMBER($E26),ISNUMBER(VLOOKUP($C26,$A$5:$F$11,3,FALSE)),VLOOKUP($C26,$A$5:$F$11,3,FALSE)&gt;0,ISNUMBER(VLOOKUP($C26,$A$5:$F$11,6,FALSE))),$E26*VLOOKUP($C26,$A$5:$F$11,3,FALSE)*VLOOKUP($C26,$A$5:$F$11,6,FALSE),"")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4" t="inlineStr">
        <is>
          <t>IPE 140</t>
        </is>
      </c>
      <c r="D27" s="21" t="n">
        <v>3.9</v>
      </c>
      <c r="E27" s="22">
        <f>IF(AND(ISNUMBER($D27),ISNUMBER(VLOOKUP($C27,$A$5:$F$11,4,FALSE))),$D27*VLOOKUP($C27,$A$5:$F$11,4,FALSE),"")</f>
        <v/>
      </c>
      <c r="F27" s="13">
        <f>IF(AND(ISNUMBER($E27),ISNUMBER(VLOOKUP($C27,$A$5:$F$11,5,FALSE))),$E27*VLOOKUP($C27,$A$5:$F$11,5,FALSE),"")</f>
        <v/>
      </c>
      <c r="G27" s="13">
        <f>IF(AND(ISNUMBER($E27),ISNUMBER(VLOOKUP($C27,$A$5:$F$11,3,FALSE)),VLOOKUP($C27,$A$5:$F$11,3,FALSE)&gt;0,ISNUMBER(VLOOKUP($C27,$A$5:$F$11,6,FALSE))),$E27*VLOOKUP($C27,$A$5:$F$11,3,FALSE)*VLOOKUP($C27,$A$5:$F$11,6,FALSE),"")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4" t="inlineStr">
        <is>
          <t>IPE 140</t>
        </is>
      </c>
      <c r="D28" s="21" t="n">
        <v>4</v>
      </c>
      <c r="E28" s="22">
        <f>IF(AND(ISNUMBER($D28),ISNUMBER(VLOOKUP($C28,$A$5:$F$11,4,FALSE))),$D28*VLOOKUP($C28,$A$5:$F$11,4,FALSE),"")</f>
        <v/>
      </c>
      <c r="F28" s="13">
        <f>IF(AND(ISNUMBER($E28),ISNUMBER(VLOOKUP($C28,$A$5:$F$11,5,FALSE))),$E28*VLOOKUP($C28,$A$5:$F$11,5,FALSE),"")</f>
        <v/>
      </c>
      <c r="G28" s="13">
        <f>IF(AND(ISNUMBER($E28),ISNUMBER(VLOOKUP($C28,$A$5:$F$11,3,FALSE)),VLOOKUP($C28,$A$5:$F$11,3,FALSE)&gt;0,ISNUMBER(VLOOKUP($C28,$A$5:$F$11,6,FALSE))),$E28*VLOOKUP($C28,$A$5:$F$11,3,FALSE)*VLOOKUP($C28,$A$5:$F$11,6,FALSE),"")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4" t="inlineStr">
        <is>
          <t>IPE 140</t>
        </is>
      </c>
      <c r="D29" s="21" t="n">
        <v>4.1</v>
      </c>
      <c r="E29" s="22">
        <f>IF(AND(ISNUMBER($D29),ISNUMBER(VLOOKUP($C29,$A$5:$F$11,4,FALSE))),$D29*VLOOKUP($C29,$A$5:$F$11,4,FALSE),"")</f>
        <v/>
      </c>
      <c r="F29" s="13">
        <f>IF(AND(ISNUMBER($E29),ISNUMBER(VLOOKUP($C29,$A$5:$F$11,5,FALSE))),$E29*VLOOKUP($C29,$A$5:$F$11,5,FALSE),"")</f>
        <v/>
      </c>
      <c r="G29" s="13">
        <f>IF(AND(ISNUMBER($E29),ISNUMBER(VLOOKUP($C29,$A$5:$F$11,3,FALSE)),VLOOKUP($C29,$A$5:$F$11,3,FALSE)&gt;0,ISNUMBER(VLOOKUP($C29,$A$5:$F$11,6,FALSE))),$E29*VLOOKUP($C29,$A$5:$F$11,3,FALSE)*VLOOKUP($C29,$A$5:$F$11,6,FALSE),"")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4" t="inlineStr">
        <is>
          <t>IPE 140</t>
        </is>
      </c>
      <c r="D30" s="21" t="n">
        <v>4.2</v>
      </c>
      <c r="E30" s="22">
        <f>IF(AND(ISNUMBER($D30),ISNUMBER(VLOOKUP($C30,$A$5:$F$11,4,FALSE))),$D30*VLOOKUP($C30,$A$5:$F$11,4,FALSE),"")</f>
        <v/>
      </c>
      <c r="F30" s="13">
        <f>IF(AND(ISNUMBER($E30),ISNUMBER(VLOOKUP($C30,$A$5:$F$11,5,FALSE))),$E30*VLOOKUP($C30,$A$5:$F$11,5,FALSE),"")</f>
        <v/>
      </c>
      <c r="G30" s="13">
        <f>IF(AND(ISNUMBER($E30),ISNUMBER(VLOOKUP($C30,$A$5:$F$11,3,FALSE)),VLOOKUP($C30,$A$5:$F$11,3,FALSE)&gt;0,ISNUMBER(VLOOKUP($C30,$A$5:$F$11,6,FALSE))),$E30*VLOOKUP($C30,$A$5:$F$11,3,FALSE)*VLOOKUP($C30,$A$5:$F$11,6,FALSE),"")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4" t="inlineStr">
        <is>
          <t>IPE 140</t>
        </is>
      </c>
      <c r="D31" s="21" t="n">
        <v>4.3</v>
      </c>
      <c r="E31" s="22">
        <f>IF(AND(ISNUMBER($D31),ISNUMBER(VLOOKUP($C31,$A$5:$F$11,4,FALSE))),$D31*VLOOKUP($C31,$A$5:$F$11,4,FALSE),"")</f>
        <v/>
      </c>
      <c r="F31" s="13">
        <f>IF(AND(ISNUMBER($E31),ISNUMBER(VLOOKUP($C31,$A$5:$F$11,5,FALSE))),$E31*VLOOKUP($C31,$A$5:$F$11,5,FALSE),"")</f>
        <v/>
      </c>
      <c r="G31" s="13">
        <f>IF(AND(ISNUMBER($E31),ISNUMBER(VLOOKUP($C31,$A$5:$F$11,3,FALSE)),VLOOKUP($C31,$A$5:$F$11,3,FALSE)&gt;0,ISNUMBER(VLOOKUP($C31,$A$5:$F$11,6,FALSE))),$E31*VLOOKUP($C31,$A$5:$F$11,3,FALSE)*VLOOKUP($C31,$A$5:$F$11,6,FALSE),"")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4" t="inlineStr">
        <is>
          <t>IPE 140</t>
        </is>
      </c>
      <c r="D32" s="21" t="n">
        <v>4.4</v>
      </c>
      <c r="E32" s="22">
        <f>IF(AND(ISNUMBER($D32),ISNUMBER(VLOOKUP($C32,$A$5:$F$11,4,FALSE))),$D32*VLOOKUP($C32,$A$5:$F$11,4,FALSE),"")</f>
        <v/>
      </c>
      <c r="F32" s="13">
        <f>IF(AND(ISNUMBER($E32),ISNUMBER(VLOOKUP($C32,$A$5:$F$11,5,FALSE))),$E32*VLOOKUP($C32,$A$5:$F$11,5,FALSE),"")</f>
        <v/>
      </c>
      <c r="G32" s="13">
        <f>IF(AND(ISNUMBER($E32),ISNUMBER(VLOOKUP($C32,$A$5:$F$11,3,FALSE)),VLOOKUP($C32,$A$5:$F$11,3,FALSE)&gt;0,ISNUMBER(VLOOKUP($C32,$A$5:$F$11,6,FALSE))),$E32*VLOOKUP($C32,$A$5:$F$11,3,FALSE)*VLOOKUP($C32,$A$5:$F$11,6,FALSE),"")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4" t="inlineStr">
        <is>
          <t>IPE 140</t>
        </is>
      </c>
      <c r="D33" s="21" t="n">
        <v>4.5</v>
      </c>
      <c r="E33" s="22">
        <f>IF(AND(ISNUMBER($D33),ISNUMBER(VLOOKUP($C33,$A$5:$F$11,4,FALSE))),$D33*VLOOKUP($C33,$A$5:$F$11,4,FALSE),"")</f>
        <v/>
      </c>
      <c r="F33" s="13">
        <f>IF(AND(ISNUMBER($E33),ISNUMBER(VLOOKUP($C33,$A$5:$F$11,5,FALSE))),$E33*VLOOKUP($C33,$A$5:$F$11,5,FALSE),"")</f>
        <v/>
      </c>
      <c r="G33" s="13">
        <f>IF(AND(ISNUMBER($E33),ISNUMBER(VLOOKUP($C33,$A$5:$F$11,3,FALSE)),VLOOKUP($C33,$A$5:$F$11,3,FALSE)&gt;0,ISNUMBER(VLOOKUP($C33,$A$5:$F$11,6,FALSE))),$E33*VLOOKUP($C33,$A$5:$F$11,3,FALSE)*VLOOKUP($C33,$A$5:$F$11,6,FALSE),"")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4" t="inlineStr">
        <is>
          <t>IPEA 140</t>
        </is>
      </c>
      <c r="D34" s="21" t="n">
        <v>2.3</v>
      </c>
      <c r="E34" s="22">
        <f>IF(AND(ISNUMBER($D34),ISNUMBER(VLOOKUP($C34,$A$5:$F$11,4,FALSE))),$D34*VLOOKUP($C34,$A$5:$F$11,4,FALSE),"")</f>
        <v/>
      </c>
      <c r="F34" s="13">
        <f>IF(AND(ISNUMBER($E34),ISNUMBER(VLOOKUP($C34,$A$5:$F$11,5,FALSE))),$E34*VLOOKUP($C34,$A$5:$F$11,5,FALSE),"")</f>
        <v/>
      </c>
      <c r="G34" s="13">
        <f>IF(AND(ISNUMBER($E34),ISNUMBER(VLOOKUP($C34,$A$5:$F$11,3,FALSE)),VLOOKUP($C34,$A$5:$F$11,3,FALSE)&gt;0,ISNUMBER(VLOOKUP($C34,$A$5:$F$11,6,FALSE))),$E34*VLOOKUP($C34,$A$5:$F$11,3,FALSE)*VLOOKUP($C34,$A$5:$F$11,6,FALSE),"")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4" t="inlineStr">
        <is>
          <t>IPEA 140</t>
        </is>
      </c>
      <c r="D35" s="21" t="n">
        <v>2.3</v>
      </c>
      <c r="E35" s="22">
        <f>IF(AND(ISNUMBER($D35),ISNUMBER(VLOOKUP($C35,$A$5:$F$11,4,FALSE))),$D35*VLOOKUP($C35,$A$5:$F$11,4,FALSE),"")</f>
        <v/>
      </c>
      <c r="F35" s="13">
        <f>IF(AND(ISNUMBER($E35),ISNUMBER(VLOOKUP($C35,$A$5:$F$11,5,FALSE))),$E35*VLOOKUP($C35,$A$5:$F$11,5,FALSE),"")</f>
        <v/>
      </c>
      <c r="G35" s="13">
        <f>IF(AND(ISNUMBER($E35),ISNUMBER(VLOOKUP($C35,$A$5:$F$11,3,FALSE)),VLOOKUP($C35,$A$5:$F$11,3,FALSE)&gt;0,ISNUMBER(VLOOKUP($C35,$A$5:$F$11,6,FALSE))),$E35*VLOOKUP($C35,$A$5:$F$11,3,FALSE)*VLOOKUP($C35,$A$5:$F$11,6,FALSE),"")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4" t="inlineStr">
        <is>
          <t>IPEA 140</t>
        </is>
      </c>
      <c r="D36" s="21" t="n">
        <v>2.3</v>
      </c>
      <c r="E36" s="22">
        <f>IF(AND(ISNUMBER($D36),ISNUMBER(VLOOKUP($C36,$A$5:$F$11,4,FALSE))),$D36*VLOOKUP($C36,$A$5:$F$11,4,FALSE),"")</f>
        <v/>
      </c>
      <c r="F36" s="13">
        <f>IF(AND(ISNUMBER($E36),ISNUMBER(VLOOKUP($C36,$A$5:$F$11,5,FALSE))),$E36*VLOOKUP($C36,$A$5:$F$11,5,FALSE),"")</f>
        <v/>
      </c>
      <c r="G36" s="13">
        <f>IF(AND(ISNUMBER($E36),ISNUMBER(VLOOKUP($C36,$A$5:$F$11,3,FALSE)),VLOOKUP($C36,$A$5:$F$11,3,FALSE)&gt;0,ISNUMBER(VLOOKUP($C36,$A$5:$F$11,6,FALSE))),$E36*VLOOKUP($C36,$A$5:$F$11,3,FALSE)*VLOOKUP($C36,$A$5:$F$11,6,FALSE),"")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4" t="inlineStr">
        <is>
          <t>IPEA 140</t>
        </is>
      </c>
      <c r="D37" s="21" t="n">
        <v>2.8</v>
      </c>
      <c r="E37" s="22">
        <f>IF(AND(ISNUMBER($D37),ISNUMBER(VLOOKUP($C37,$A$5:$F$11,4,FALSE))),$D37*VLOOKUP($C37,$A$5:$F$11,4,FALSE),"")</f>
        <v/>
      </c>
      <c r="F37" s="13">
        <f>IF(AND(ISNUMBER($E37),ISNUMBER(VLOOKUP($C37,$A$5:$F$11,5,FALSE))),$E37*VLOOKUP($C37,$A$5:$F$11,5,FALSE),"")</f>
        <v/>
      </c>
      <c r="G37" s="13">
        <f>IF(AND(ISNUMBER($E37),ISNUMBER(VLOOKUP($C37,$A$5:$F$11,3,FALSE)),VLOOKUP($C37,$A$5:$F$11,3,FALSE)&gt;0,ISNUMBER(VLOOKUP($C37,$A$5:$F$11,6,FALSE))),$E37*VLOOKUP($C37,$A$5:$F$11,3,FALSE)*VLOOKUP($C37,$A$5:$F$11,6,FALSE),"")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4" t="inlineStr">
        <is>
          <t>IPEA 140</t>
        </is>
      </c>
      <c r="D38" s="21" t="n">
        <v>2.9</v>
      </c>
      <c r="E38" s="22">
        <f>IF(AND(ISNUMBER($D38),ISNUMBER(VLOOKUP($C38,$A$5:$F$11,4,FALSE))),$D38*VLOOKUP($C38,$A$5:$F$11,4,FALSE),"")</f>
        <v/>
      </c>
      <c r="F38" s="13">
        <f>IF(AND(ISNUMBER($E38),ISNUMBER(VLOOKUP($C38,$A$5:$F$11,5,FALSE))),$E38*VLOOKUP($C38,$A$5:$F$11,5,FALSE),"")</f>
        <v/>
      </c>
      <c r="G38" s="13">
        <f>IF(AND(ISNUMBER($E38),ISNUMBER(VLOOKUP($C38,$A$5:$F$11,3,FALSE)),VLOOKUP($C38,$A$5:$F$11,3,FALSE)&gt;0,ISNUMBER(VLOOKUP($C38,$A$5:$F$11,6,FALSE))),$E38*VLOOKUP($C38,$A$5:$F$11,3,FALSE)*VLOOKUP($C38,$A$5:$F$11,6,FALSE),"")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4" t="inlineStr">
        <is>
          <t>IPEA 140</t>
        </is>
      </c>
      <c r="D39" s="21" t="n">
        <v>3</v>
      </c>
      <c r="E39" s="22">
        <f>IF(AND(ISNUMBER($D39),ISNUMBER(VLOOKUP($C39,$A$5:$F$11,4,FALSE))),$D39*VLOOKUP($C39,$A$5:$F$11,4,FALSE),"")</f>
        <v/>
      </c>
      <c r="F39" s="13">
        <f>IF(AND(ISNUMBER($E39),ISNUMBER(VLOOKUP($C39,$A$5:$F$11,5,FALSE))),$E39*VLOOKUP($C39,$A$5:$F$11,5,FALSE),"")</f>
        <v/>
      </c>
      <c r="G39" s="13">
        <f>IF(AND(ISNUMBER($E39),ISNUMBER(VLOOKUP($C39,$A$5:$F$11,3,FALSE)),VLOOKUP($C39,$A$5:$F$11,3,FALSE)&gt;0,ISNUMBER(VLOOKUP($C39,$A$5:$F$11,6,FALSE))),$E39*VLOOKUP($C39,$A$5:$F$11,3,FALSE)*VLOOKUP($C39,$A$5:$F$11,6,FALSE),"")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4" t="inlineStr">
        <is>
          <t>IPEA 140</t>
        </is>
      </c>
      <c r="D40" s="21" t="n">
        <v>3.1</v>
      </c>
      <c r="E40" s="22">
        <f>IF(AND(ISNUMBER($D40),ISNUMBER(VLOOKUP($C40,$A$5:$F$11,4,FALSE))),$D40*VLOOKUP($C40,$A$5:$F$11,4,FALSE),"")</f>
        <v/>
      </c>
      <c r="F40" s="13">
        <f>IF(AND(ISNUMBER($E40),ISNUMBER(VLOOKUP($C40,$A$5:$F$11,5,FALSE))),$E40*VLOOKUP($C40,$A$5:$F$11,5,FALSE),"")</f>
        <v/>
      </c>
      <c r="G40" s="13">
        <f>IF(AND(ISNUMBER($E40),ISNUMBER(VLOOKUP($C40,$A$5:$F$11,3,FALSE)),VLOOKUP($C40,$A$5:$F$11,3,FALSE)&gt;0,ISNUMBER(VLOOKUP($C40,$A$5:$F$11,6,FALSE))),$E40*VLOOKUP($C40,$A$5:$F$11,3,FALSE)*VLOOKUP($C40,$A$5:$F$11,6,FALSE),"")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4" t="inlineStr">
        <is>
          <t>IPEA 140</t>
        </is>
      </c>
      <c r="D41" s="21" t="n">
        <v>3.2</v>
      </c>
      <c r="E41" s="22">
        <f>IF(AND(ISNUMBER($D41),ISNUMBER(VLOOKUP($C41,$A$5:$F$11,4,FALSE))),$D41*VLOOKUP($C41,$A$5:$F$11,4,FALSE),"")</f>
        <v/>
      </c>
      <c r="F41" s="13">
        <f>IF(AND(ISNUMBER($E41),ISNUMBER(VLOOKUP($C41,$A$5:$F$11,5,FALSE))),$E41*VLOOKUP($C41,$A$5:$F$11,5,FALSE),"")</f>
        <v/>
      </c>
      <c r="G41" s="13">
        <f>IF(AND(ISNUMBER($E41),ISNUMBER(VLOOKUP($C41,$A$5:$F$11,3,FALSE)),VLOOKUP($C41,$A$5:$F$11,3,FALSE)&gt;0,ISNUMBER(VLOOKUP($C41,$A$5:$F$11,6,FALSE))),$E41*VLOOKUP($C41,$A$5:$F$11,3,FALSE)*VLOOKUP($C41,$A$5:$F$11,6,FALSE),"")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4" t="inlineStr">
        <is>
          <t>IPEA 140</t>
        </is>
      </c>
      <c r="D42" s="21" t="n">
        <v>3.3</v>
      </c>
      <c r="E42" s="22">
        <f>IF(AND(ISNUMBER($D42),ISNUMBER(VLOOKUP($C42,$A$5:$F$11,4,FALSE))),$D42*VLOOKUP($C42,$A$5:$F$11,4,FALSE),"")</f>
        <v/>
      </c>
      <c r="F42" s="13">
        <f>IF(AND(ISNUMBER($E42),ISNUMBER(VLOOKUP($C42,$A$5:$F$11,5,FALSE))),$E42*VLOOKUP($C42,$A$5:$F$11,5,FALSE),"")</f>
        <v/>
      </c>
      <c r="G42" s="13">
        <f>IF(AND(ISNUMBER($E42),ISNUMBER(VLOOKUP($C42,$A$5:$F$11,3,FALSE)),VLOOKUP($C42,$A$5:$F$11,3,FALSE)&gt;0,ISNUMBER(VLOOKUP($C42,$A$5:$F$11,6,FALSE))),$E42*VLOOKUP($C42,$A$5:$F$11,3,FALSE)*VLOOKUP($C42,$A$5:$F$11,6,FALSE),"")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4" t="inlineStr">
        <is>
          <t>IPEA 140</t>
        </is>
      </c>
      <c r="D43" s="21" t="n">
        <v>3.4</v>
      </c>
      <c r="E43" s="22">
        <f>IF(AND(ISNUMBER($D43),ISNUMBER(VLOOKUP($C43,$A$5:$F$11,4,FALSE))),$D43*VLOOKUP($C43,$A$5:$F$11,4,FALSE),"")</f>
        <v/>
      </c>
      <c r="F43" s="13">
        <f>IF(AND(ISNUMBER($E43),ISNUMBER(VLOOKUP($C43,$A$5:$F$11,5,FALSE))),$E43*VLOOKUP($C43,$A$5:$F$11,5,FALSE),"")</f>
        <v/>
      </c>
      <c r="G43" s="13">
        <f>IF(AND(ISNUMBER($E43),ISNUMBER(VLOOKUP($C43,$A$5:$F$11,3,FALSE)),VLOOKUP($C43,$A$5:$F$11,3,FALSE)&gt;0,ISNUMBER(VLOOKUP($C43,$A$5:$F$11,6,FALSE))),$E43*VLOOKUP($C43,$A$5:$F$11,3,FALSE)*VLOOKUP($C43,$A$5:$F$11,6,FALSE),"")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4" t="inlineStr">
        <is>
          <t>IPEA 140</t>
        </is>
      </c>
      <c r="D44" s="21" t="n">
        <v>3.5</v>
      </c>
      <c r="E44" s="22">
        <f>IF(AND(ISNUMBER($D44),ISNUMBER(VLOOKUP($C44,$A$5:$F$11,4,FALSE))),$D44*VLOOKUP($C44,$A$5:$F$11,4,FALSE),"")</f>
        <v/>
      </c>
      <c r="F44" s="13">
        <f>IF(AND(ISNUMBER($E44),ISNUMBER(VLOOKUP($C44,$A$5:$F$11,5,FALSE))),$E44*VLOOKUP($C44,$A$5:$F$11,5,FALSE),"")</f>
        <v/>
      </c>
      <c r="G44" s="13">
        <f>IF(AND(ISNUMBER($E44),ISNUMBER(VLOOKUP($C44,$A$5:$F$11,3,FALSE)),VLOOKUP($C44,$A$5:$F$11,3,FALSE)&gt;0,ISNUMBER(VLOOKUP($C44,$A$5:$F$11,6,FALSE))),$E44*VLOOKUP($C44,$A$5:$F$11,3,FALSE)*VLOOKUP($C44,$A$5:$F$11,6,FALSE),"")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4" t="inlineStr">
        <is>
          <t>IPEA 140</t>
        </is>
      </c>
      <c r="D45" s="21" t="n">
        <v>3.6</v>
      </c>
      <c r="E45" s="22">
        <f>IF(AND(ISNUMBER($D45),ISNUMBER(VLOOKUP($C45,$A$5:$F$11,4,FALSE))),$D45*VLOOKUP($C45,$A$5:$F$11,4,FALSE),"")</f>
        <v/>
      </c>
      <c r="F45" s="13">
        <f>IF(AND(ISNUMBER($E45),ISNUMBER(VLOOKUP($C45,$A$5:$F$11,5,FALSE))),$E45*VLOOKUP($C45,$A$5:$F$11,5,FALSE),"")</f>
        <v/>
      </c>
      <c r="G45" s="13">
        <f>IF(AND(ISNUMBER($E45),ISNUMBER(VLOOKUP($C45,$A$5:$F$11,3,FALSE)),VLOOKUP($C45,$A$5:$F$11,3,FALSE)&gt;0,ISNUMBER(VLOOKUP($C45,$A$5:$F$11,6,FALSE))),$E45*VLOOKUP($C45,$A$5:$F$11,3,FALSE)*VLOOKUP($C45,$A$5:$F$11,6,FALSE),"")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4" t="inlineStr">
        <is>
          <t>IPEA 140</t>
        </is>
      </c>
      <c r="D46" s="21" t="n">
        <v>3.7</v>
      </c>
      <c r="E46" s="22">
        <f>IF(AND(ISNUMBER($D46),ISNUMBER(VLOOKUP($C46,$A$5:$F$11,4,FALSE))),$D46*VLOOKUP($C46,$A$5:$F$11,4,FALSE),"")</f>
        <v/>
      </c>
      <c r="F46" s="13">
        <f>IF(AND(ISNUMBER($E46),ISNUMBER(VLOOKUP($C46,$A$5:$F$11,5,FALSE))),$E46*VLOOKUP($C46,$A$5:$F$11,5,FALSE),"")</f>
        <v/>
      </c>
      <c r="G46" s="13">
        <f>IF(AND(ISNUMBER($E46),ISNUMBER(VLOOKUP($C46,$A$5:$F$11,3,FALSE)),VLOOKUP($C46,$A$5:$F$11,3,FALSE)&gt;0,ISNUMBER(VLOOKUP($C46,$A$5:$F$11,6,FALSE))),$E46*VLOOKUP($C46,$A$5:$F$11,3,FALSE)*VLOOKUP($C46,$A$5:$F$11,6,FALSE),"")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4" t="inlineStr">
        <is>
          <t>IPEA 140</t>
        </is>
      </c>
      <c r="D47" s="21" t="n">
        <v>3.8</v>
      </c>
      <c r="E47" s="22">
        <f>IF(AND(ISNUMBER($D47),ISNUMBER(VLOOKUP($C47,$A$5:$F$11,4,FALSE))),$D47*VLOOKUP($C47,$A$5:$F$11,4,FALSE),"")</f>
        <v/>
      </c>
      <c r="F47" s="13">
        <f>IF(AND(ISNUMBER($E47),ISNUMBER(VLOOKUP($C47,$A$5:$F$11,5,FALSE))),$E47*VLOOKUP($C47,$A$5:$F$11,5,FALSE),"")</f>
        <v/>
      </c>
      <c r="G47" s="13">
        <f>IF(AND(ISNUMBER($E47),ISNUMBER(VLOOKUP($C47,$A$5:$F$11,3,FALSE)),VLOOKUP($C47,$A$5:$F$11,3,FALSE)&gt;0,ISNUMBER(VLOOKUP($C47,$A$5:$F$11,6,FALSE))),$E47*VLOOKUP($C47,$A$5:$F$11,3,FALSE)*VLOOKUP($C47,$A$5:$F$11,6,FALSE),"")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4" t="inlineStr">
        <is>
          <t>IPEA 140</t>
        </is>
      </c>
      <c r="D48" s="21" t="n">
        <v>3.9</v>
      </c>
      <c r="E48" s="22">
        <f>IF(AND(ISNUMBER($D48),ISNUMBER(VLOOKUP($C48,$A$5:$F$11,4,FALSE))),$D48*VLOOKUP($C48,$A$5:$F$11,4,FALSE),"")</f>
        <v/>
      </c>
      <c r="F48" s="13">
        <f>IF(AND(ISNUMBER($E48),ISNUMBER(VLOOKUP($C48,$A$5:$F$11,5,FALSE))),$E48*VLOOKUP($C48,$A$5:$F$11,5,FALSE),"")</f>
        <v/>
      </c>
      <c r="G48" s="13">
        <f>IF(AND(ISNUMBER($E48),ISNUMBER(VLOOKUP($C48,$A$5:$F$11,3,FALSE)),VLOOKUP($C48,$A$5:$F$11,3,FALSE)&gt;0,ISNUMBER(VLOOKUP($C48,$A$5:$F$11,6,FALSE))),$E48*VLOOKUP($C48,$A$5:$F$11,3,FALSE)*VLOOKUP($C48,$A$5:$F$11,6,FALSE),"")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4" t="inlineStr">
        <is>
          <t>IPEA 140</t>
        </is>
      </c>
      <c r="D49" s="21" t="n">
        <v>4</v>
      </c>
      <c r="E49" s="22">
        <f>IF(AND(ISNUMBER($D49),ISNUMBER(VLOOKUP($C49,$A$5:$F$11,4,FALSE))),$D49*VLOOKUP($C49,$A$5:$F$11,4,FALSE),"")</f>
        <v/>
      </c>
      <c r="F49" s="13">
        <f>IF(AND(ISNUMBER($E49),ISNUMBER(VLOOKUP($C49,$A$5:$F$11,5,FALSE))),$E49*VLOOKUP($C49,$A$5:$F$11,5,FALSE),"")</f>
        <v/>
      </c>
      <c r="G49" s="13">
        <f>IF(AND(ISNUMBER($E49),ISNUMBER(VLOOKUP($C49,$A$5:$F$11,3,FALSE)),VLOOKUP($C49,$A$5:$F$11,3,FALSE)&gt;0,ISNUMBER(VLOOKUP($C49,$A$5:$F$11,6,FALSE))),$E49*VLOOKUP($C49,$A$5:$F$11,3,FALSE)*VLOOKUP($C49,$A$5:$F$11,6,FALSE),"")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4" t="inlineStr">
        <is>
          <t>IPEA 140</t>
        </is>
      </c>
      <c r="D50" s="21" t="n">
        <v>4.1</v>
      </c>
      <c r="E50" s="22">
        <f>IF(AND(ISNUMBER($D50),ISNUMBER(VLOOKUP($C50,$A$5:$F$11,4,FALSE))),$D50*VLOOKUP($C50,$A$5:$F$11,4,FALSE),"")</f>
        <v/>
      </c>
      <c r="F50" s="13">
        <f>IF(AND(ISNUMBER($E50),ISNUMBER(VLOOKUP($C50,$A$5:$F$11,5,FALSE))),$E50*VLOOKUP($C50,$A$5:$F$11,5,FALSE),"")</f>
        <v/>
      </c>
      <c r="G50" s="13">
        <f>IF(AND(ISNUMBER($E50),ISNUMBER(VLOOKUP($C50,$A$5:$F$11,3,FALSE)),VLOOKUP($C50,$A$5:$F$11,3,FALSE)&gt;0,ISNUMBER(VLOOKUP($C50,$A$5:$F$11,6,FALSE))),$E50*VLOOKUP($C50,$A$5:$F$11,3,FALSE)*VLOOKUP($C50,$A$5:$F$11,6,FALSE),"")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4" t="inlineStr">
        <is>
          <t>IPEA 140</t>
        </is>
      </c>
      <c r="D51" s="21" t="n">
        <v>4.2</v>
      </c>
      <c r="E51" s="22">
        <f>IF(AND(ISNUMBER($D51),ISNUMBER(VLOOKUP($C51,$A$5:$F$11,4,FALSE))),$D51*VLOOKUP($C51,$A$5:$F$11,4,FALSE),"")</f>
        <v/>
      </c>
      <c r="F51" s="13">
        <f>IF(AND(ISNUMBER($E51),ISNUMBER(VLOOKUP($C51,$A$5:$F$11,5,FALSE))),$E51*VLOOKUP($C51,$A$5:$F$11,5,FALSE),"")</f>
        <v/>
      </c>
      <c r="G51" s="13">
        <f>IF(AND(ISNUMBER($E51),ISNUMBER(VLOOKUP($C51,$A$5:$F$11,3,FALSE)),VLOOKUP($C51,$A$5:$F$11,3,FALSE)&gt;0,ISNUMBER(VLOOKUP($C51,$A$5:$F$11,6,FALSE))),$E51*VLOOKUP($C51,$A$5:$F$11,3,FALSE)*VLOOKUP($C51,$A$5:$F$11,6,FALSE),"")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4" t="inlineStr">
        <is>
          <t>IPEA 140</t>
        </is>
      </c>
      <c r="D52" s="21" t="n">
        <v>4.3</v>
      </c>
      <c r="E52" s="22">
        <f>IF(AND(ISNUMBER($D52),ISNUMBER(VLOOKUP($C52,$A$5:$F$11,4,FALSE))),$D52*VLOOKUP($C52,$A$5:$F$11,4,FALSE),"")</f>
        <v/>
      </c>
      <c r="F52" s="13">
        <f>IF(AND(ISNUMBER($E52),ISNUMBER(VLOOKUP($C52,$A$5:$F$11,5,FALSE))),$E52*VLOOKUP($C52,$A$5:$F$11,5,FALSE),"")</f>
        <v/>
      </c>
      <c r="G52" s="13">
        <f>IF(AND(ISNUMBER($E52),ISNUMBER(VLOOKUP($C52,$A$5:$F$11,3,FALSE)),VLOOKUP($C52,$A$5:$F$11,3,FALSE)&gt;0,ISNUMBER(VLOOKUP($C52,$A$5:$F$11,6,FALSE))),$E52*VLOOKUP($C52,$A$5:$F$11,3,FALSE)*VLOOKUP($C52,$A$5:$F$11,6,FALSE),"")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4" t="inlineStr">
        <is>
          <t>IPEA 140</t>
        </is>
      </c>
      <c r="D53" s="21" t="n">
        <v>4.4</v>
      </c>
      <c r="E53" s="22">
        <f>IF(AND(ISNUMBER($D53),ISNUMBER(VLOOKUP($C53,$A$5:$F$11,4,FALSE))),$D53*VLOOKUP($C53,$A$5:$F$11,4,FALSE),"")</f>
        <v/>
      </c>
      <c r="F53" s="13">
        <f>IF(AND(ISNUMBER($E53),ISNUMBER(VLOOKUP($C53,$A$5:$F$11,5,FALSE))),$E53*VLOOKUP($C53,$A$5:$F$11,5,FALSE),"")</f>
        <v/>
      </c>
      <c r="G53" s="13">
        <f>IF(AND(ISNUMBER($E53),ISNUMBER(VLOOKUP($C53,$A$5:$F$11,3,FALSE)),VLOOKUP($C53,$A$5:$F$11,3,FALSE)&gt;0,ISNUMBER(VLOOKUP($C53,$A$5:$F$11,6,FALSE))),$E53*VLOOKUP($C53,$A$5:$F$11,3,FALSE)*VLOOKUP($C53,$A$5:$F$11,6,FALSE),"")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4" t="inlineStr">
        <is>
          <t>IPEA 140</t>
        </is>
      </c>
      <c r="D54" s="21" t="n">
        <v>4.5</v>
      </c>
      <c r="E54" s="22">
        <f>IF(AND(ISNUMBER($D54),ISNUMBER(VLOOKUP($C54,$A$5:$F$11,4,FALSE))),$D54*VLOOKUP($C54,$A$5:$F$11,4,FALSE),"")</f>
        <v/>
      </c>
      <c r="F54" s="13">
        <f>IF(AND(ISNUMBER($E54),ISNUMBER(VLOOKUP($C54,$A$5:$F$11,5,FALSE))),$E54*VLOOKUP($C54,$A$5:$F$11,5,FALSE),"")</f>
        <v/>
      </c>
      <c r="G54" s="13">
        <f>IF(AND(ISNUMBER($E54),ISNUMBER(VLOOKUP($C54,$A$5:$F$11,3,FALSE)),VLOOKUP($C54,$A$5:$F$11,3,FALSE)&gt;0,ISNUMBER(VLOOKUP($C54,$A$5:$F$11,6,FALSE))),$E54*VLOOKUP($C54,$A$5:$F$11,3,FALSE)*VLOOKUP($C54,$A$5:$F$11,6,FALSE),"")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4" t="inlineStr">
        <is>
          <t>IPE 140</t>
        </is>
      </c>
      <c r="D55" s="21" t="n">
        <v>2.6</v>
      </c>
      <c r="E55" s="22">
        <f>IF(AND(ISNUMBER($D55),ISNUMBER(VLOOKUP($C55,$A$5:$F$11,4,FALSE))),$D55*VLOOKUP($C55,$A$5:$F$11,4,FALSE),"")</f>
        <v/>
      </c>
      <c r="F55" s="13">
        <f>IF(AND(ISNUMBER($E55),ISNUMBER(VLOOKUP($C55,$A$5:$F$11,5,FALSE))),$E55*VLOOKUP($C55,$A$5:$F$11,5,FALSE),"")</f>
        <v/>
      </c>
      <c r="G55" s="13">
        <f>IF(AND(ISNUMBER($E55),ISNUMBER(VLOOKUP($C55,$A$5:$F$11,3,FALSE)),VLOOKUP($C55,$A$5:$F$11,3,FALSE)&gt;0,ISNUMBER(VLOOKUP($C55,$A$5:$F$11,6,FALSE))),$E55*VLOOKUP($C55,$A$5:$F$11,3,FALSE)*VLOOKUP($C55,$A$5:$F$11,6,FALSE),"")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4" t="inlineStr">
        <is>
          <t>IPE 140</t>
        </is>
      </c>
      <c r="D56" s="21" t="n">
        <v>2.7</v>
      </c>
      <c r="E56" s="22">
        <f>IF(AND(ISNUMBER($D56),ISNUMBER(VLOOKUP($C56,$A$5:$F$11,4,FALSE))),$D56*VLOOKUP($C56,$A$5:$F$11,4,FALSE),"")</f>
        <v/>
      </c>
      <c r="F56" s="13">
        <f>IF(AND(ISNUMBER($E56),ISNUMBER(VLOOKUP($C56,$A$5:$F$11,5,FALSE))),$E56*VLOOKUP($C56,$A$5:$F$11,5,FALSE),"")</f>
        <v/>
      </c>
      <c r="G56" s="13">
        <f>IF(AND(ISNUMBER($E56),ISNUMBER(VLOOKUP($C56,$A$5:$F$11,3,FALSE)),VLOOKUP($C56,$A$5:$F$11,3,FALSE)&gt;0,ISNUMBER(VLOOKUP($C56,$A$5:$F$11,6,FALSE))),$E56*VLOOKUP($C56,$A$5:$F$11,3,FALSE)*VLOOKUP($C56,$A$5:$F$11,6,FALSE),"")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4" t="inlineStr">
        <is>
          <t>IPE 140</t>
        </is>
      </c>
      <c r="D57" s="21" t="n">
        <v>2.8</v>
      </c>
      <c r="E57" s="22">
        <f>IF(AND(ISNUMBER($D57),ISNUMBER(VLOOKUP($C57,$A$5:$F$11,4,FALSE))),$D57*VLOOKUP($C57,$A$5:$F$11,4,FALSE),"")</f>
        <v/>
      </c>
      <c r="F57" s="13">
        <f>IF(AND(ISNUMBER($E57),ISNUMBER(VLOOKUP($C57,$A$5:$F$11,5,FALSE))),$E57*VLOOKUP($C57,$A$5:$F$11,5,FALSE),"")</f>
        <v/>
      </c>
      <c r="G57" s="13">
        <f>IF(AND(ISNUMBER($E57),ISNUMBER(VLOOKUP($C57,$A$5:$F$11,3,FALSE)),VLOOKUP($C57,$A$5:$F$11,3,FALSE)&gt;0,ISNUMBER(VLOOKUP($C57,$A$5:$F$11,6,FALSE))),$E57*VLOOKUP($C57,$A$5:$F$11,3,FALSE)*VLOOKUP($C57,$A$5:$F$11,6,FALSE),"")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4" t="inlineStr">
        <is>
          <t>IPE 140</t>
        </is>
      </c>
      <c r="D58" s="21" t="n">
        <v>2.9</v>
      </c>
      <c r="E58" s="22">
        <f>IF(AND(ISNUMBER($D58),ISNUMBER(VLOOKUP($C58,$A$5:$F$11,4,FALSE))),$D58*VLOOKUP($C58,$A$5:$F$11,4,FALSE),"")</f>
        <v/>
      </c>
      <c r="F58" s="13">
        <f>IF(AND(ISNUMBER($E58),ISNUMBER(VLOOKUP($C58,$A$5:$F$11,5,FALSE))),$E58*VLOOKUP($C58,$A$5:$F$11,5,FALSE),"")</f>
        <v/>
      </c>
      <c r="G58" s="13">
        <f>IF(AND(ISNUMBER($E58),ISNUMBER(VLOOKUP($C58,$A$5:$F$11,3,FALSE)),VLOOKUP($C58,$A$5:$F$11,3,FALSE)&gt;0,ISNUMBER(VLOOKUP($C58,$A$5:$F$11,6,FALSE))),$E58*VLOOKUP($C58,$A$5:$F$11,3,FALSE)*VLOOKUP($C58,$A$5:$F$11,6,FALSE),"")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4" t="inlineStr">
        <is>
          <t>IPE 140</t>
        </is>
      </c>
      <c r="D59" s="21" t="n">
        <v>3</v>
      </c>
      <c r="E59" s="22">
        <f>IF(AND(ISNUMBER($D59),ISNUMBER(VLOOKUP($C59,$A$5:$F$11,4,FALSE))),$D59*VLOOKUP($C59,$A$5:$F$11,4,FALSE),"")</f>
        <v/>
      </c>
      <c r="F59" s="13">
        <f>IF(AND(ISNUMBER($E59),ISNUMBER(VLOOKUP($C59,$A$5:$F$11,5,FALSE))),$E59*VLOOKUP($C59,$A$5:$F$11,5,FALSE),"")</f>
        <v/>
      </c>
      <c r="G59" s="13">
        <f>IF(AND(ISNUMBER($E59),ISNUMBER(VLOOKUP($C59,$A$5:$F$11,3,FALSE)),VLOOKUP($C59,$A$5:$F$11,3,FALSE)&gt;0,ISNUMBER(VLOOKUP($C59,$A$5:$F$11,6,FALSE))),$E59*VLOOKUP($C59,$A$5:$F$11,3,FALSE)*VLOOKUP($C59,$A$5:$F$11,6,FALSE),"")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4" t="inlineStr">
        <is>
          <t>IPE 140</t>
        </is>
      </c>
      <c r="D60" s="21" t="n">
        <v>3.1</v>
      </c>
      <c r="E60" s="22">
        <f>IF(AND(ISNUMBER($D60),ISNUMBER(VLOOKUP($C60,$A$5:$F$11,4,FALSE))),$D60*VLOOKUP($C60,$A$5:$F$11,4,FALSE),"")</f>
        <v/>
      </c>
      <c r="F60" s="13">
        <f>IF(AND(ISNUMBER($E60),ISNUMBER(VLOOKUP($C60,$A$5:$F$11,5,FALSE))),$E60*VLOOKUP($C60,$A$5:$F$11,5,FALSE),"")</f>
        <v/>
      </c>
      <c r="G60" s="13">
        <f>IF(AND(ISNUMBER($E60),ISNUMBER(VLOOKUP($C60,$A$5:$F$11,3,FALSE)),VLOOKUP($C60,$A$5:$F$11,3,FALSE)&gt;0,ISNUMBER(VLOOKUP($C60,$A$5:$F$11,6,FALSE))),$E60*VLOOKUP($C60,$A$5:$F$11,3,FALSE)*VLOOKUP($C60,$A$5:$F$11,6,FALSE),"")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4" t="inlineStr">
        <is>
          <t>IPE 140</t>
        </is>
      </c>
      <c r="D61" s="21" t="n">
        <v>3.2</v>
      </c>
      <c r="E61" s="22">
        <f>IF(AND(ISNUMBER($D61),ISNUMBER(VLOOKUP($C61,$A$5:$F$11,4,FALSE))),$D61*VLOOKUP($C61,$A$5:$F$11,4,FALSE),"")</f>
        <v/>
      </c>
      <c r="F61" s="13">
        <f>IF(AND(ISNUMBER($E61),ISNUMBER(VLOOKUP($C61,$A$5:$F$11,5,FALSE))),$E61*VLOOKUP($C61,$A$5:$F$11,5,FALSE),"")</f>
        <v/>
      </c>
      <c r="G61" s="13">
        <f>IF(AND(ISNUMBER($E61),ISNUMBER(VLOOKUP($C61,$A$5:$F$11,3,FALSE)),VLOOKUP($C61,$A$5:$F$11,3,FALSE)&gt;0,ISNUMBER(VLOOKUP($C61,$A$5:$F$11,6,FALSE))),$E61*VLOOKUP($C61,$A$5:$F$11,3,FALSE)*VLOOKUP($C61,$A$5:$F$11,6,FALSE),"")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4" t="inlineStr">
        <is>
          <t>IPE 140</t>
        </is>
      </c>
      <c r="D62" s="21" t="n">
        <v>3.3</v>
      </c>
      <c r="E62" s="22">
        <f>IF(AND(ISNUMBER($D62),ISNUMBER(VLOOKUP($C62,$A$5:$F$11,4,FALSE))),$D62*VLOOKUP($C62,$A$5:$F$11,4,FALSE),"")</f>
        <v/>
      </c>
      <c r="F62" s="13">
        <f>IF(AND(ISNUMBER($E62),ISNUMBER(VLOOKUP($C62,$A$5:$F$11,5,FALSE))),$E62*VLOOKUP($C62,$A$5:$F$11,5,FALSE),"")</f>
        <v/>
      </c>
      <c r="G62" s="13">
        <f>IF(AND(ISNUMBER($E62),ISNUMBER(VLOOKUP($C62,$A$5:$F$11,3,FALSE)),VLOOKUP($C62,$A$5:$F$11,3,FALSE)&gt;0,ISNUMBER(VLOOKUP($C62,$A$5:$F$11,6,FALSE))),$E62*VLOOKUP($C62,$A$5:$F$11,3,FALSE)*VLOOKUP($C62,$A$5:$F$11,6,FALSE),"")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4" t="inlineStr">
        <is>
          <t>IPE 140</t>
        </is>
      </c>
      <c r="D63" s="21" t="n">
        <v>3.4</v>
      </c>
      <c r="E63" s="22">
        <f>IF(AND(ISNUMBER($D63),ISNUMBER(VLOOKUP($C63,$A$5:$F$11,4,FALSE))),$D63*VLOOKUP($C63,$A$5:$F$11,4,FALSE),"")</f>
        <v/>
      </c>
      <c r="F63" s="13">
        <f>IF(AND(ISNUMBER($E63),ISNUMBER(VLOOKUP($C63,$A$5:$F$11,5,FALSE))),$E63*VLOOKUP($C63,$A$5:$F$11,5,FALSE),"")</f>
        <v/>
      </c>
      <c r="G63" s="13">
        <f>IF(AND(ISNUMBER($E63),ISNUMBER(VLOOKUP($C63,$A$5:$F$11,3,FALSE)),VLOOKUP($C63,$A$5:$F$11,3,FALSE)&gt;0,ISNUMBER(VLOOKUP($C63,$A$5:$F$11,6,FALSE))),$E63*VLOOKUP($C63,$A$5:$F$11,3,FALSE)*VLOOKUP($C63,$A$5:$F$11,6,FALSE),"")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4" t="inlineStr">
        <is>
          <t>IPE 140</t>
        </is>
      </c>
      <c r="D64" s="21" t="n">
        <v>3.5</v>
      </c>
      <c r="E64" s="22">
        <f>IF(AND(ISNUMBER($D64),ISNUMBER(VLOOKUP($C64,$A$5:$F$11,4,FALSE))),$D64*VLOOKUP($C64,$A$5:$F$11,4,FALSE),"")</f>
        <v/>
      </c>
      <c r="F64" s="13">
        <f>IF(AND(ISNUMBER($E64),ISNUMBER(VLOOKUP($C64,$A$5:$F$11,5,FALSE))),$E64*VLOOKUP($C64,$A$5:$F$11,5,FALSE),"")</f>
        <v/>
      </c>
      <c r="G64" s="13">
        <f>IF(AND(ISNUMBER($E64),ISNUMBER(VLOOKUP($C64,$A$5:$F$11,3,FALSE)),VLOOKUP($C64,$A$5:$F$11,3,FALSE)&gt;0,ISNUMBER(VLOOKUP($C64,$A$5:$F$11,6,FALSE))),$E64*VLOOKUP($C64,$A$5:$F$11,3,FALSE)*VLOOKUP($C64,$A$5:$F$11,6,FALSE),"")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4" t="inlineStr">
        <is>
          <t>IPE 140</t>
        </is>
      </c>
      <c r="D65" s="21" t="n">
        <v>3.6</v>
      </c>
      <c r="E65" s="22">
        <f>IF(AND(ISNUMBER($D65),ISNUMBER(VLOOKUP($C65,$A$5:$F$11,4,FALSE))),$D65*VLOOKUP($C65,$A$5:$F$11,4,FALSE),"")</f>
        <v/>
      </c>
      <c r="F65" s="13">
        <f>IF(AND(ISNUMBER($E65),ISNUMBER(VLOOKUP($C65,$A$5:$F$11,5,FALSE))),$E65*VLOOKUP($C65,$A$5:$F$11,5,FALSE),"")</f>
        <v/>
      </c>
      <c r="G65" s="13">
        <f>IF(AND(ISNUMBER($E65),ISNUMBER(VLOOKUP($C65,$A$5:$F$11,3,FALSE)),VLOOKUP($C65,$A$5:$F$11,3,FALSE)&gt;0,ISNUMBER(VLOOKUP($C65,$A$5:$F$11,6,FALSE))),$E65*VLOOKUP($C65,$A$5:$F$11,3,FALSE)*VLOOKUP($C65,$A$5:$F$11,6,FALSE),"")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4" t="inlineStr">
        <is>
          <t>IPEA 140</t>
        </is>
      </c>
      <c r="D66" s="21" t="n">
        <v>2.6</v>
      </c>
      <c r="E66" s="22">
        <f>IF(AND(ISNUMBER($D66),ISNUMBER(VLOOKUP($C66,$A$5:$F$11,4,FALSE))),$D66*VLOOKUP($C66,$A$5:$F$11,4,FALSE),"")</f>
        <v/>
      </c>
      <c r="F66" s="13">
        <f>IF(AND(ISNUMBER($E66),ISNUMBER(VLOOKUP($C66,$A$5:$F$11,5,FALSE))),$E66*VLOOKUP($C66,$A$5:$F$11,5,FALSE),"")</f>
        <v/>
      </c>
      <c r="G66" s="13">
        <f>IF(AND(ISNUMBER($E66),ISNUMBER(VLOOKUP($C66,$A$5:$F$11,3,FALSE)),VLOOKUP($C66,$A$5:$F$11,3,FALSE)&gt;0,ISNUMBER(VLOOKUP($C66,$A$5:$F$11,6,FALSE))),$E66*VLOOKUP($C66,$A$5:$F$11,3,FALSE)*VLOOKUP($C66,$A$5:$F$11,6,FALSE),"")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4" t="inlineStr">
        <is>
          <t>IPEA 140</t>
        </is>
      </c>
      <c r="D67" s="21" t="n">
        <v>2.7</v>
      </c>
      <c r="E67" s="22">
        <f>IF(AND(ISNUMBER($D67),ISNUMBER(VLOOKUP($C67,$A$5:$F$11,4,FALSE))),$D67*VLOOKUP($C67,$A$5:$F$11,4,FALSE),"")</f>
        <v/>
      </c>
      <c r="F67" s="13">
        <f>IF(AND(ISNUMBER($E67),ISNUMBER(VLOOKUP($C67,$A$5:$F$11,5,FALSE))),$E67*VLOOKUP($C67,$A$5:$F$11,5,FALSE),"")</f>
        <v/>
      </c>
      <c r="G67" s="13">
        <f>IF(AND(ISNUMBER($E67),ISNUMBER(VLOOKUP($C67,$A$5:$F$11,3,FALSE)),VLOOKUP($C67,$A$5:$F$11,3,FALSE)&gt;0,ISNUMBER(VLOOKUP($C67,$A$5:$F$11,6,FALSE))),$E67*VLOOKUP($C67,$A$5:$F$11,3,FALSE)*VLOOKUP($C67,$A$5:$F$11,6,FALSE),"")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4" t="inlineStr">
        <is>
          <t>IPEA 140</t>
        </is>
      </c>
      <c r="D68" s="21" t="n">
        <v>2.8</v>
      </c>
      <c r="E68" s="22">
        <f>IF(AND(ISNUMBER($D68),ISNUMBER(VLOOKUP($C68,$A$5:$F$11,4,FALSE))),$D68*VLOOKUP($C68,$A$5:$F$11,4,FALSE),"")</f>
        <v/>
      </c>
      <c r="F68" s="13">
        <f>IF(AND(ISNUMBER($E68),ISNUMBER(VLOOKUP($C68,$A$5:$F$11,5,FALSE))),$E68*VLOOKUP($C68,$A$5:$F$11,5,FALSE),"")</f>
        <v/>
      </c>
      <c r="G68" s="13">
        <f>IF(AND(ISNUMBER($E68),ISNUMBER(VLOOKUP($C68,$A$5:$F$11,3,FALSE)),VLOOKUP($C68,$A$5:$F$11,3,FALSE)&gt;0,ISNUMBER(VLOOKUP($C68,$A$5:$F$11,6,FALSE))),$E68*VLOOKUP($C68,$A$5:$F$11,3,FALSE)*VLOOKUP($C68,$A$5:$F$11,6,FALSE),"")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4" t="inlineStr">
        <is>
          <t>IPEA 140</t>
        </is>
      </c>
      <c r="D69" s="21" t="n">
        <v>2.9</v>
      </c>
      <c r="E69" s="22">
        <f>IF(AND(ISNUMBER($D69),ISNUMBER(VLOOKUP($C69,$A$5:$F$11,4,FALSE))),$D69*VLOOKUP($C69,$A$5:$F$11,4,FALSE),"")</f>
        <v/>
      </c>
      <c r="F69" s="13">
        <f>IF(AND(ISNUMBER($E69),ISNUMBER(VLOOKUP($C69,$A$5:$F$11,5,FALSE))),$E69*VLOOKUP($C69,$A$5:$F$11,5,FALSE),"")</f>
        <v/>
      </c>
      <c r="G69" s="13">
        <f>IF(AND(ISNUMBER($E69),ISNUMBER(VLOOKUP($C69,$A$5:$F$11,3,FALSE)),VLOOKUP($C69,$A$5:$F$11,3,FALSE)&gt;0,ISNUMBER(VLOOKUP($C69,$A$5:$F$11,6,FALSE))),$E69*VLOOKUP($C69,$A$5:$F$11,3,FALSE)*VLOOKUP($C69,$A$5:$F$11,6,FALSE),"")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4" t="inlineStr">
        <is>
          <t>IPEA 140</t>
        </is>
      </c>
      <c r="D70" s="21" t="n">
        <v>3</v>
      </c>
      <c r="E70" s="22">
        <f>IF(AND(ISNUMBER($D70),ISNUMBER(VLOOKUP($C70,$A$5:$F$11,4,FALSE))),$D70*VLOOKUP($C70,$A$5:$F$11,4,FALSE),"")</f>
        <v/>
      </c>
      <c r="F70" s="13">
        <f>IF(AND(ISNUMBER($E70),ISNUMBER(VLOOKUP($C70,$A$5:$F$11,5,FALSE))),$E70*VLOOKUP($C70,$A$5:$F$11,5,FALSE),"")</f>
        <v/>
      </c>
      <c r="G70" s="13">
        <f>IF(AND(ISNUMBER($E70),ISNUMBER(VLOOKUP($C70,$A$5:$F$11,3,FALSE)),VLOOKUP($C70,$A$5:$F$11,3,FALSE)&gt;0,ISNUMBER(VLOOKUP($C70,$A$5:$F$11,6,FALSE))),$E70*VLOOKUP($C70,$A$5:$F$11,3,FALSE)*VLOOKUP($C70,$A$5:$F$11,6,FALSE),"")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4" t="inlineStr">
        <is>
          <t>IPEA 140</t>
        </is>
      </c>
      <c r="D71" s="21" t="n">
        <v>3.1</v>
      </c>
      <c r="E71" s="22">
        <f>IF(AND(ISNUMBER($D71),ISNUMBER(VLOOKUP($C71,$A$5:$F$11,4,FALSE))),$D71*VLOOKUP($C71,$A$5:$F$11,4,FALSE),"")</f>
        <v/>
      </c>
      <c r="F71" s="13">
        <f>IF(AND(ISNUMBER($E71),ISNUMBER(VLOOKUP($C71,$A$5:$F$11,5,FALSE))),$E71*VLOOKUP($C71,$A$5:$F$11,5,FALSE),"")</f>
        <v/>
      </c>
      <c r="G71" s="13">
        <f>IF(AND(ISNUMBER($E71),ISNUMBER(VLOOKUP($C71,$A$5:$F$11,3,FALSE)),VLOOKUP($C71,$A$5:$F$11,3,FALSE)&gt;0,ISNUMBER(VLOOKUP($C71,$A$5:$F$11,6,FALSE))),$E71*VLOOKUP($C71,$A$5:$F$11,3,FALSE)*VLOOKUP($C71,$A$5:$F$11,6,FALSE),"")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4" t="inlineStr">
        <is>
          <t>IPEA 140</t>
        </is>
      </c>
      <c r="D72" s="21" t="n">
        <v>3.2</v>
      </c>
      <c r="E72" s="22">
        <f>IF(AND(ISNUMBER($D72),ISNUMBER(VLOOKUP($C72,$A$5:$F$11,4,FALSE))),$D72*VLOOKUP($C72,$A$5:$F$11,4,FALSE),"")</f>
        <v/>
      </c>
      <c r="F72" s="13">
        <f>IF(AND(ISNUMBER($E72),ISNUMBER(VLOOKUP($C72,$A$5:$F$11,5,FALSE))),$E72*VLOOKUP($C72,$A$5:$F$11,5,FALSE),"")</f>
        <v/>
      </c>
      <c r="G72" s="13">
        <f>IF(AND(ISNUMBER($E72),ISNUMBER(VLOOKUP($C72,$A$5:$F$11,3,FALSE)),VLOOKUP($C72,$A$5:$F$11,3,FALSE)&gt;0,ISNUMBER(VLOOKUP($C72,$A$5:$F$11,6,FALSE))),$E72*VLOOKUP($C72,$A$5:$F$11,3,FALSE)*VLOOKUP($C72,$A$5:$F$11,6,FALSE),"")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4" t="inlineStr">
        <is>
          <t>IPEA 140</t>
        </is>
      </c>
      <c r="D73" s="21" t="n">
        <v>3.3</v>
      </c>
      <c r="E73" s="22">
        <f>IF(AND(ISNUMBER($D73),ISNUMBER(VLOOKUP($C73,$A$5:$F$11,4,FALSE))),$D73*VLOOKUP($C73,$A$5:$F$11,4,FALSE),"")</f>
        <v/>
      </c>
      <c r="F73" s="13">
        <f>IF(AND(ISNUMBER($E73),ISNUMBER(VLOOKUP($C73,$A$5:$F$11,5,FALSE))),$E73*VLOOKUP($C73,$A$5:$F$11,5,FALSE),"")</f>
        <v/>
      </c>
      <c r="G73" s="13">
        <f>IF(AND(ISNUMBER($E73),ISNUMBER(VLOOKUP($C73,$A$5:$F$11,3,FALSE)),VLOOKUP($C73,$A$5:$F$11,3,FALSE)&gt;0,ISNUMBER(VLOOKUP($C73,$A$5:$F$11,6,FALSE))),$E73*VLOOKUP($C73,$A$5:$F$11,3,FALSE)*VLOOKUP($C73,$A$5:$F$11,6,FALSE),"")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4" t="inlineStr">
        <is>
          <t>IPEA 140</t>
        </is>
      </c>
      <c r="D74" s="21" t="n">
        <v>3.4</v>
      </c>
      <c r="E74" s="22">
        <f>IF(AND(ISNUMBER($D74),ISNUMBER(VLOOKUP($C74,$A$5:$F$11,4,FALSE))),$D74*VLOOKUP($C74,$A$5:$F$11,4,FALSE),"")</f>
        <v/>
      </c>
      <c r="F74" s="13">
        <f>IF(AND(ISNUMBER($E74),ISNUMBER(VLOOKUP($C74,$A$5:$F$11,5,FALSE))),$E74*VLOOKUP($C74,$A$5:$F$11,5,FALSE),"")</f>
        <v/>
      </c>
      <c r="G74" s="13">
        <f>IF(AND(ISNUMBER($E74),ISNUMBER(VLOOKUP($C74,$A$5:$F$11,3,FALSE)),VLOOKUP($C74,$A$5:$F$11,3,FALSE)&gt;0,ISNUMBER(VLOOKUP($C74,$A$5:$F$11,6,FALSE))),$E74*VLOOKUP($C74,$A$5:$F$11,3,FALSE)*VLOOKUP($C74,$A$5:$F$11,6,FALSE),"")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4" t="inlineStr">
        <is>
          <t>IPEA 140</t>
        </is>
      </c>
      <c r="D75" s="21" t="n">
        <v>3.5</v>
      </c>
      <c r="E75" s="22">
        <f>IF(AND(ISNUMBER($D75),ISNUMBER(VLOOKUP($C75,$A$5:$F$11,4,FALSE))),$D75*VLOOKUP($C75,$A$5:$F$11,4,FALSE),"")</f>
        <v/>
      </c>
      <c r="F75" s="13">
        <f>IF(AND(ISNUMBER($E75),ISNUMBER(VLOOKUP($C75,$A$5:$F$11,5,FALSE))),$E75*VLOOKUP($C75,$A$5:$F$11,5,FALSE),"")</f>
        <v/>
      </c>
      <c r="G75" s="13">
        <f>IF(AND(ISNUMBER($E75),ISNUMBER(VLOOKUP($C75,$A$5:$F$11,3,FALSE)),VLOOKUP($C75,$A$5:$F$11,3,FALSE)&gt;0,ISNUMBER(VLOOKUP($C75,$A$5:$F$11,6,FALSE))),$E75*VLOOKUP($C75,$A$5:$F$11,3,FALSE)*VLOOKUP($C75,$A$5:$F$11,6,FALSE),"")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4" t="inlineStr">
        <is>
          <t>IPEA 140</t>
        </is>
      </c>
      <c r="D76" s="21" t="n">
        <v>3.6</v>
      </c>
      <c r="E76" s="22">
        <f>IF(AND(ISNUMBER($D76),ISNUMBER(VLOOKUP($C76,$A$5:$F$11,4,FALSE))),$D76*VLOOKUP($C76,$A$5:$F$11,4,FALSE),"")</f>
        <v/>
      </c>
      <c r="F76" s="13">
        <f>IF(AND(ISNUMBER($E76),ISNUMBER(VLOOKUP($C76,$A$5:$F$11,5,FALSE))),$E76*VLOOKUP($C76,$A$5:$F$11,5,FALSE),"")</f>
        <v/>
      </c>
      <c r="G76" s="13">
        <f>IF(AND(ISNUMBER($E76),ISNUMBER(VLOOKUP($C76,$A$5:$F$11,3,FALSE)),VLOOKUP($C76,$A$5:$F$11,3,FALSE)&gt;0,ISNUMBER(VLOOKUP($C76,$A$5:$F$11,6,FALSE))),$E76*VLOOKUP($C76,$A$5:$F$11,3,FALSE)*VLOOKUP($C76,$A$5:$F$11,6,FALSE),"")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4" t="inlineStr">
        <is>
          <t>IPE 140</t>
        </is>
      </c>
      <c r="D77" s="21" t="n">
        <v>2.22</v>
      </c>
      <c r="E77" s="22">
        <f>IF(AND(ISNUMBER($D77),ISNUMBER(VLOOKUP($C77,$A$5:$F$11,4,FALSE))),$D77*VLOOKUP($C77,$A$5:$F$11,4,FALSE),"")</f>
        <v/>
      </c>
      <c r="F77" s="13">
        <f>IF(AND(ISNUMBER($E77),ISNUMBER(VLOOKUP($C77,$A$5:$F$11,5,FALSE))),$E77*VLOOKUP($C77,$A$5:$F$11,5,FALSE),"")</f>
        <v/>
      </c>
      <c r="G77" s="13">
        <f>IF(AND(ISNUMBER($E77),ISNUMBER(VLOOKUP($C77,$A$5:$F$11,3,FALSE)),VLOOKUP($C77,$A$5:$F$11,3,FALSE)&gt;0,ISNUMBER(VLOOKUP($C77,$A$5:$F$11,6,FALSE))),$E77*VLOOKUP($C77,$A$5:$F$11,3,FALSE)*VLOOKUP($C77,$A$5:$F$11,6,FALSE),"")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4" t="inlineStr">
        <is>
          <t>IPE 140</t>
        </is>
      </c>
      <c r="D78" s="21" t="n">
        <v>2.22</v>
      </c>
      <c r="E78" s="22">
        <f>IF(AND(ISNUMBER($D78),ISNUMBER(VLOOKUP($C78,$A$5:$F$11,4,FALSE))),$D78*VLOOKUP($C78,$A$5:$F$11,4,FALSE),"")</f>
        <v/>
      </c>
      <c r="F78" s="13">
        <f>IF(AND(ISNUMBER($E78),ISNUMBER(VLOOKUP($C78,$A$5:$F$11,5,FALSE))),$E78*VLOOKUP($C78,$A$5:$F$11,5,FALSE),"")</f>
        <v/>
      </c>
      <c r="G78" s="13">
        <f>IF(AND(ISNUMBER($E78),ISNUMBER(VLOOKUP($C78,$A$5:$F$11,3,FALSE)),VLOOKUP($C78,$A$5:$F$11,3,FALSE)&gt;0,ISNUMBER(VLOOKUP($C78,$A$5:$F$11,6,FALSE))),$E78*VLOOKUP($C78,$A$5:$F$11,3,FALSE)*VLOOKUP($C78,$A$5:$F$11,6,FALSE),"")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4" t="inlineStr">
        <is>
          <t>IPE 140</t>
        </is>
      </c>
      <c r="D79" s="21" t="n">
        <v>2.72</v>
      </c>
      <c r="E79" s="22">
        <f>IF(AND(ISNUMBER($D79),ISNUMBER(VLOOKUP($C79,$A$5:$F$11,4,FALSE))),$D79*VLOOKUP($C79,$A$5:$F$11,4,FALSE),"")</f>
        <v/>
      </c>
      <c r="F79" s="13">
        <f>IF(AND(ISNUMBER($E79),ISNUMBER(VLOOKUP($C79,$A$5:$F$11,5,FALSE))),$E79*VLOOKUP($C79,$A$5:$F$11,5,FALSE),"")</f>
        <v/>
      </c>
      <c r="G79" s="13">
        <f>IF(AND(ISNUMBER($E79),ISNUMBER(VLOOKUP($C79,$A$5:$F$11,3,FALSE)),VLOOKUP($C79,$A$5:$F$11,3,FALSE)&gt;0,ISNUMBER(VLOOKUP($C79,$A$5:$F$11,6,FALSE))),$E79*VLOOKUP($C79,$A$5:$F$11,3,FALSE)*VLOOKUP($C79,$A$5:$F$11,6,FALSE),"")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4" t="inlineStr">
        <is>
          <t>IPE 140</t>
        </is>
      </c>
      <c r="D80" s="21" t="n">
        <v>2.82</v>
      </c>
      <c r="E80" s="22">
        <f>IF(AND(ISNUMBER($D80),ISNUMBER(VLOOKUP($C80,$A$5:$F$11,4,FALSE))),$D80*VLOOKUP($C80,$A$5:$F$11,4,FALSE),"")</f>
        <v/>
      </c>
      <c r="F80" s="13">
        <f>IF(AND(ISNUMBER($E80),ISNUMBER(VLOOKUP($C80,$A$5:$F$11,5,FALSE))),$E80*VLOOKUP($C80,$A$5:$F$11,5,FALSE),"")</f>
        <v/>
      </c>
      <c r="G80" s="13">
        <f>IF(AND(ISNUMBER($E80),ISNUMBER(VLOOKUP($C80,$A$5:$F$11,3,FALSE)),VLOOKUP($C80,$A$5:$F$11,3,FALSE)&gt;0,ISNUMBER(VLOOKUP($C80,$A$5:$F$11,6,FALSE))),$E80*VLOOKUP($C80,$A$5:$F$11,3,FALSE)*VLOOKUP($C80,$A$5:$F$11,6,FALSE),"")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4" t="inlineStr">
        <is>
          <t>IPE 140</t>
        </is>
      </c>
      <c r="D81" s="21" t="n">
        <v>2.92</v>
      </c>
      <c r="E81" s="22">
        <f>IF(AND(ISNUMBER($D81),ISNUMBER(VLOOKUP($C81,$A$5:$F$11,4,FALSE))),$D81*VLOOKUP($C81,$A$5:$F$11,4,FALSE),"")</f>
        <v/>
      </c>
      <c r="F81" s="13">
        <f>IF(AND(ISNUMBER($E81),ISNUMBER(VLOOKUP($C81,$A$5:$F$11,5,FALSE))),$E81*VLOOKUP($C81,$A$5:$F$11,5,FALSE),"")</f>
        <v/>
      </c>
      <c r="G81" s="13">
        <f>IF(AND(ISNUMBER($E81),ISNUMBER(VLOOKUP($C81,$A$5:$F$11,3,FALSE)),VLOOKUP($C81,$A$5:$F$11,3,FALSE)&gt;0,ISNUMBER(VLOOKUP($C81,$A$5:$F$11,6,FALSE))),$E81*VLOOKUP($C81,$A$5:$F$11,3,FALSE)*VLOOKUP($C81,$A$5:$F$11,6,FALSE),"")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4" t="inlineStr">
        <is>
          <t>IPE 140</t>
        </is>
      </c>
      <c r="D82" s="21" t="n">
        <v>3.02</v>
      </c>
      <c r="E82" s="22">
        <f>IF(AND(ISNUMBER($D82),ISNUMBER(VLOOKUP($C82,$A$5:$F$11,4,FALSE))),$D82*VLOOKUP($C82,$A$5:$F$11,4,FALSE),"")</f>
        <v/>
      </c>
      <c r="F82" s="13">
        <f>IF(AND(ISNUMBER($E82),ISNUMBER(VLOOKUP($C82,$A$5:$F$11,5,FALSE))),$E82*VLOOKUP($C82,$A$5:$F$11,5,FALSE),"")</f>
        <v/>
      </c>
      <c r="G82" s="13">
        <f>IF(AND(ISNUMBER($E82),ISNUMBER(VLOOKUP($C82,$A$5:$F$11,3,FALSE)),VLOOKUP($C82,$A$5:$F$11,3,FALSE)&gt;0,ISNUMBER(VLOOKUP($C82,$A$5:$F$11,6,FALSE))),$E82*VLOOKUP($C82,$A$5:$F$11,3,FALSE)*VLOOKUP($C82,$A$5:$F$11,6,FALSE),"")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4" t="inlineStr">
        <is>
          <t>IPE 140</t>
        </is>
      </c>
      <c r="D83" s="21" t="n">
        <v>3.12</v>
      </c>
      <c r="E83" s="22">
        <f>IF(AND(ISNUMBER($D83),ISNUMBER(VLOOKUP($C83,$A$5:$F$11,4,FALSE))),$D83*VLOOKUP($C83,$A$5:$F$11,4,FALSE),"")</f>
        <v/>
      </c>
      <c r="F83" s="13">
        <f>IF(AND(ISNUMBER($E83),ISNUMBER(VLOOKUP($C83,$A$5:$F$11,5,FALSE))),$E83*VLOOKUP($C83,$A$5:$F$11,5,FALSE),"")</f>
        <v/>
      </c>
      <c r="G83" s="13">
        <f>IF(AND(ISNUMBER($E83),ISNUMBER(VLOOKUP($C83,$A$5:$F$11,3,FALSE)),VLOOKUP($C83,$A$5:$F$11,3,FALSE)&gt;0,ISNUMBER(VLOOKUP($C83,$A$5:$F$11,6,FALSE))),$E83*VLOOKUP($C83,$A$5:$F$11,3,FALSE)*VLOOKUP($C83,$A$5:$F$11,6,FALSE),"")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4" t="inlineStr">
        <is>
          <t>IPE 140</t>
        </is>
      </c>
      <c r="D84" s="21" t="n">
        <v>3.22</v>
      </c>
      <c r="E84" s="22">
        <f>IF(AND(ISNUMBER($D84),ISNUMBER(VLOOKUP($C84,$A$5:$F$11,4,FALSE))),$D84*VLOOKUP($C84,$A$5:$F$11,4,FALSE),"")</f>
        <v/>
      </c>
      <c r="F84" s="13">
        <f>IF(AND(ISNUMBER($E84),ISNUMBER(VLOOKUP($C84,$A$5:$F$11,5,FALSE))),$E84*VLOOKUP($C84,$A$5:$F$11,5,FALSE),"")</f>
        <v/>
      </c>
      <c r="G84" s="13">
        <f>IF(AND(ISNUMBER($E84),ISNUMBER(VLOOKUP($C84,$A$5:$F$11,3,FALSE)),VLOOKUP($C84,$A$5:$F$11,3,FALSE)&gt;0,ISNUMBER(VLOOKUP($C84,$A$5:$F$11,6,FALSE))),$E84*VLOOKUP($C84,$A$5:$F$11,3,FALSE)*VLOOKUP($C84,$A$5:$F$11,6,FALSE),"")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4" t="inlineStr">
        <is>
          <t>IPE 140</t>
        </is>
      </c>
      <c r="D85" s="21" t="n">
        <v>3.32</v>
      </c>
      <c r="E85" s="22">
        <f>IF(AND(ISNUMBER($D85),ISNUMBER(VLOOKUP($C85,$A$5:$F$11,4,FALSE))),$D85*VLOOKUP($C85,$A$5:$F$11,4,FALSE),"")</f>
        <v/>
      </c>
      <c r="F85" s="13">
        <f>IF(AND(ISNUMBER($E85),ISNUMBER(VLOOKUP($C85,$A$5:$F$11,5,FALSE))),$E85*VLOOKUP($C85,$A$5:$F$11,5,FALSE),"")</f>
        <v/>
      </c>
      <c r="G85" s="13">
        <f>IF(AND(ISNUMBER($E85),ISNUMBER(VLOOKUP($C85,$A$5:$F$11,3,FALSE)),VLOOKUP($C85,$A$5:$F$11,3,FALSE)&gt;0,ISNUMBER(VLOOKUP($C85,$A$5:$F$11,6,FALSE))),$E85*VLOOKUP($C85,$A$5:$F$11,3,FALSE)*VLOOKUP($C85,$A$5:$F$11,6,FALSE),"")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4" t="inlineStr">
        <is>
          <t>IPE 140</t>
        </is>
      </c>
      <c r="D86" s="21" t="n">
        <v>3.42</v>
      </c>
      <c r="E86" s="22">
        <f>IF(AND(ISNUMBER($D86),ISNUMBER(VLOOKUP($C86,$A$5:$F$11,4,FALSE))),$D86*VLOOKUP($C86,$A$5:$F$11,4,FALSE),"")</f>
        <v/>
      </c>
      <c r="F86" s="13">
        <f>IF(AND(ISNUMBER($E86),ISNUMBER(VLOOKUP($C86,$A$5:$F$11,5,FALSE))),$E86*VLOOKUP($C86,$A$5:$F$11,5,FALSE),"")</f>
        <v/>
      </c>
      <c r="G86" s="13">
        <f>IF(AND(ISNUMBER($E86),ISNUMBER(VLOOKUP($C86,$A$5:$F$11,3,FALSE)),VLOOKUP($C86,$A$5:$F$11,3,FALSE)&gt;0,ISNUMBER(VLOOKUP($C86,$A$5:$F$11,6,FALSE))),$E86*VLOOKUP($C86,$A$5:$F$11,3,FALSE)*VLOOKUP($C86,$A$5:$F$11,6,FALSE),"")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4" t="inlineStr">
        <is>
          <t>IPE 140</t>
        </is>
      </c>
      <c r="D87" s="21" t="n">
        <v>3.52</v>
      </c>
      <c r="E87" s="22">
        <f>IF(AND(ISNUMBER($D87),ISNUMBER(VLOOKUP($C87,$A$5:$F$11,4,FALSE))),$D87*VLOOKUP($C87,$A$5:$F$11,4,FALSE),"")</f>
        <v/>
      </c>
      <c r="F87" s="13">
        <f>IF(AND(ISNUMBER($E87),ISNUMBER(VLOOKUP($C87,$A$5:$F$11,5,FALSE))),$E87*VLOOKUP($C87,$A$5:$F$11,5,FALSE),"")</f>
        <v/>
      </c>
      <c r="G87" s="13">
        <f>IF(AND(ISNUMBER($E87),ISNUMBER(VLOOKUP($C87,$A$5:$F$11,3,FALSE)),VLOOKUP($C87,$A$5:$F$11,3,FALSE)&gt;0,ISNUMBER(VLOOKUP($C87,$A$5:$F$11,6,FALSE))),$E87*VLOOKUP($C87,$A$5:$F$11,3,FALSE)*VLOOKUP($C87,$A$5:$F$11,6,FALSE),"")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4" t="inlineStr">
        <is>
          <t>IPE 140</t>
        </is>
      </c>
      <c r="D88" s="21" t="n">
        <v>3.62</v>
      </c>
      <c r="E88" s="22">
        <f>IF(AND(ISNUMBER($D88),ISNUMBER(VLOOKUP($C88,$A$5:$F$11,4,FALSE))),$D88*VLOOKUP($C88,$A$5:$F$11,4,FALSE),"")</f>
        <v/>
      </c>
      <c r="F88" s="13">
        <f>IF(AND(ISNUMBER($E88),ISNUMBER(VLOOKUP($C88,$A$5:$F$11,5,FALSE))),$E88*VLOOKUP($C88,$A$5:$F$11,5,FALSE),"")</f>
        <v/>
      </c>
      <c r="G88" s="13">
        <f>IF(AND(ISNUMBER($E88),ISNUMBER(VLOOKUP($C88,$A$5:$F$11,3,FALSE)),VLOOKUP($C88,$A$5:$F$11,3,FALSE)&gt;0,ISNUMBER(VLOOKUP($C88,$A$5:$F$11,6,FALSE))),$E88*VLOOKUP($C88,$A$5:$F$11,3,FALSE)*VLOOKUP($C88,$A$5:$F$11,6,FALSE),"")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4" t="inlineStr">
        <is>
          <t>IPE 140</t>
        </is>
      </c>
      <c r="D89" s="21" t="n">
        <v>3.72</v>
      </c>
      <c r="E89" s="22">
        <f>IF(AND(ISNUMBER($D89),ISNUMBER(VLOOKUP($C89,$A$5:$F$11,4,FALSE))),$D89*VLOOKUP($C89,$A$5:$F$11,4,FALSE),"")</f>
        <v/>
      </c>
      <c r="F89" s="13">
        <f>IF(AND(ISNUMBER($E89),ISNUMBER(VLOOKUP($C89,$A$5:$F$11,5,FALSE))),$E89*VLOOKUP($C89,$A$5:$F$11,5,FALSE),"")</f>
        <v/>
      </c>
      <c r="G89" s="13">
        <f>IF(AND(ISNUMBER($E89),ISNUMBER(VLOOKUP($C89,$A$5:$F$11,3,FALSE)),VLOOKUP($C89,$A$5:$F$11,3,FALSE)&gt;0,ISNUMBER(VLOOKUP($C89,$A$5:$F$11,6,FALSE))),$E89*VLOOKUP($C89,$A$5:$F$11,3,FALSE)*VLOOKUP($C89,$A$5:$F$11,6,FALSE),"")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4" t="inlineStr">
        <is>
          <t>IPE 140</t>
        </is>
      </c>
      <c r="D90" s="21" t="n">
        <v>3.82</v>
      </c>
      <c r="E90" s="22">
        <f>IF(AND(ISNUMBER($D90),ISNUMBER(VLOOKUP($C90,$A$5:$F$11,4,FALSE))),$D90*VLOOKUP($C90,$A$5:$F$11,4,FALSE),"")</f>
        <v/>
      </c>
      <c r="F90" s="13">
        <f>IF(AND(ISNUMBER($E90),ISNUMBER(VLOOKUP($C90,$A$5:$F$11,5,FALSE))),$E90*VLOOKUP($C90,$A$5:$F$11,5,FALSE),"")</f>
        <v/>
      </c>
      <c r="G90" s="13">
        <f>IF(AND(ISNUMBER($E90),ISNUMBER(VLOOKUP($C90,$A$5:$F$11,3,FALSE)),VLOOKUP($C90,$A$5:$F$11,3,FALSE)&gt;0,ISNUMBER(VLOOKUP($C90,$A$5:$F$11,6,FALSE))),$E90*VLOOKUP($C90,$A$5:$F$11,3,FALSE)*VLOOKUP($C90,$A$5:$F$11,6,FALSE),"")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4" t="inlineStr">
        <is>
          <t>IPE 140</t>
        </is>
      </c>
      <c r="D91" s="21" t="n">
        <v>3.92</v>
      </c>
      <c r="E91" s="22">
        <f>IF(AND(ISNUMBER($D91),ISNUMBER(VLOOKUP($C91,$A$5:$F$11,4,FALSE))),$D91*VLOOKUP($C91,$A$5:$F$11,4,FALSE),"")</f>
        <v/>
      </c>
      <c r="F91" s="13">
        <f>IF(AND(ISNUMBER($E91),ISNUMBER(VLOOKUP($C91,$A$5:$F$11,5,FALSE))),$E91*VLOOKUP($C91,$A$5:$F$11,5,FALSE),"")</f>
        <v/>
      </c>
      <c r="G91" s="13">
        <f>IF(AND(ISNUMBER($E91),ISNUMBER(VLOOKUP($C91,$A$5:$F$11,3,FALSE)),VLOOKUP($C91,$A$5:$F$11,3,FALSE)&gt;0,ISNUMBER(VLOOKUP($C91,$A$5:$F$11,6,FALSE))),$E91*VLOOKUP($C91,$A$5:$F$11,3,FALSE)*VLOOKUP($C91,$A$5:$F$11,6,FALSE),"")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4" t="inlineStr">
        <is>
          <t>IPE 140</t>
        </is>
      </c>
      <c r="D92" s="21" t="n">
        <v>4.02</v>
      </c>
      <c r="E92" s="22">
        <f>IF(AND(ISNUMBER($D92),ISNUMBER(VLOOKUP($C92,$A$5:$F$11,4,FALSE))),$D92*VLOOKUP($C92,$A$5:$F$11,4,FALSE),"")</f>
        <v/>
      </c>
      <c r="F92" s="13">
        <f>IF(AND(ISNUMBER($E92),ISNUMBER(VLOOKUP($C92,$A$5:$F$11,5,FALSE))),$E92*VLOOKUP($C92,$A$5:$F$11,5,FALSE),"")</f>
        <v/>
      </c>
      <c r="G92" s="13">
        <f>IF(AND(ISNUMBER($E92),ISNUMBER(VLOOKUP($C92,$A$5:$F$11,3,FALSE)),VLOOKUP($C92,$A$5:$F$11,3,FALSE)&gt;0,ISNUMBER(VLOOKUP($C92,$A$5:$F$11,6,FALSE))),$E92*VLOOKUP($C92,$A$5:$F$11,3,FALSE)*VLOOKUP($C92,$A$5:$F$11,6,FALSE),"")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4" t="inlineStr">
        <is>
          <t>IPE 140</t>
        </is>
      </c>
      <c r="D93" s="21" t="n">
        <v>4.12</v>
      </c>
      <c r="E93" s="22">
        <f>IF(AND(ISNUMBER($D93),ISNUMBER(VLOOKUP($C93,$A$5:$F$11,4,FALSE))),$D93*VLOOKUP($C93,$A$5:$F$11,4,FALSE),"")</f>
        <v/>
      </c>
      <c r="F93" s="13">
        <f>IF(AND(ISNUMBER($E93),ISNUMBER(VLOOKUP($C93,$A$5:$F$11,5,FALSE))),$E93*VLOOKUP($C93,$A$5:$F$11,5,FALSE),"")</f>
        <v/>
      </c>
      <c r="G93" s="13">
        <f>IF(AND(ISNUMBER($E93),ISNUMBER(VLOOKUP($C93,$A$5:$F$11,3,FALSE)),VLOOKUP($C93,$A$5:$F$11,3,FALSE)&gt;0,ISNUMBER(VLOOKUP($C93,$A$5:$F$11,6,FALSE))),$E93*VLOOKUP($C93,$A$5:$F$11,3,FALSE)*VLOOKUP($C93,$A$5:$F$11,6,FALSE),"")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4" t="inlineStr">
        <is>
          <t>IPE 140</t>
        </is>
      </c>
      <c r="D94" s="21" t="n">
        <v>4.22</v>
      </c>
      <c r="E94" s="22">
        <f>IF(AND(ISNUMBER($D94),ISNUMBER(VLOOKUP($C94,$A$5:$F$11,4,FALSE))),$D94*VLOOKUP($C94,$A$5:$F$11,4,FALSE),"")</f>
        <v/>
      </c>
      <c r="F94" s="13">
        <f>IF(AND(ISNUMBER($E94),ISNUMBER(VLOOKUP($C94,$A$5:$F$11,5,FALSE))),$E94*VLOOKUP($C94,$A$5:$F$11,5,FALSE),"")</f>
        <v/>
      </c>
      <c r="G94" s="13">
        <f>IF(AND(ISNUMBER($E94),ISNUMBER(VLOOKUP($C94,$A$5:$F$11,3,FALSE)),VLOOKUP($C94,$A$5:$F$11,3,FALSE)&gt;0,ISNUMBER(VLOOKUP($C94,$A$5:$F$11,6,FALSE))),$E94*VLOOKUP($C94,$A$5:$F$11,3,FALSE)*VLOOKUP($C94,$A$5:$F$11,6,FALSE),"")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4" t="inlineStr">
        <is>
          <t>IPE 140</t>
        </is>
      </c>
      <c r="D95" s="21" t="n">
        <v>4.32</v>
      </c>
      <c r="E95" s="22">
        <f>IF(AND(ISNUMBER($D95),ISNUMBER(VLOOKUP($C95,$A$5:$F$11,4,FALSE))),$D95*VLOOKUP($C95,$A$5:$F$11,4,FALSE),"")</f>
        <v/>
      </c>
      <c r="F95" s="13">
        <f>IF(AND(ISNUMBER($E95),ISNUMBER(VLOOKUP($C95,$A$5:$F$11,5,FALSE))),$E95*VLOOKUP($C95,$A$5:$F$11,5,FALSE),"")</f>
        <v/>
      </c>
      <c r="G95" s="13">
        <f>IF(AND(ISNUMBER($E95),ISNUMBER(VLOOKUP($C95,$A$5:$F$11,3,FALSE)),VLOOKUP($C95,$A$5:$F$11,3,FALSE)&gt;0,ISNUMBER(VLOOKUP($C95,$A$5:$F$11,6,FALSE))),$E95*VLOOKUP($C95,$A$5:$F$11,3,FALSE)*VLOOKUP($C95,$A$5:$F$11,6,FALSE),"")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4" t="inlineStr">
        <is>
          <t>IPE 140</t>
        </is>
      </c>
      <c r="D96" s="21" t="n">
        <v>4.42</v>
      </c>
      <c r="E96" s="22">
        <f>IF(AND(ISNUMBER($D96),ISNUMBER(VLOOKUP($C96,$A$5:$F$11,4,FALSE))),$D96*VLOOKUP($C96,$A$5:$F$11,4,FALSE),"")</f>
        <v/>
      </c>
      <c r="F96" s="13">
        <f>IF(AND(ISNUMBER($E96),ISNUMBER(VLOOKUP($C96,$A$5:$F$11,5,FALSE))),$E96*VLOOKUP($C96,$A$5:$F$11,5,FALSE),"")</f>
        <v/>
      </c>
      <c r="G96" s="13">
        <f>IF(AND(ISNUMBER($E96),ISNUMBER(VLOOKUP($C96,$A$5:$F$11,3,FALSE)),VLOOKUP($C96,$A$5:$F$11,3,FALSE)&gt;0,ISNUMBER(VLOOKUP($C96,$A$5:$F$11,6,FALSE))),$E96*VLOOKUP($C96,$A$5:$F$11,3,FALSE)*VLOOKUP($C96,$A$5:$F$11,6,FALSE),"")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4" t="inlineStr">
        <is>
          <t>IPEA 140</t>
        </is>
      </c>
      <c r="D97" s="21" t="n">
        <v>2.22</v>
      </c>
      <c r="E97" s="22">
        <f>IF(AND(ISNUMBER($D97),ISNUMBER(VLOOKUP($C97,$A$5:$F$11,4,FALSE))),$D97*VLOOKUP($C97,$A$5:$F$11,4,FALSE),"")</f>
        <v/>
      </c>
      <c r="F97" s="13">
        <f>IF(AND(ISNUMBER($E97),ISNUMBER(VLOOKUP($C97,$A$5:$F$11,5,FALSE))),$E97*VLOOKUP($C97,$A$5:$F$11,5,FALSE),"")</f>
        <v/>
      </c>
      <c r="G97" s="13">
        <f>IF(AND(ISNUMBER($E97),ISNUMBER(VLOOKUP($C97,$A$5:$F$11,3,FALSE)),VLOOKUP($C97,$A$5:$F$11,3,FALSE)&gt;0,ISNUMBER(VLOOKUP($C97,$A$5:$F$11,6,FALSE))),$E97*VLOOKUP($C97,$A$5:$F$11,3,FALSE)*VLOOKUP($C97,$A$5:$F$11,6,FALSE),"")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4" t="inlineStr">
        <is>
          <t>IPEA 140</t>
        </is>
      </c>
      <c r="D98" s="21" t="n">
        <v>2.22</v>
      </c>
      <c r="E98" s="22">
        <f>IF(AND(ISNUMBER($D98),ISNUMBER(VLOOKUP($C98,$A$5:$F$11,4,FALSE))),$D98*VLOOKUP($C98,$A$5:$F$11,4,FALSE),"")</f>
        <v/>
      </c>
      <c r="F98" s="13">
        <f>IF(AND(ISNUMBER($E98),ISNUMBER(VLOOKUP($C98,$A$5:$F$11,5,FALSE))),$E98*VLOOKUP($C98,$A$5:$F$11,5,FALSE),"")</f>
        <v/>
      </c>
      <c r="G98" s="13">
        <f>IF(AND(ISNUMBER($E98),ISNUMBER(VLOOKUP($C98,$A$5:$F$11,3,FALSE)),VLOOKUP($C98,$A$5:$F$11,3,FALSE)&gt;0,ISNUMBER(VLOOKUP($C98,$A$5:$F$11,6,FALSE))),$E98*VLOOKUP($C98,$A$5:$F$11,3,FALSE)*VLOOKUP($C98,$A$5:$F$11,6,FALSE),"")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4" t="inlineStr">
        <is>
          <t>IPEA 140</t>
        </is>
      </c>
      <c r="D99" s="21" t="n">
        <v>2.72</v>
      </c>
      <c r="E99" s="22">
        <f>IF(AND(ISNUMBER($D99),ISNUMBER(VLOOKUP($C99,$A$5:$F$11,4,FALSE))),$D99*VLOOKUP($C99,$A$5:$F$11,4,FALSE),"")</f>
        <v/>
      </c>
      <c r="F99" s="13">
        <f>IF(AND(ISNUMBER($E99),ISNUMBER(VLOOKUP($C99,$A$5:$F$11,5,FALSE))),$E99*VLOOKUP($C99,$A$5:$F$11,5,FALSE),"")</f>
        <v/>
      </c>
      <c r="G99" s="13">
        <f>IF(AND(ISNUMBER($E99),ISNUMBER(VLOOKUP($C99,$A$5:$F$11,3,FALSE)),VLOOKUP($C99,$A$5:$F$11,3,FALSE)&gt;0,ISNUMBER(VLOOKUP($C99,$A$5:$F$11,6,FALSE))),$E99*VLOOKUP($C99,$A$5:$F$11,3,FALSE)*VLOOKUP($C99,$A$5:$F$11,6,FALSE),"")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4" t="inlineStr">
        <is>
          <t>IPEA 140</t>
        </is>
      </c>
      <c r="D100" s="21" t="n">
        <v>2.82</v>
      </c>
      <c r="E100" s="22">
        <f>IF(AND(ISNUMBER($D100),ISNUMBER(VLOOKUP($C100,$A$5:$F$11,4,FALSE))),$D100*VLOOKUP($C100,$A$5:$F$11,4,FALSE),"")</f>
        <v/>
      </c>
      <c r="F100" s="13">
        <f>IF(AND(ISNUMBER($E100),ISNUMBER(VLOOKUP($C100,$A$5:$F$11,5,FALSE))),$E100*VLOOKUP($C100,$A$5:$F$11,5,FALSE),"")</f>
        <v/>
      </c>
      <c r="G100" s="13">
        <f>IF(AND(ISNUMBER($E100),ISNUMBER(VLOOKUP($C100,$A$5:$F$11,3,FALSE)),VLOOKUP($C100,$A$5:$F$11,3,FALSE)&gt;0,ISNUMBER(VLOOKUP($C100,$A$5:$F$11,6,FALSE))),$E100*VLOOKUP($C100,$A$5:$F$11,3,FALSE)*VLOOKUP($C100,$A$5:$F$11,6,FALSE),"")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4" t="inlineStr">
        <is>
          <t>IPEA 140</t>
        </is>
      </c>
      <c r="D101" s="21" t="n">
        <v>2.92</v>
      </c>
      <c r="E101" s="22">
        <f>IF(AND(ISNUMBER($D101),ISNUMBER(VLOOKUP($C101,$A$5:$F$11,4,FALSE))),$D101*VLOOKUP($C101,$A$5:$F$11,4,FALSE),"")</f>
        <v/>
      </c>
      <c r="F101" s="13">
        <f>IF(AND(ISNUMBER($E101),ISNUMBER(VLOOKUP($C101,$A$5:$F$11,5,FALSE))),$E101*VLOOKUP($C101,$A$5:$F$11,5,FALSE),"")</f>
        <v/>
      </c>
      <c r="G101" s="13">
        <f>IF(AND(ISNUMBER($E101),ISNUMBER(VLOOKUP($C101,$A$5:$F$11,3,FALSE)),VLOOKUP($C101,$A$5:$F$11,3,FALSE)&gt;0,ISNUMBER(VLOOKUP($C101,$A$5:$F$11,6,FALSE))),$E101*VLOOKUP($C101,$A$5:$F$11,3,FALSE)*VLOOKUP($C101,$A$5:$F$11,6,FALSE),"")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4" t="inlineStr">
        <is>
          <t>IPEA 140</t>
        </is>
      </c>
      <c r="D102" s="21" t="n">
        <v>3.02</v>
      </c>
      <c r="E102" s="22">
        <f>IF(AND(ISNUMBER($D102),ISNUMBER(VLOOKUP($C102,$A$5:$F$11,4,FALSE))),$D102*VLOOKUP($C102,$A$5:$F$11,4,FALSE),"")</f>
        <v/>
      </c>
      <c r="F102" s="13">
        <f>IF(AND(ISNUMBER($E102),ISNUMBER(VLOOKUP($C102,$A$5:$F$11,5,FALSE))),$E102*VLOOKUP($C102,$A$5:$F$11,5,FALSE),"")</f>
        <v/>
      </c>
      <c r="G102" s="13">
        <f>IF(AND(ISNUMBER($E102),ISNUMBER(VLOOKUP($C102,$A$5:$F$11,3,FALSE)),VLOOKUP($C102,$A$5:$F$11,3,FALSE)&gt;0,ISNUMBER(VLOOKUP($C102,$A$5:$F$11,6,FALSE))),$E102*VLOOKUP($C102,$A$5:$F$11,3,FALSE)*VLOOKUP($C102,$A$5:$F$11,6,FALSE),"")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4" t="inlineStr">
        <is>
          <t>IPEA 140</t>
        </is>
      </c>
      <c r="D103" s="21" t="n">
        <v>3.12</v>
      </c>
      <c r="E103" s="22">
        <f>IF(AND(ISNUMBER($D103),ISNUMBER(VLOOKUP($C103,$A$5:$F$11,4,FALSE))),$D103*VLOOKUP($C103,$A$5:$F$11,4,FALSE),"")</f>
        <v/>
      </c>
      <c r="F103" s="13">
        <f>IF(AND(ISNUMBER($E103),ISNUMBER(VLOOKUP($C103,$A$5:$F$11,5,FALSE))),$E103*VLOOKUP($C103,$A$5:$F$11,5,FALSE),"")</f>
        <v/>
      </c>
      <c r="G103" s="13">
        <f>IF(AND(ISNUMBER($E103),ISNUMBER(VLOOKUP($C103,$A$5:$F$11,3,FALSE)),VLOOKUP($C103,$A$5:$F$11,3,FALSE)&gt;0,ISNUMBER(VLOOKUP($C103,$A$5:$F$11,6,FALSE))),$E103*VLOOKUP($C103,$A$5:$F$11,3,FALSE)*VLOOKUP($C103,$A$5:$F$11,6,FALSE),"")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4" t="inlineStr">
        <is>
          <t>IPEA 140</t>
        </is>
      </c>
      <c r="D104" s="21" t="n">
        <v>3.22</v>
      </c>
      <c r="E104" s="22">
        <f>IF(AND(ISNUMBER($D104),ISNUMBER(VLOOKUP($C104,$A$5:$F$11,4,FALSE))),$D104*VLOOKUP($C104,$A$5:$F$11,4,FALSE),"")</f>
        <v/>
      </c>
      <c r="F104" s="13">
        <f>IF(AND(ISNUMBER($E104),ISNUMBER(VLOOKUP($C104,$A$5:$F$11,5,FALSE))),$E104*VLOOKUP($C104,$A$5:$F$11,5,FALSE),"")</f>
        <v/>
      </c>
      <c r="G104" s="13">
        <f>IF(AND(ISNUMBER($E104),ISNUMBER(VLOOKUP($C104,$A$5:$F$11,3,FALSE)),VLOOKUP($C104,$A$5:$F$11,3,FALSE)&gt;0,ISNUMBER(VLOOKUP($C104,$A$5:$F$11,6,FALSE))),$E104*VLOOKUP($C104,$A$5:$F$11,3,FALSE)*VLOOKUP($C104,$A$5:$F$11,6,FALSE),"")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4" t="inlineStr">
        <is>
          <t>IPEA 140</t>
        </is>
      </c>
      <c r="D105" s="21" t="n">
        <v>3.32</v>
      </c>
      <c r="E105" s="22">
        <f>IF(AND(ISNUMBER($D105),ISNUMBER(VLOOKUP($C105,$A$5:$F$11,4,FALSE))),$D105*VLOOKUP($C105,$A$5:$F$11,4,FALSE),"")</f>
        <v/>
      </c>
      <c r="F105" s="13">
        <f>IF(AND(ISNUMBER($E105),ISNUMBER(VLOOKUP($C105,$A$5:$F$11,5,FALSE))),$E105*VLOOKUP($C105,$A$5:$F$11,5,FALSE),"")</f>
        <v/>
      </c>
      <c r="G105" s="13">
        <f>IF(AND(ISNUMBER($E105),ISNUMBER(VLOOKUP($C105,$A$5:$F$11,3,FALSE)),VLOOKUP($C105,$A$5:$F$11,3,FALSE)&gt;0,ISNUMBER(VLOOKUP($C105,$A$5:$F$11,6,FALSE))),$E105*VLOOKUP($C105,$A$5:$F$11,3,FALSE)*VLOOKUP($C105,$A$5:$F$11,6,FALSE),"")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4" t="inlineStr">
        <is>
          <t>IPEA 140</t>
        </is>
      </c>
      <c r="D106" s="21" t="n">
        <v>3.42</v>
      </c>
      <c r="E106" s="22">
        <f>IF(AND(ISNUMBER($D106),ISNUMBER(VLOOKUP($C106,$A$5:$F$11,4,FALSE))),$D106*VLOOKUP($C106,$A$5:$F$11,4,FALSE),"")</f>
        <v/>
      </c>
      <c r="F106" s="13">
        <f>IF(AND(ISNUMBER($E106),ISNUMBER(VLOOKUP($C106,$A$5:$F$11,5,FALSE))),$E106*VLOOKUP($C106,$A$5:$F$11,5,FALSE),"")</f>
        <v/>
      </c>
      <c r="G106" s="13">
        <f>IF(AND(ISNUMBER($E106),ISNUMBER(VLOOKUP($C106,$A$5:$F$11,3,FALSE)),VLOOKUP($C106,$A$5:$F$11,3,FALSE)&gt;0,ISNUMBER(VLOOKUP($C106,$A$5:$F$11,6,FALSE))),$E106*VLOOKUP($C106,$A$5:$F$11,3,FALSE)*VLOOKUP($C106,$A$5:$F$11,6,FALSE),"")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4" t="inlineStr">
        <is>
          <t>IPEA 140</t>
        </is>
      </c>
      <c r="D107" s="21" t="n">
        <v>3.52</v>
      </c>
      <c r="E107" s="22">
        <f>IF(AND(ISNUMBER($D107),ISNUMBER(VLOOKUP($C107,$A$5:$F$11,4,FALSE))),$D107*VLOOKUP($C107,$A$5:$F$11,4,FALSE),"")</f>
        <v/>
      </c>
      <c r="F107" s="13">
        <f>IF(AND(ISNUMBER($E107),ISNUMBER(VLOOKUP($C107,$A$5:$F$11,5,FALSE))),$E107*VLOOKUP($C107,$A$5:$F$11,5,FALSE),"")</f>
        <v/>
      </c>
      <c r="G107" s="13">
        <f>IF(AND(ISNUMBER($E107),ISNUMBER(VLOOKUP($C107,$A$5:$F$11,3,FALSE)),VLOOKUP($C107,$A$5:$F$11,3,FALSE)&gt;0,ISNUMBER(VLOOKUP($C107,$A$5:$F$11,6,FALSE))),$E107*VLOOKUP($C107,$A$5:$F$11,3,FALSE)*VLOOKUP($C107,$A$5:$F$11,6,FALSE),"")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4" t="inlineStr">
        <is>
          <t>IPEA 140</t>
        </is>
      </c>
      <c r="D108" s="21" t="n">
        <v>3.62</v>
      </c>
      <c r="E108" s="22">
        <f>IF(AND(ISNUMBER($D108),ISNUMBER(VLOOKUP($C108,$A$5:$F$11,4,FALSE))),$D108*VLOOKUP($C108,$A$5:$F$11,4,FALSE),"")</f>
        <v/>
      </c>
      <c r="F108" s="13">
        <f>IF(AND(ISNUMBER($E108),ISNUMBER(VLOOKUP($C108,$A$5:$F$11,5,FALSE))),$E108*VLOOKUP($C108,$A$5:$F$11,5,FALSE),"")</f>
        <v/>
      </c>
      <c r="G108" s="13">
        <f>IF(AND(ISNUMBER($E108),ISNUMBER(VLOOKUP($C108,$A$5:$F$11,3,FALSE)),VLOOKUP($C108,$A$5:$F$11,3,FALSE)&gt;0,ISNUMBER(VLOOKUP($C108,$A$5:$F$11,6,FALSE))),$E108*VLOOKUP($C108,$A$5:$F$11,3,FALSE)*VLOOKUP($C108,$A$5:$F$11,6,FALSE),"")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4" t="inlineStr">
        <is>
          <t>IPEA 140</t>
        </is>
      </c>
      <c r="D109" s="21" t="n">
        <v>3.72</v>
      </c>
      <c r="E109" s="22">
        <f>IF(AND(ISNUMBER($D109),ISNUMBER(VLOOKUP($C109,$A$5:$F$11,4,FALSE))),$D109*VLOOKUP($C109,$A$5:$F$11,4,FALSE),"")</f>
        <v/>
      </c>
      <c r="F109" s="13">
        <f>IF(AND(ISNUMBER($E109),ISNUMBER(VLOOKUP($C109,$A$5:$F$11,5,FALSE))),$E109*VLOOKUP($C109,$A$5:$F$11,5,FALSE),"")</f>
        <v/>
      </c>
      <c r="G109" s="13">
        <f>IF(AND(ISNUMBER($E109),ISNUMBER(VLOOKUP($C109,$A$5:$F$11,3,FALSE)),VLOOKUP($C109,$A$5:$F$11,3,FALSE)&gt;0,ISNUMBER(VLOOKUP($C109,$A$5:$F$11,6,FALSE))),$E109*VLOOKUP($C109,$A$5:$F$11,3,FALSE)*VLOOKUP($C109,$A$5:$F$11,6,FALSE),"")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4" t="inlineStr">
        <is>
          <t>IPEA 140</t>
        </is>
      </c>
      <c r="D110" s="21" t="n">
        <v>3.82</v>
      </c>
      <c r="E110" s="22">
        <f>IF(AND(ISNUMBER($D110),ISNUMBER(VLOOKUP($C110,$A$5:$F$11,4,FALSE))),$D110*VLOOKUP($C110,$A$5:$F$11,4,FALSE),"")</f>
        <v/>
      </c>
      <c r="F110" s="13">
        <f>IF(AND(ISNUMBER($E110),ISNUMBER(VLOOKUP($C110,$A$5:$F$11,5,FALSE))),$E110*VLOOKUP($C110,$A$5:$F$11,5,FALSE),"")</f>
        <v/>
      </c>
      <c r="G110" s="13">
        <f>IF(AND(ISNUMBER($E110),ISNUMBER(VLOOKUP($C110,$A$5:$F$11,3,FALSE)),VLOOKUP($C110,$A$5:$F$11,3,FALSE)&gt;0,ISNUMBER(VLOOKUP($C110,$A$5:$F$11,6,FALSE))),$E110*VLOOKUP($C110,$A$5:$F$11,3,FALSE)*VLOOKUP($C110,$A$5:$F$11,6,FALSE),"")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4" t="inlineStr">
        <is>
          <t>IPEA 140</t>
        </is>
      </c>
      <c r="D111" s="21" t="n">
        <v>3.92</v>
      </c>
      <c r="E111" s="22">
        <f>IF(AND(ISNUMBER($D111),ISNUMBER(VLOOKUP($C111,$A$5:$F$11,4,FALSE))),$D111*VLOOKUP($C111,$A$5:$F$11,4,FALSE),"")</f>
        <v/>
      </c>
      <c r="F111" s="13">
        <f>IF(AND(ISNUMBER($E111),ISNUMBER(VLOOKUP($C111,$A$5:$F$11,5,FALSE))),$E111*VLOOKUP($C111,$A$5:$F$11,5,FALSE),"")</f>
        <v/>
      </c>
      <c r="G111" s="13">
        <f>IF(AND(ISNUMBER($E111),ISNUMBER(VLOOKUP($C111,$A$5:$F$11,3,FALSE)),VLOOKUP($C111,$A$5:$F$11,3,FALSE)&gt;0,ISNUMBER(VLOOKUP($C111,$A$5:$F$11,6,FALSE))),$E111*VLOOKUP($C111,$A$5:$F$11,3,FALSE)*VLOOKUP($C111,$A$5:$F$11,6,FALSE),"")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4" t="inlineStr">
        <is>
          <t>IPEA 140</t>
        </is>
      </c>
      <c r="D112" s="21" t="n">
        <v>4.02</v>
      </c>
      <c r="E112" s="22">
        <f>IF(AND(ISNUMBER($D112),ISNUMBER(VLOOKUP($C112,$A$5:$F$11,4,FALSE))),$D112*VLOOKUP($C112,$A$5:$F$11,4,FALSE),"")</f>
        <v/>
      </c>
      <c r="F112" s="13">
        <f>IF(AND(ISNUMBER($E112),ISNUMBER(VLOOKUP($C112,$A$5:$F$11,5,FALSE))),$E112*VLOOKUP($C112,$A$5:$F$11,5,FALSE),"")</f>
        <v/>
      </c>
      <c r="G112" s="13">
        <f>IF(AND(ISNUMBER($E112),ISNUMBER(VLOOKUP($C112,$A$5:$F$11,3,FALSE)),VLOOKUP($C112,$A$5:$F$11,3,FALSE)&gt;0,ISNUMBER(VLOOKUP($C112,$A$5:$F$11,6,FALSE))),$E112*VLOOKUP($C112,$A$5:$F$11,3,FALSE)*VLOOKUP($C112,$A$5:$F$11,6,FALSE),"")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4" t="inlineStr">
        <is>
          <t>IPEA 140</t>
        </is>
      </c>
      <c r="D113" s="21" t="n">
        <v>4.12</v>
      </c>
      <c r="E113" s="22">
        <f>IF(AND(ISNUMBER($D113),ISNUMBER(VLOOKUP($C113,$A$5:$F$11,4,FALSE))),$D113*VLOOKUP($C113,$A$5:$F$11,4,FALSE),"")</f>
        <v/>
      </c>
      <c r="F113" s="13">
        <f>IF(AND(ISNUMBER($E113),ISNUMBER(VLOOKUP($C113,$A$5:$F$11,5,FALSE))),$E113*VLOOKUP($C113,$A$5:$F$11,5,FALSE),"")</f>
        <v/>
      </c>
      <c r="G113" s="13">
        <f>IF(AND(ISNUMBER($E113),ISNUMBER(VLOOKUP($C113,$A$5:$F$11,3,FALSE)),VLOOKUP($C113,$A$5:$F$11,3,FALSE)&gt;0,ISNUMBER(VLOOKUP($C113,$A$5:$F$11,6,FALSE))),$E113*VLOOKUP($C113,$A$5:$F$11,3,FALSE)*VLOOKUP($C113,$A$5:$F$11,6,FALSE),"")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4" t="inlineStr">
        <is>
          <t>IPEA 140</t>
        </is>
      </c>
      <c r="D114" s="21" t="n">
        <v>4.22</v>
      </c>
      <c r="E114" s="22">
        <f>IF(AND(ISNUMBER($D114),ISNUMBER(VLOOKUP($C114,$A$5:$F$11,4,FALSE))),$D114*VLOOKUP($C114,$A$5:$F$11,4,FALSE),"")</f>
        <v/>
      </c>
      <c r="F114" s="13">
        <f>IF(AND(ISNUMBER($E114),ISNUMBER(VLOOKUP($C114,$A$5:$F$11,5,FALSE))),$E114*VLOOKUP($C114,$A$5:$F$11,5,FALSE),"")</f>
        <v/>
      </c>
      <c r="G114" s="13">
        <f>IF(AND(ISNUMBER($E114),ISNUMBER(VLOOKUP($C114,$A$5:$F$11,3,FALSE)),VLOOKUP($C114,$A$5:$F$11,3,FALSE)&gt;0,ISNUMBER(VLOOKUP($C114,$A$5:$F$11,6,FALSE))),$E114*VLOOKUP($C114,$A$5:$F$11,3,FALSE)*VLOOKUP($C114,$A$5:$F$11,6,FALSE),"")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4" t="inlineStr">
        <is>
          <t>IPEA 140</t>
        </is>
      </c>
      <c r="D115" s="21" t="n">
        <v>4.32</v>
      </c>
      <c r="E115" s="22">
        <f>IF(AND(ISNUMBER($D115),ISNUMBER(VLOOKUP($C115,$A$5:$F$11,4,FALSE))),$D115*VLOOKUP($C115,$A$5:$F$11,4,FALSE),"")</f>
        <v/>
      </c>
      <c r="F115" s="13">
        <f>IF(AND(ISNUMBER($E115),ISNUMBER(VLOOKUP($C115,$A$5:$F$11,5,FALSE))),$E115*VLOOKUP($C115,$A$5:$F$11,5,FALSE),"")</f>
        <v/>
      </c>
      <c r="G115" s="13">
        <f>IF(AND(ISNUMBER($E115),ISNUMBER(VLOOKUP($C115,$A$5:$F$11,3,FALSE)),VLOOKUP($C115,$A$5:$F$11,3,FALSE)&gt;0,ISNUMBER(VLOOKUP($C115,$A$5:$F$11,6,FALSE))),$E115*VLOOKUP($C115,$A$5:$F$11,3,FALSE)*VLOOKUP($C115,$A$5:$F$11,6,FALSE),"")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4" t="inlineStr">
        <is>
          <t>IPEA 140</t>
        </is>
      </c>
      <c r="D116" s="21" t="n">
        <v>4.42</v>
      </c>
      <c r="E116" s="22">
        <f>IF(AND(ISNUMBER($D116),ISNUMBER(VLOOKUP($C116,$A$5:$F$11,4,FALSE))),$D116*VLOOKUP($C116,$A$5:$F$11,4,FALSE),"")</f>
        <v/>
      </c>
      <c r="F116" s="13">
        <f>IF(AND(ISNUMBER($E116),ISNUMBER(VLOOKUP($C116,$A$5:$F$11,5,FALSE))),$E116*VLOOKUP($C116,$A$5:$F$11,5,FALSE),"")</f>
        <v/>
      </c>
      <c r="G116" s="13">
        <f>IF(AND(ISNUMBER($E116),ISNUMBER(VLOOKUP($C116,$A$5:$F$11,3,FALSE)),VLOOKUP($C116,$A$5:$F$11,3,FALSE)&gt;0,ISNUMBER(VLOOKUP($C116,$A$5:$F$11,6,FALSE))),$E116*VLOOKUP($C116,$A$5:$F$11,3,FALSE)*VLOOKUP($C116,$A$5:$F$11,6,FALSE),"")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4" t="inlineStr">
        <is>
          <t>ASSE 120x120x3</t>
        </is>
      </c>
      <c r="D117" s="21" t="n">
        <v>7.2</v>
      </c>
      <c r="E117" s="22">
        <f>IF(AND(ISNUMBER($D117),ISNUMBER(VLOOKUP($C117,$A$5:$F$11,4,FALSE))),$D117*VLOOKUP($C117,$A$5:$F$11,4,FALSE),"")</f>
        <v/>
      </c>
      <c r="F117" s="13">
        <f>IF(AND(ISNUMBER($E117),ISNUMBER(VLOOKUP($C117,$A$5:$F$11,5,FALSE))),$E117*VLOOKUP($C117,$A$5:$F$11,5,FALSE),"")</f>
        <v/>
      </c>
      <c r="G117" s="13">
        <f>IF(AND(ISNUMBER($E117),ISNUMBER(VLOOKUP($C117,$A$5:$F$11,3,FALSE)),VLOOKUP($C117,$A$5:$F$11,3,FALSE)&gt;0,ISNUMBER(VLOOKUP($C117,$A$5:$F$11,6,FALSE))),$E117*VLOOKUP($C117,$A$5:$F$11,3,FALSE)*VLOOKUP($C117,$A$5:$F$11,6,FALSE),"")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4" t="inlineStr">
        <is>
          <t>ASSE 120x120x2,5</t>
        </is>
      </c>
      <c r="D118" s="21" t="n">
        <v>7.2</v>
      </c>
      <c r="E118" s="22">
        <f>IF(AND(ISNUMBER($D118),ISNUMBER(VLOOKUP($C118,$A$5:$F$11,4,FALSE))),$D118*VLOOKUP($C118,$A$5:$F$11,4,FALSE),"")</f>
        <v/>
      </c>
      <c r="F118" s="13">
        <f>IF(AND(ISNUMBER($E118),ISNUMBER(VLOOKUP($C118,$A$5:$F$11,5,FALSE))),$E118*VLOOKUP($C118,$A$5:$F$11,5,FALSE),"")</f>
        <v/>
      </c>
      <c r="G118" s="13">
        <f>IF(AND(ISNUMBER($E118),ISNUMBER(VLOOKUP($C118,$A$5:$F$11,3,FALSE)),VLOOKUP($C118,$A$5:$F$11,3,FALSE)&gt;0,ISNUMBER(VLOOKUP($C118,$A$5:$F$11,6,FALSE))),$E118*VLOOKUP($C118,$A$5:$F$11,3,FALSE)*VLOOKUP($C118,$A$5:$F$11,6,FALSE),"")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4" t="inlineStr">
        <is>
          <t>ASSE 120x120x3</t>
        </is>
      </c>
      <c r="D119" s="21" t="n">
        <v>8.25</v>
      </c>
      <c r="E119" s="22">
        <f>IF(AND(ISNUMBER($D119),ISNUMBER(VLOOKUP($C119,$A$5:$F$11,4,FALSE))),$D119*VLOOKUP($C119,$A$5:$F$11,4,FALSE),"")</f>
        <v/>
      </c>
      <c r="F119" s="13">
        <f>IF(AND(ISNUMBER($E119),ISNUMBER(VLOOKUP($C119,$A$5:$F$11,5,FALSE))),$E119*VLOOKUP($C119,$A$5:$F$11,5,FALSE),"")</f>
        <v/>
      </c>
      <c r="G119" s="13">
        <f>IF(AND(ISNUMBER($E119),ISNUMBER(VLOOKUP($C119,$A$5:$F$11,3,FALSE)),VLOOKUP($C119,$A$5:$F$11,3,FALSE)&gt;0,ISNUMBER(VLOOKUP($C119,$A$5:$F$11,6,FALSE))),$E119*VLOOKUP($C119,$A$5:$F$11,3,FALSE)*VLOOKUP($C119,$A$5:$F$11,6,FALSE),"")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4" t="inlineStr">
        <is>
          <t>ASSE 120x120x2,5</t>
        </is>
      </c>
      <c r="D120" s="21" t="n">
        <v>8.25</v>
      </c>
      <c r="E120" s="22">
        <f>IF(AND(ISNUMBER($D120),ISNUMBER(VLOOKUP($C120,$A$5:$F$11,4,FALSE))),$D120*VLOOKUP($C120,$A$5:$F$11,4,FALSE),"")</f>
        <v/>
      </c>
      <c r="F120" s="13">
        <f>IF(AND(ISNUMBER($E120),ISNUMBER(VLOOKUP($C120,$A$5:$F$11,5,FALSE))),$E120*VLOOKUP($C120,$A$5:$F$11,5,FALSE),"")</f>
        <v/>
      </c>
      <c r="G120" s="13">
        <f>IF(AND(ISNUMBER($E120),ISNUMBER(VLOOKUP($C120,$A$5:$F$11,3,FALSE)),VLOOKUP($C120,$A$5:$F$11,3,FALSE)&gt;0,ISNUMBER(VLOOKUP($C120,$A$5:$F$11,6,FALSE))),$E120*VLOOKUP($C120,$A$5:$F$11,3,FALSE)*VLOOKUP($C120,$A$5:$F$11,6,FALSE),"")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4" t="inlineStr">
        <is>
          <t>ASSE 120x120x3</t>
        </is>
      </c>
      <c r="D121" s="21" t="n">
        <v>8.699999999999999</v>
      </c>
      <c r="E121" s="22">
        <f>IF(AND(ISNUMBER($D121),ISNUMBER(VLOOKUP($C121,$A$5:$F$11,4,FALSE))),$D121*VLOOKUP($C121,$A$5:$F$11,4,FALSE),"")</f>
        <v/>
      </c>
      <c r="F121" s="13">
        <f>IF(AND(ISNUMBER($E121),ISNUMBER(VLOOKUP($C121,$A$5:$F$11,5,FALSE))),$E121*VLOOKUP($C121,$A$5:$F$11,5,FALSE),"")</f>
        <v/>
      </c>
      <c r="G121" s="13">
        <f>IF(AND(ISNUMBER($E121),ISNUMBER(VLOOKUP($C121,$A$5:$F$11,3,FALSE)),VLOOKUP($C121,$A$5:$F$11,3,FALSE)&gt;0,ISNUMBER(VLOOKUP($C121,$A$5:$F$11,6,FALSE))),$E121*VLOOKUP($C121,$A$5:$F$11,3,FALSE)*VLOOKUP($C121,$A$5:$F$11,6,FALSE),"")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4" t="inlineStr">
        <is>
          <t>ASSE 120x120x2,5</t>
        </is>
      </c>
      <c r="D122" s="21" t="n">
        <v>8.699999999999999</v>
      </c>
      <c r="E122" s="22">
        <f>IF(AND(ISNUMBER($D122),ISNUMBER(VLOOKUP($C122,$A$5:$F$11,4,FALSE))),$D122*VLOOKUP($C122,$A$5:$F$11,4,FALSE),"")</f>
        <v/>
      </c>
      <c r="F122" s="13">
        <f>IF(AND(ISNUMBER($E122),ISNUMBER(VLOOKUP($C122,$A$5:$F$11,5,FALSE))),$E122*VLOOKUP($C122,$A$5:$F$11,5,FALSE),"")</f>
        <v/>
      </c>
      <c r="G122" s="13">
        <f>IF(AND(ISNUMBER($E122),ISNUMBER(VLOOKUP($C122,$A$5:$F$11,3,FALSE)),VLOOKUP($C122,$A$5:$F$11,3,FALSE)&gt;0,ISNUMBER(VLOOKUP($C122,$A$5:$F$11,6,FALSE))),$E122*VLOOKUP($C122,$A$5:$F$11,3,FALSE)*VLOOKUP($C122,$A$5:$F$11,6,FALSE),"")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4" t="inlineStr">
        <is>
          <t>ASSE 120x120x3</t>
        </is>
      </c>
      <c r="D123" s="21" t="n">
        <v>5</v>
      </c>
      <c r="E123" s="22">
        <f>IF(AND(ISNUMBER($D123),ISNUMBER(VLOOKUP($C123,$A$5:$F$11,4,FALSE))),$D123*VLOOKUP($C123,$A$5:$F$11,4,FALSE),"")</f>
        <v/>
      </c>
      <c r="F123" s="13">
        <f>IF(AND(ISNUMBER($E123),ISNUMBER(VLOOKUP($C123,$A$5:$F$11,5,FALSE))),$E123*VLOOKUP($C123,$A$5:$F$11,5,FALSE),"")</f>
        <v/>
      </c>
      <c r="G123" s="13">
        <f>IF(AND(ISNUMBER($E123),ISNUMBER(VLOOKUP($C123,$A$5:$F$11,3,FALSE)),VLOOKUP($C123,$A$5:$F$11,3,FALSE)&gt;0,ISNUMBER(VLOOKUP($C123,$A$5:$F$11,6,FALSE))),$E123*VLOOKUP($C123,$A$5:$F$11,3,FALSE)*VLOOKUP($C123,$A$5:$F$11,6,FALSE),"")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4" t="inlineStr">
        <is>
          <t>ASSE 120x120x2,5</t>
        </is>
      </c>
      <c r="D124" s="21" t="n">
        <v>5</v>
      </c>
      <c r="E124" s="22">
        <f>IF(AND(ISNUMBER($D124),ISNUMBER(VLOOKUP($C124,$A$5:$F$11,4,FALSE))),$D124*VLOOKUP($C124,$A$5:$F$11,4,FALSE),"")</f>
        <v/>
      </c>
      <c r="F124" s="13">
        <f>IF(AND(ISNUMBER($E124),ISNUMBER(VLOOKUP($C124,$A$5:$F$11,5,FALSE))),$E124*VLOOKUP($C124,$A$5:$F$11,5,FALSE),"")</f>
        <v/>
      </c>
      <c r="G124" s="13">
        <f>IF(AND(ISNUMBER($E124),ISNUMBER(VLOOKUP($C124,$A$5:$F$11,3,FALSE)),VLOOKUP($C124,$A$5:$F$11,3,FALSE)&gt;0,ISNUMBER(VLOOKUP($C124,$A$5:$F$11,6,FALSE))),$E124*VLOOKUP($C124,$A$5:$F$11,3,FALSE)*VLOOKUP($C124,$A$5:$F$11,6,FALSE),"")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4" t="inlineStr">
        <is>
          <t>ASSE 120x120x3</t>
        </is>
      </c>
      <c r="D125" s="21" t="n">
        <v>6.15</v>
      </c>
      <c r="E125" s="22">
        <f>IF(AND(ISNUMBER($D125),ISNUMBER(VLOOKUP($C125,$A$5:$F$11,4,FALSE))),$D125*VLOOKUP($C125,$A$5:$F$11,4,FALSE),"")</f>
        <v/>
      </c>
      <c r="F125" s="13">
        <f>IF(AND(ISNUMBER($E125),ISNUMBER(VLOOKUP($C125,$A$5:$F$11,5,FALSE))),$E125*VLOOKUP($C125,$A$5:$F$11,5,FALSE),"")</f>
        <v/>
      </c>
      <c r="G125" s="13">
        <f>IF(AND(ISNUMBER($E125),ISNUMBER(VLOOKUP($C125,$A$5:$F$11,3,FALSE)),VLOOKUP($C125,$A$5:$F$11,3,FALSE)&gt;0,ISNUMBER(VLOOKUP($C125,$A$5:$F$11,6,FALSE))),$E125*VLOOKUP($C125,$A$5:$F$11,3,FALSE)*VLOOKUP($C125,$A$5:$F$11,6,FALSE),"")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4" t="inlineStr">
        <is>
          <t>ASSE 120x120x2,5</t>
        </is>
      </c>
      <c r="D126" s="21" t="n">
        <v>6.15</v>
      </c>
      <c r="E126" s="22">
        <f>IF(AND(ISNUMBER($D126),ISNUMBER(VLOOKUP($C126,$A$5:$F$11,4,FALSE))),$D126*VLOOKUP($C126,$A$5:$F$11,4,FALSE),"")</f>
        <v/>
      </c>
      <c r="F126" s="13">
        <f>IF(AND(ISNUMBER($E126),ISNUMBER(VLOOKUP($C126,$A$5:$F$11,5,FALSE))),$E126*VLOOKUP($C126,$A$5:$F$11,5,FALSE),"")</f>
        <v/>
      </c>
      <c r="G126" s="13">
        <f>IF(AND(ISNUMBER($E126),ISNUMBER(VLOOKUP($C126,$A$5:$F$11,3,FALSE)),VLOOKUP($C126,$A$5:$F$11,3,FALSE)&gt;0,ISNUMBER(VLOOKUP($C126,$A$5:$F$11,6,FALSE))),$E126*VLOOKUP($C126,$A$5:$F$11,3,FALSE)*VLOOKUP($C126,$A$5:$F$11,6,FALSE),"")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4" t="inlineStr">
        <is>
          <t>ASSE 120x120x3</t>
        </is>
      </c>
      <c r="D127" s="21" t="n">
        <v>6.3</v>
      </c>
      <c r="E127" s="22">
        <f>IF(AND(ISNUMBER($D127),ISNUMBER(VLOOKUP($C127,$A$5:$F$11,4,FALSE))),$D127*VLOOKUP($C127,$A$5:$F$11,4,FALSE),"")</f>
        <v/>
      </c>
      <c r="F127" s="13">
        <f>IF(AND(ISNUMBER($E127),ISNUMBER(VLOOKUP($C127,$A$5:$F$11,5,FALSE))),$E127*VLOOKUP($C127,$A$5:$F$11,5,FALSE),"")</f>
        <v/>
      </c>
      <c r="G127" s="13">
        <f>IF(AND(ISNUMBER($E127),ISNUMBER(VLOOKUP($C127,$A$5:$F$11,3,FALSE)),VLOOKUP($C127,$A$5:$F$11,3,FALSE)&gt;0,ISNUMBER(VLOOKUP($C127,$A$5:$F$11,6,FALSE))),$E127*VLOOKUP($C127,$A$5:$F$11,3,FALSE)*VLOOKUP($C127,$A$5:$F$11,6,FALSE),"")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4" t="inlineStr">
        <is>
          <t>ASSE 120x120x2,5</t>
        </is>
      </c>
      <c r="D128" s="21" t="n">
        <v>6.3</v>
      </c>
      <c r="E128" s="22">
        <f>IF(AND(ISNUMBER($D128),ISNUMBER(VLOOKUP($C128,$A$5:$F$11,4,FALSE))),$D128*VLOOKUP($C128,$A$5:$F$11,4,FALSE),"")</f>
        <v/>
      </c>
      <c r="F128" s="13">
        <f>IF(AND(ISNUMBER($E128),ISNUMBER(VLOOKUP($C128,$A$5:$F$11,5,FALSE))),$E128*VLOOKUP($C128,$A$5:$F$11,5,FALSE),"")</f>
        <v/>
      </c>
      <c r="G128" s="13">
        <f>IF(AND(ISNUMBER($E128),ISNUMBER(VLOOKUP($C128,$A$5:$F$11,3,FALSE)),VLOOKUP($C128,$A$5:$F$11,3,FALSE)&gt;0,ISNUMBER(VLOOKUP($C128,$A$5:$F$11,6,FALSE))),$E128*VLOOKUP($C128,$A$5:$F$11,3,FALSE)*VLOOKUP($C128,$A$5:$F$11,6,FALSE),"")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4" t="inlineStr">
        <is>
          <t>ASSE 120x120x3</t>
        </is>
      </c>
      <c r="D129" s="21" t="n">
        <v>6.756</v>
      </c>
      <c r="E129" s="22">
        <f>IF(AND(ISNUMBER($D129),ISNUMBER(VLOOKUP($C129,$A$5:$F$11,4,FALSE))),$D129*VLOOKUP($C129,$A$5:$F$11,4,FALSE),"")</f>
        <v/>
      </c>
      <c r="F129" s="13">
        <f>IF(AND(ISNUMBER($E129),ISNUMBER(VLOOKUP($C129,$A$5:$F$11,5,FALSE))),$E129*VLOOKUP($C129,$A$5:$F$11,5,FALSE),"")</f>
        <v/>
      </c>
      <c r="G129" s="13">
        <f>IF(AND(ISNUMBER($E129),ISNUMBER(VLOOKUP($C129,$A$5:$F$11,3,FALSE)),VLOOKUP($C129,$A$5:$F$11,3,FALSE)&gt;0,ISNUMBER(VLOOKUP($C129,$A$5:$F$11,6,FALSE))),$E129*VLOOKUP($C129,$A$5:$F$11,3,FALSE)*VLOOKUP($C129,$A$5:$F$11,6,FALSE),"")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4" t="inlineStr">
        <is>
          <t>ASSE 120x120x2,5</t>
        </is>
      </c>
      <c r="D130" s="21" t="n">
        <v>6.756</v>
      </c>
      <c r="E130" s="22">
        <f>IF(AND(ISNUMBER($D130),ISNUMBER(VLOOKUP($C130,$A$5:$F$11,4,FALSE))),$D130*VLOOKUP($C130,$A$5:$F$11,4,FALSE),"")</f>
        <v/>
      </c>
      <c r="F130" s="13">
        <f>IF(AND(ISNUMBER($E130),ISNUMBER(VLOOKUP($C130,$A$5:$F$11,5,FALSE))),$E130*VLOOKUP($C130,$A$5:$F$11,5,FALSE),"")</f>
        <v/>
      </c>
      <c r="G130" s="13">
        <f>IF(AND(ISNUMBER($E130),ISNUMBER(VLOOKUP($C130,$A$5:$F$11,3,FALSE)),VLOOKUP($C130,$A$5:$F$11,3,FALSE)&gt;0,ISNUMBER(VLOOKUP($C130,$A$5:$F$11,6,FALSE))),$E130*VLOOKUP($C130,$A$5:$F$11,3,FALSE)*VLOOKUP($C130,$A$5:$F$11,6,FALSE),"")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4" t="inlineStr">
        <is>
          <t>ASSE 120x120x3</t>
        </is>
      </c>
      <c r="D131" s="21" t="n">
        <v>8.25</v>
      </c>
      <c r="E131" s="22">
        <f>IF(AND(ISNUMBER($D131),ISNUMBER(VLOOKUP($C131,$A$5:$F$11,4,FALSE))),$D131*VLOOKUP($C131,$A$5:$F$11,4,FALSE),"")</f>
        <v/>
      </c>
      <c r="F131" s="13">
        <f>IF(AND(ISNUMBER($E131),ISNUMBER(VLOOKUP($C131,$A$5:$F$11,5,FALSE))),$E131*VLOOKUP($C131,$A$5:$F$11,5,FALSE),"")</f>
        <v/>
      </c>
      <c r="G131" s="13">
        <f>IF(AND(ISNUMBER($E131),ISNUMBER(VLOOKUP($C131,$A$5:$F$11,3,FALSE)),VLOOKUP($C131,$A$5:$F$11,3,FALSE)&gt;0,ISNUMBER(VLOOKUP($C131,$A$5:$F$11,6,FALSE))),$E131*VLOOKUP($C131,$A$5:$F$11,3,FALSE)*VLOOKUP($C131,$A$5:$F$11,6,FALSE),"")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4" t="inlineStr">
        <is>
          <t>ASSE 120x120x2,5</t>
        </is>
      </c>
      <c r="D132" s="21" t="n">
        <v>8.25</v>
      </c>
      <c r="E132" s="22">
        <f>IF(AND(ISNUMBER($D132),ISNUMBER(VLOOKUP($C132,$A$5:$F$11,4,FALSE))),$D132*VLOOKUP($C132,$A$5:$F$11,4,FALSE),"")</f>
        <v/>
      </c>
      <c r="F132" s="13">
        <f>IF(AND(ISNUMBER($E132),ISNUMBER(VLOOKUP($C132,$A$5:$F$11,5,FALSE))),$E132*VLOOKUP($C132,$A$5:$F$11,5,FALSE),"")</f>
        <v/>
      </c>
      <c r="G132" s="13">
        <f>IF(AND(ISNUMBER($E132),ISNUMBER(VLOOKUP($C132,$A$5:$F$11,3,FALSE)),VLOOKUP($C132,$A$5:$F$11,3,FALSE)&gt;0,ISNUMBER(VLOOKUP($C132,$A$5:$F$11,6,FALSE))),$E132*VLOOKUP($C132,$A$5:$F$11,3,FALSE)*VLOOKUP($C132,$A$5:$F$11,6,FALSE),"")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4" t="inlineStr">
        <is>
          <t>ASSE 120x120x3</t>
        </is>
      </c>
      <c r="D133" s="21" t="n">
        <v>8.645</v>
      </c>
      <c r="E133" s="22">
        <f>IF(AND(ISNUMBER($D133),ISNUMBER(VLOOKUP($C133,$A$5:$F$11,4,FALSE))),$D133*VLOOKUP($C133,$A$5:$F$11,4,FALSE),"")</f>
        <v/>
      </c>
      <c r="F133" s="13">
        <f>IF(AND(ISNUMBER($E133),ISNUMBER(VLOOKUP($C133,$A$5:$F$11,5,FALSE))),$E133*VLOOKUP($C133,$A$5:$F$11,5,FALSE),"")</f>
        <v/>
      </c>
      <c r="G133" s="13">
        <f>IF(AND(ISNUMBER($E133),ISNUMBER(VLOOKUP($C133,$A$5:$F$11,3,FALSE)),VLOOKUP($C133,$A$5:$F$11,3,FALSE)&gt;0,ISNUMBER(VLOOKUP($C133,$A$5:$F$11,6,FALSE))),$E133*VLOOKUP($C133,$A$5:$F$11,3,FALSE)*VLOOKUP($C133,$A$5:$F$11,6,FALSE),"")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4" t="inlineStr">
        <is>
          <t>ASSE 120x120x2,5</t>
        </is>
      </c>
      <c r="D134" s="21" t="n">
        <v>8.645</v>
      </c>
      <c r="E134" s="22">
        <f>IF(AND(ISNUMBER($D134),ISNUMBER(VLOOKUP($C134,$A$5:$F$11,4,FALSE))),$D134*VLOOKUP($C134,$A$5:$F$11,4,FALSE),"")</f>
        <v/>
      </c>
      <c r="F134" s="13">
        <f>IF(AND(ISNUMBER($E134),ISNUMBER(VLOOKUP($C134,$A$5:$F$11,5,FALSE))),$E134*VLOOKUP($C134,$A$5:$F$11,5,FALSE),"")</f>
        <v/>
      </c>
      <c r="G134" s="13">
        <f>IF(AND(ISNUMBER($E134),ISNUMBER(VLOOKUP($C134,$A$5:$F$11,3,FALSE)),VLOOKUP($C134,$A$5:$F$11,3,FALSE)&gt;0,ISNUMBER(VLOOKUP($C134,$A$5:$F$11,6,FALSE))),$E134*VLOOKUP($C134,$A$5:$F$11,3,FALSE)*VLOOKUP($C134,$A$5:$F$11,6,FALSE),"")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4" t="inlineStr">
        <is>
          <t>ASSE 120x120x3</t>
        </is>
      </c>
      <c r="D135" s="21" t="n">
        <v>5</v>
      </c>
      <c r="E135" s="22">
        <f>IF(AND(ISNUMBER($D135),ISNUMBER(VLOOKUP($C135,$A$5:$F$11,4,FALSE))),$D135*VLOOKUP($C135,$A$5:$F$11,4,FALSE),"")</f>
        <v/>
      </c>
      <c r="F135" s="13">
        <f>IF(AND(ISNUMBER($E135),ISNUMBER(VLOOKUP($C135,$A$5:$F$11,5,FALSE))),$E135*VLOOKUP($C135,$A$5:$F$11,5,FALSE),"")</f>
        <v/>
      </c>
      <c r="G135" s="13">
        <f>IF(AND(ISNUMBER($E135),ISNUMBER(VLOOKUP($C135,$A$5:$F$11,3,FALSE)),VLOOKUP($C135,$A$5:$F$11,3,FALSE)&gt;0,ISNUMBER(VLOOKUP($C135,$A$5:$F$11,6,FALSE))),$E135*VLOOKUP($C135,$A$5:$F$11,3,FALSE)*VLOOKUP($C135,$A$5:$F$11,6,FALSE),"")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4" t="inlineStr">
        <is>
          <t>ASSE 120x120x2,5</t>
        </is>
      </c>
      <c r="D136" s="21" t="n">
        <v>5</v>
      </c>
      <c r="E136" s="22">
        <f>IF(AND(ISNUMBER($D136),ISNUMBER(VLOOKUP($C136,$A$5:$F$11,4,FALSE))),$D136*VLOOKUP($C136,$A$5:$F$11,4,FALSE),"")</f>
        <v/>
      </c>
      <c r="F136" s="13">
        <f>IF(AND(ISNUMBER($E136),ISNUMBER(VLOOKUP($C136,$A$5:$F$11,5,FALSE))),$E136*VLOOKUP($C136,$A$5:$F$11,5,FALSE),"")</f>
        <v/>
      </c>
      <c r="G136" s="13">
        <f>IF(AND(ISNUMBER($E136),ISNUMBER(VLOOKUP($C136,$A$5:$F$11,3,FALSE)),VLOOKUP($C136,$A$5:$F$11,3,FALSE)&gt;0,ISNUMBER(VLOOKUP($C136,$A$5:$F$11,6,FALSE))),$E136*VLOOKUP($C136,$A$5:$F$11,3,FALSE)*VLOOKUP($C136,$A$5:$F$11,6,FALSE),"")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4" t="inlineStr">
        <is>
          <t>ASSE 120x120x3</t>
        </is>
      </c>
      <c r="D137" s="21" t="n">
        <v>4.8</v>
      </c>
      <c r="E137" s="22">
        <f>IF(AND(ISNUMBER($D137),ISNUMBER(VLOOKUP($C137,$A$5:$F$11,4,FALSE))),$D137*VLOOKUP($C137,$A$5:$F$11,4,FALSE),"")</f>
        <v/>
      </c>
      <c r="F137" s="13">
        <f>IF(AND(ISNUMBER($E137),ISNUMBER(VLOOKUP($C137,$A$5:$F$11,5,FALSE))),$E137*VLOOKUP($C137,$A$5:$F$11,5,FALSE),"")</f>
        <v/>
      </c>
      <c r="G137" s="13">
        <f>IF(AND(ISNUMBER($E137),ISNUMBER(VLOOKUP($C137,$A$5:$F$11,3,FALSE)),VLOOKUP($C137,$A$5:$F$11,3,FALSE)&gt;0,ISNUMBER(VLOOKUP($C137,$A$5:$F$11,6,FALSE))),$E137*VLOOKUP($C137,$A$5:$F$11,3,FALSE)*VLOOKUP($C137,$A$5:$F$11,6,FALSE),"")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4" t="inlineStr">
        <is>
          <t>ASSE 120x120x2,5</t>
        </is>
      </c>
      <c r="D138" s="21" t="n">
        <v>4.8</v>
      </c>
      <c r="E138" s="22">
        <f>IF(AND(ISNUMBER($D138),ISNUMBER(VLOOKUP($C138,$A$5:$F$11,4,FALSE))),$D138*VLOOKUP($C138,$A$5:$F$11,4,FALSE),"")</f>
        <v/>
      </c>
      <c r="F138" s="13">
        <f>IF(AND(ISNUMBER($E138),ISNUMBER(VLOOKUP($C138,$A$5:$F$11,5,FALSE))),$E138*VLOOKUP($C138,$A$5:$F$11,5,FALSE),"")</f>
        <v/>
      </c>
      <c r="G138" s="13">
        <f>IF(AND(ISNUMBER($E138),ISNUMBER(VLOOKUP($C138,$A$5:$F$11,3,FALSE)),VLOOKUP($C138,$A$5:$F$11,3,FALSE)&gt;0,ISNUMBER(VLOOKUP($C138,$A$5:$F$11,6,FALSE))),$E138*VLOOKUP($C138,$A$5:$F$11,3,FALSE)*VLOOKUP($C138,$A$5:$F$11,6,FALSE),"")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6" min="1" max="1"/>
    <col width="26" customWidth="1" style="16" min="2" max="2"/>
    <col width="62" customWidth="1" style="16" min="3" max="3"/>
    <col width="26" customWidth="1" style="16" min="4" max="4"/>
    <col width="6" customWidth="1" style="16" min="5" max="5"/>
    <col width="14" customWidth="1" style="16" min="6" max="6"/>
    <col width="16" customWidth="1" style="16" min="7" max="7"/>
    <col width="46" customWidth="1" style="16" min="8" max="8"/>
    <col width="12" customWidth="1" style="16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2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12" t="inlineStr">
        <is>
          <t>pz</t>
        </is>
      </c>
      <c r="F5" s="10">
        <f>IFERROR(VLOOKUP($B5,'SCHEDA STRUTTURA'!$A$13:$E$413,5,FALSE),"")</f>
        <v/>
      </c>
      <c r="G5" s="6" t="n"/>
      <c r="H5" s="5" t="inlineStr">
        <is>
          <t>ASSI DI ROTAZIONE 1303</t>
        </is>
      </c>
      <c r="I5" s="12" t="n">
        <v>2</v>
      </c>
    </row>
    <row r="6">
      <c r="A6" s="12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12" t="inlineStr">
        <is>
          <t>pz</t>
        </is>
      </c>
      <c r="F6" s="10">
        <f>IFERROR(VLOOKUP($B6,'SCHEDA STRUTTURA'!$A$13:$E$413,5,FALSE),"")</f>
        <v/>
      </c>
      <c r="G6" s="6" t="n"/>
      <c r="H6" s="5" t="inlineStr">
        <is>
          <t>ASSI DI ROTAZIONE 1303</t>
        </is>
      </c>
      <c r="I6" s="12" t="n">
        <v>1</v>
      </c>
    </row>
    <row r="7">
      <c r="A7" s="12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12" t="inlineStr">
        <is>
          <t>pz</t>
        </is>
      </c>
      <c r="F7" s="10">
        <f>IFERROR(VLOOKUP($B7,'SCHEDA STRUTTURA'!$A$13:$E$413,5,FALSE),"")</f>
        <v/>
      </c>
      <c r="G7" s="6" t="n"/>
      <c r="H7" s="5" t="inlineStr">
        <is>
          <t>ASSI DI ROTAZIONE 1303</t>
        </is>
      </c>
      <c r="I7" s="12" t="n">
        <v>1</v>
      </c>
    </row>
    <row r="8">
      <c r="A8" s="12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12" t="inlineStr">
        <is>
          <t>pz</t>
        </is>
      </c>
      <c r="F8" s="10">
        <f>IFERROR(VLOOKUP($B8,'SCHEDA STRUTTURA'!$A$13:$E$413,5,FALSE),"")</f>
        <v/>
      </c>
      <c r="G8" s="6" t="n"/>
      <c r="H8" s="5" t="inlineStr">
        <is>
          <t>ASSI DI ROTAZIONE 1303</t>
        </is>
      </c>
      <c r="I8" s="12" t="n">
        <v>1</v>
      </c>
    </row>
    <row r="9">
      <c r="A9" s="12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12" t="inlineStr">
        <is>
          <t>pz</t>
        </is>
      </c>
      <c r="F9" s="10">
        <f>IFERROR(VLOOKUP($B9,'SCHEDA STRUTTURA'!$A$13:$E$413,5,FALSE),"")</f>
        <v/>
      </c>
      <c r="G9" s="6" t="n"/>
      <c r="H9" s="5" t="inlineStr">
        <is>
          <t>ASSI DI ROTAZIONE 1303</t>
        </is>
      </c>
      <c r="I9" s="12" t="n">
        <v>3</v>
      </c>
    </row>
    <row r="10">
      <c r="A10" s="12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12" t="inlineStr">
        <is>
          <t>pz</t>
        </is>
      </c>
      <c r="F10" s="10">
        <f>IFERROR(VLOOKUP($B10,'SCHEDA STRUTTURA'!$A$13:$E$413,5,FALSE),"")</f>
        <v/>
      </c>
      <c r="G10" s="6" t="n"/>
      <c r="H10" s="5" t="inlineStr">
        <is>
          <t>ASSI DI ROTAZIONE 1303</t>
        </is>
      </c>
      <c r="I10" s="12" t="n">
        <v>1</v>
      </c>
    </row>
    <row r="11">
      <c r="A11" s="12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12" t="inlineStr">
        <is>
          <t>pz</t>
        </is>
      </c>
      <c r="F11" s="10">
        <f>IFERROR(VLOOKUP($B11,'SCHEDA STRUTTURA'!$A$13:$E$413,5,FALSE),"")</f>
        <v/>
      </c>
      <c r="G11" s="6" t="n"/>
      <c r="H11" s="5" t="inlineStr">
        <is>
          <t>ASSI DI ROTAZIONE 1303</t>
        </is>
      </c>
      <c r="I11" s="12" t="n">
        <v>1</v>
      </c>
    </row>
    <row r="12">
      <c r="A12" s="12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12" t="inlineStr">
        <is>
          <t>pz</t>
        </is>
      </c>
      <c r="F12" s="10">
        <f>IFERROR(VLOOKUP($B12,'SCHEDA STRUTTURA'!$A$13:$E$413,5,FALSE),"")</f>
        <v/>
      </c>
      <c r="G12" s="6" t="n"/>
      <c r="H12" s="5" t="inlineStr">
        <is>
          <t>ASSI DI ROTAZIONE 1303</t>
        </is>
      </c>
      <c r="I12" s="12" t="n">
        <v>1</v>
      </c>
    </row>
    <row r="13">
      <c r="A13" s="12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12" t="inlineStr">
        <is>
          <t>pz</t>
        </is>
      </c>
      <c r="F13" s="10">
        <f>IFERROR(VLOOKUP($B13,'SCHEDA STRUTTURA'!$A$13:$E$413,5,FALSE),"")</f>
        <v/>
      </c>
      <c r="G13" s="6" t="n"/>
      <c r="H13" s="5" t="inlineStr">
        <is>
          <t>ASSI DI ROTAZIONE 1303</t>
        </is>
      </c>
      <c r="I13" s="12" t="n">
        <v>1</v>
      </c>
    </row>
    <row r="14">
      <c r="A14" s="12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12" t="inlineStr">
        <is>
          <t>pz</t>
        </is>
      </c>
      <c r="F14" s="10">
        <f>IFERROR(VLOOKUP($B14,'SCHEDA STRUTTURA'!$A$13:$E$413,5,FALSE),"")</f>
        <v/>
      </c>
      <c r="G14" s="6" t="n"/>
      <c r="H14" s="5" t="inlineStr">
        <is>
          <t>ASSI DI ROTAZIONE 1303</t>
        </is>
      </c>
      <c r="I14" s="12" t="n">
        <v>1</v>
      </c>
    </row>
    <row r="15">
      <c r="A15" s="12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12" t="inlineStr">
        <is>
          <t>pz</t>
        </is>
      </c>
      <c r="F15" s="10">
        <f>IFERROR(VLOOKUP($B15,'SCHEDA STRUTTURA'!$A$13:$E$413,5,FALSE),"")</f>
        <v/>
      </c>
      <c r="G15" s="6" t="n"/>
      <c r="H15" s="5" t="inlineStr">
        <is>
          <t>ASSI DI ROTAZIONE 1303</t>
        </is>
      </c>
      <c r="I15" s="12" t="n">
        <v>1</v>
      </c>
    </row>
    <row r="16">
      <c r="A16" s="12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12" t="inlineStr">
        <is>
          <t>pz</t>
        </is>
      </c>
      <c r="F16" s="10">
        <f>IFERROR(VLOOKUP($B16,'SCHEDA STRUTTURA'!$A$13:$E$413,5,FALSE),"")</f>
        <v/>
      </c>
      <c r="G16" s="6" t="n"/>
      <c r="H16" s="5" t="inlineStr">
        <is>
          <t>ASSI DI ROTAZIONE 1303</t>
        </is>
      </c>
      <c r="I16" s="12" t="n">
        <v>1</v>
      </c>
    </row>
    <row r="17">
      <c r="A17" s="12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12" t="inlineStr">
        <is>
          <t>pz</t>
        </is>
      </c>
      <c r="F17" s="10">
        <f>IFERROR(VLOOKUP($B17,'SCHEDA STRUTTURA'!$A$13:$E$413,5,FALSE),"")</f>
        <v/>
      </c>
      <c r="G17" s="6" t="n"/>
      <c r="H17" s="5" t="inlineStr">
        <is>
          <t>ASSI DI ROTAZIONE 1303</t>
        </is>
      </c>
      <c r="I17" s="12" t="n">
        <v>1</v>
      </c>
    </row>
    <row r="18">
      <c r="A18" s="12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12" t="inlineStr">
        <is>
          <t>pz</t>
        </is>
      </c>
      <c r="F18" s="10">
        <f>IFERROR(VLOOKUP($B18,'SCHEDA STRUTTURA'!$A$13:$E$413,5,FALSE),"")</f>
        <v/>
      </c>
      <c r="G18" s="6" t="n"/>
      <c r="H18" s="5" t="inlineStr">
        <is>
          <t>ASSI DI ROTAZIONE 1303</t>
        </is>
      </c>
      <c r="I18" s="12" t="n">
        <v>1</v>
      </c>
    </row>
    <row r="19">
      <c r="A19" s="12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12" t="inlineStr">
        <is>
          <t>pz</t>
        </is>
      </c>
      <c r="F19" s="10">
        <f>IFERROR(VLOOKUP($B19,'SCHEDA STRUTTURA'!$A$13:$E$413,5,FALSE),"")</f>
        <v/>
      </c>
      <c r="G19" s="6" t="n"/>
      <c r="H19" s="5" t="inlineStr">
        <is>
          <t>ASSI DI ROTAZIONE 1303</t>
        </is>
      </c>
      <c r="I19" s="12" t="n">
        <v>1</v>
      </c>
    </row>
    <row r="20">
      <c r="A20" s="12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12" t="inlineStr">
        <is>
          <t>pz</t>
        </is>
      </c>
      <c r="F20" s="10">
        <f>IFERROR(VLOOKUP($B20,'SCHEDA STRUTTURA'!$A$13:$E$413,5,FALSE),"")</f>
        <v/>
      </c>
      <c r="G20" s="6" t="n"/>
      <c r="H20" s="5" t="inlineStr">
        <is>
          <t>ASSI DI ROTAZIONE 1303</t>
        </is>
      </c>
      <c r="I20" s="12" t="n">
        <v>1</v>
      </c>
    </row>
    <row r="21">
      <c r="A21" s="12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12" t="inlineStr">
        <is>
          <t>pz</t>
        </is>
      </c>
      <c r="F21" s="10">
        <f>IFERROR(VLOOKUP($B21,'SCHEDA STRUTTURA'!$A$13:$E$413,5,FALSE),"")</f>
        <v/>
      </c>
      <c r="G21" s="6" t="n"/>
      <c r="H21" s="5" t="inlineStr">
        <is>
          <t>ASSI DI ROTAZIONE 1303</t>
        </is>
      </c>
      <c r="I21" s="12" t="n">
        <v>1</v>
      </c>
    </row>
    <row r="22">
      <c r="A22" s="12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12" t="inlineStr">
        <is>
          <t>pz</t>
        </is>
      </c>
      <c r="F22" s="10">
        <f>IFERROR(VLOOKUP($B22,'SCHEDA STRUTTURA'!$A$13:$E$413,5,FALSE),"")</f>
        <v/>
      </c>
      <c r="G22" s="6" t="n"/>
      <c r="H22" s="5" t="inlineStr">
        <is>
          <t>ASSI DI ROTAZIONE 1303</t>
        </is>
      </c>
      <c r="I22" s="12" t="n">
        <v>1</v>
      </c>
    </row>
    <row r="23">
      <c r="A23" s="12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12" t="inlineStr">
        <is>
          <t>pz</t>
        </is>
      </c>
      <c r="F23" s="10">
        <f>IFERROR(VLOOKUP($B23,'SCHEDA STRUTTURA'!$A$13:$E$413,5,FALSE),"")</f>
        <v/>
      </c>
      <c r="G23" s="6" t="n"/>
      <c r="H23" s="5" t="inlineStr">
        <is>
          <t>ASSI DI ROTAZIONE 1303</t>
        </is>
      </c>
      <c r="I23" s="12" t="n">
        <v>1</v>
      </c>
    </row>
    <row r="24">
      <c r="A24" s="12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12" t="inlineStr">
        <is>
          <t>pz</t>
        </is>
      </c>
      <c r="F24" s="10">
        <f>IFERROR(VLOOKUP($B24,'SCHEDA STRUTTURA'!$A$13:$E$413,5,FALSE),"")</f>
        <v/>
      </c>
      <c r="G24" s="6" t="n"/>
      <c r="H24" s="5" t="inlineStr">
        <is>
          <t>ASSI DI ROTAZIONE 1303</t>
        </is>
      </c>
      <c r="I24" s="12" t="n">
        <v>1</v>
      </c>
    </row>
    <row r="25">
      <c r="A25" s="12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12" t="inlineStr">
        <is>
          <t>pz</t>
        </is>
      </c>
      <c r="F25" s="10">
        <f>IFERROR(VLOOKUP($B25,'SCHEDA STRUTTURA'!$A$13:$E$413,5,FALSE),"")</f>
        <v/>
      </c>
      <c r="G25" s="6" t="n"/>
      <c r="H25" s="5" t="inlineStr">
        <is>
          <t>ASSI DI ROTAZIONE 1303</t>
        </is>
      </c>
      <c r="I25" s="12" t="n">
        <v>1</v>
      </c>
    </row>
    <row r="26">
      <c r="A26" s="12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12" t="inlineStr">
        <is>
          <t>pz</t>
        </is>
      </c>
      <c r="F26" s="10">
        <f>IFERROR(VLOOKUP($B26,'SCHEDA STRUTTURA'!$A$13:$E$413,5,FALSE),"")</f>
        <v/>
      </c>
      <c r="G26" s="6" t="n"/>
      <c r="H26" s="5" t="inlineStr">
        <is>
          <t>ASSI DI ROTAZIONE 1303</t>
        </is>
      </c>
      <c r="I26" s="12" t="n">
        <v>1</v>
      </c>
    </row>
    <row r="27">
      <c r="A27" s="12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12" t="inlineStr">
        <is>
          <t>pz</t>
        </is>
      </c>
      <c r="F27" s="10" t="n"/>
      <c r="G27" s="6" t="n"/>
      <c r="H27" s="5" t="inlineStr">
        <is>
          <t>ASSI DI ROTAZIONE 1303</t>
        </is>
      </c>
      <c r="I27" s="12" t="n">
        <v>5</v>
      </c>
    </row>
    <row r="28">
      <c r="A28" s="12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12" t="inlineStr">
        <is>
          <t>pz</t>
        </is>
      </c>
      <c r="F28" s="10" t="n"/>
      <c r="G28" s="6" t="n"/>
      <c r="H28" s="5" t="inlineStr">
        <is>
          <t>ASSI DI ROTAZIONE 1303</t>
        </is>
      </c>
      <c r="I28" s="12" t="n">
        <v>5</v>
      </c>
    </row>
    <row r="29">
      <c r="A29" s="12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12" t="inlineStr">
        <is>
          <t>pz</t>
        </is>
      </c>
      <c r="F29" s="10" t="n"/>
      <c r="G29" s="6" t="n"/>
      <c r="H29" s="5" t="inlineStr">
        <is>
          <t>KIT OMEGA+pannelli</t>
        </is>
      </c>
      <c r="I29" s="12" t="n">
        <v>1</v>
      </c>
    </row>
    <row r="30">
      <c r="A30" s="12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12" t="inlineStr">
        <is>
          <t>pz</t>
        </is>
      </c>
      <c r="F30" s="10" t="n"/>
      <c r="G30" s="6" t="n"/>
      <c r="H30" s="5" t="inlineStr">
        <is>
          <t>KIT OMEGA+pannelli</t>
        </is>
      </c>
      <c r="I30" s="12" t="n">
        <v>1</v>
      </c>
    </row>
    <row r="31">
      <c r="A31" s="12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12" t="inlineStr">
        <is>
          <t>pz</t>
        </is>
      </c>
      <c r="F31" s="10" t="n"/>
      <c r="G31" s="6" t="n"/>
      <c r="H31" s="5" t="inlineStr">
        <is>
          <t>KIT OMEGA+pannelli</t>
        </is>
      </c>
      <c r="I31" s="12" t="n">
        <v>1</v>
      </c>
    </row>
    <row r="32">
      <c r="A32" s="12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12" t="inlineStr">
        <is>
          <t>pz</t>
        </is>
      </c>
      <c r="F32" s="10" t="n"/>
      <c r="G32" s="6" t="n"/>
      <c r="H32" s="5" t="inlineStr">
        <is>
          <t>KIT OMEGA+pannelli</t>
        </is>
      </c>
      <c r="I32" s="12" t="n">
        <v>1</v>
      </c>
    </row>
    <row r="33">
      <c r="A33" s="12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12" t="inlineStr">
        <is>
          <t>pz</t>
        </is>
      </c>
      <c r="F33" s="10" t="n"/>
      <c r="G33" s="6" t="n"/>
      <c r="H33" s="5" t="inlineStr">
        <is>
          <t>KIT OMEGA+pannelli</t>
        </is>
      </c>
      <c r="I33" s="12" t="n">
        <v>1</v>
      </c>
    </row>
    <row r="34">
      <c r="A34" s="12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12" t="inlineStr">
        <is>
          <t>pz</t>
        </is>
      </c>
      <c r="F34" s="10" t="n"/>
      <c r="G34" s="6" t="n"/>
      <c r="H34" s="5" t="inlineStr">
        <is>
          <t>KIT INCLINOMETRO</t>
        </is>
      </c>
      <c r="I34" s="12" t="n">
        <v>1</v>
      </c>
    </row>
    <row r="35">
      <c r="A35" s="12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12" t="inlineStr">
        <is>
          <t>pz</t>
        </is>
      </c>
      <c r="F35" s="10" t="n"/>
      <c r="G35" s="6" t="n"/>
      <c r="H35" s="5" t="inlineStr">
        <is>
          <t>KIT INCLINOMETRO</t>
        </is>
      </c>
      <c r="I35" s="12" t="n">
        <v>1</v>
      </c>
    </row>
    <row r="36">
      <c r="A36" s="12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12" t="inlineStr">
        <is>
          <t>pz</t>
        </is>
      </c>
      <c r="F36" s="10" t="n"/>
      <c r="G36" s="6" t="n"/>
      <c r="H36" s="5" t="inlineStr">
        <is>
          <t>KIT FINE CORSA</t>
        </is>
      </c>
      <c r="I36" s="12" t="n">
        <v>1</v>
      </c>
    </row>
    <row r="37">
      <c r="A37" s="12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12" t="inlineStr">
        <is>
          <t>pz</t>
        </is>
      </c>
      <c r="F37" s="10" t="n"/>
      <c r="G37" s="6" t="n"/>
      <c r="H37" s="5" t="inlineStr">
        <is>
          <t>KIT FINE CORSA</t>
        </is>
      </c>
      <c r="I37" s="12" t="n">
        <v>1</v>
      </c>
    </row>
    <row r="38">
      <c r="A38" s="12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12" t="inlineStr">
        <is>
          <t>pz</t>
        </is>
      </c>
      <c r="F38" s="10">
        <f>IFERROR(VLOOKUP($B38,'SCHEDA STRUTTURA'!$A$13:$E$413,5,FALSE),"")</f>
        <v/>
      </c>
      <c r="G38" s="6" t="n"/>
      <c r="H38" s="5" t="inlineStr">
        <is>
          <t>PILASTRO CUSCINETTO</t>
        </is>
      </c>
      <c r="I38" s="12" t="n">
        <v>1</v>
      </c>
    </row>
    <row r="39">
      <c r="A39" s="12" t="n">
        <v>35</v>
      </c>
      <c r="B39" s="5" t="inlineStr">
        <is>
          <t>TTS.PC.001.IPEA140.23</t>
        </is>
      </c>
      <c r="C39" s="5" t="inlineStr">
        <is>
          <t>Pilastro cuscinetto trave IPEA 140 mt.2,30 (alleggerita)</t>
        </is>
      </c>
      <c r="D39" s="5" t="inlineStr">
        <is>
          <t>Carpenteria metallica</t>
        </is>
      </c>
      <c r="E39" s="12" t="inlineStr">
        <is>
          <t>pz</t>
        </is>
      </c>
      <c r="F39" s="10">
        <f>IFERROR(VLOOKUP($B39,'SCHEDA STRUTTURA'!$A$13:$E$413,5,FALSE),"")</f>
        <v/>
      </c>
      <c r="G39" s="6" t="n"/>
      <c r="H39" s="5" t="inlineStr">
        <is>
          <t>PILASTRO CUSCINETTO</t>
        </is>
      </c>
      <c r="I39" s="12" t="n">
        <v>1</v>
      </c>
    </row>
    <row r="40">
      <c r="A40" s="12" t="n">
        <v>36</v>
      </c>
      <c r="B40" s="5" t="inlineStr">
        <is>
          <t>TTS.PC.001.IPE140.28</t>
        </is>
      </c>
      <c r="C40" s="5" t="inlineStr">
        <is>
          <t>Pilastro cuscinetto trave IPE 140 mt.2,80</t>
        </is>
      </c>
      <c r="D40" s="5" t="inlineStr">
        <is>
          <t>Carpenteria metallica</t>
        </is>
      </c>
      <c r="E40" s="12" t="inlineStr">
        <is>
          <t>pz</t>
        </is>
      </c>
      <c r="F40" s="10">
        <f>IFERROR(VLOOKUP($B40,'SCHEDA STRUTTURA'!$A$13:$E$413,5,FALSE),"")</f>
        <v/>
      </c>
      <c r="G40" s="6" t="n"/>
      <c r="H40" s="5" t="inlineStr">
        <is>
          <t>PILASTRO CUSCINETTO</t>
        </is>
      </c>
      <c r="I40" s="12" t="n">
        <v>1</v>
      </c>
    </row>
    <row r="41">
      <c r="A41" s="12" t="n">
        <v>37</v>
      </c>
      <c r="B41" s="5" t="inlineStr">
        <is>
          <t>TTS.PC.001.IPEA140.28</t>
        </is>
      </c>
      <c r="C41" s="5" t="inlineStr">
        <is>
          <t>Pilastro cuscinetto trave IPEA 140 mt.2,80 (alleggerita)</t>
        </is>
      </c>
      <c r="D41" s="5" t="inlineStr">
        <is>
          <t>Carpenteria metallica</t>
        </is>
      </c>
      <c r="E41" s="12" t="inlineStr">
        <is>
          <t>pz</t>
        </is>
      </c>
      <c r="F41" s="10">
        <f>IFERROR(VLOOKUP($B41,'SCHEDA STRUTTURA'!$A$13:$E$413,5,FALSE),"")</f>
        <v/>
      </c>
      <c r="G41" s="6" t="n"/>
      <c r="H41" s="5" t="inlineStr">
        <is>
          <t>PILASTRO CUSCINETTO</t>
        </is>
      </c>
      <c r="I41" s="12" t="n">
        <v>1</v>
      </c>
    </row>
    <row r="42">
      <c r="A42" s="12" t="n">
        <v>38</v>
      </c>
      <c r="B42" s="5" t="inlineStr">
        <is>
          <t>TTS.PC.001.IPE140.29</t>
        </is>
      </c>
      <c r="C42" s="5" t="inlineStr">
        <is>
          <t>Pilastro cuscinetto trave IPE 140 mt.2,90</t>
        </is>
      </c>
      <c r="D42" s="5" t="inlineStr">
        <is>
          <t>Carpenteria metallica</t>
        </is>
      </c>
      <c r="E42" s="12" t="inlineStr">
        <is>
          <t>pz</t>
        </is>
      </c>
      <c r="F42" s="10">
        <f>IFERROR(VLOOKUP($B42,'SCHEDA STRUTTURA'!$A$13:$E$413,5,FALSE),"")</f>
        <v/>
      </c>
      <c r="G42" s="6" t="n"/>
      <c r="H42" s="5" t="inlineStr">
        <is>
          <t>PILASTRO CUSCINETTO</t>
        </is>
      </c>
      <c r="I42" s="12" t="n">
        <v>1</v>
      </c>
    </row>
    <row r="43">
      <c r="A43" s="12" t="n">
        <v>39</v>
      </c>
      <c r="B43" s="5" t="inlineStr">
        <is>
          <t>TTS.PC.001.IPEA140.29</t>
        </is>
      </c>
      <c r="C43" s="5" t="inlineStr">
        <is>
          <t>Pilastro cuscinetto trave IPEA 140 mt.2,90 (alleggerita)</t>
        </is>
      </c>
      <c r="D43" s="5" t="inlineStr">
        <is>
          <t>Carpenteria metallica</t>
        </is>
      </c>
      <c r="E43" s="12" t="inlineStr">
        <is>
          <t>pz</t>
        </is>
      </c>
      <c r="F43" s="10">
        <f>IFERROR(VLOOKUP($B43,'SCHEDA STRUTTURA'!$A$13:$E$413,5,FALSE),"")</f>
        <v/>
      </c>
      <c r="G43" s="6" t="n"/>
      <c r="H43" s="5" t="inlineStr">
        <is>
          <t>PILASTRO CUSCINETTO</t>
        </is>
      </c>
      <c r="I43" s="12" t="n">
        <v>1</v>
      </c>
    </row>
    <row r="44">
      <c r="A44" s="12" t="n">
        <v>40</v>
      </c>
      <c r="B44" s="5" t="inlineStr">
        <is>
          <t>TTS.PC.001.IPE140.30</t>
        </is>
      </c>
      <c r="C44" s="5" t="inlineStr">
        <is>
          <t>Pilastro cuscinetto trave IPE 140 mt.3,00</t>
        </is>
      </c>
      <c r="D44" s="5" t="inlineStr">
        <is>
          <t>Carpenteria metallica</t>
        </is>
      </c>
      <c r="E44" s="12" t="inlineStr">
        <is>
          <t>pz</t>
        </is>
      </c>
      <c r="F44" s="10">
        <f>IFERROR(VLOOKUP($B44,'SCHEDA STRUTTURA'!$A$13:$E$413,5,FALSE),"")</f>
        <v/>
      </c>
      <c r="G44" s="6" t="n"/>
      <c r="H44" s="5" t="inlineStr">
        <is>
          <t>PILASTRO CUSCINETTO</t>
        </is>
      </c>
      <c r="I44" s="12" t="n">
        <v>1</v>
      </c>
    </row>
    <row r="45">
      <c r="A45" s="12" t="n">
        <v>41</v>
      </c>
      <c r="B45" s="5" t="inlineStr">
        <is>
          <t>TTS.PC.001.IPEA140.30</t>
        </is>
      </c>
      <c r="C45" s="5" t="inlineStr">
        <is>
          <t>Pilastro cuscinetto trave IPEA 140 mt.3,00 (alleggerita)</t>
        </is>
      </c>
      <c r="D45" s="5" t="inlineStr">
        <is>
          <t>Carpenteria metallica</t>
        </is>
      </c>
      <c r="E45" s="12" t="inlineStr">
        <is>
          <t>pz</t>
        </is>
      </c>
      <c r="F45" s="10">
        <f>IFERROR(VLOOKUP($B45,'SCHEDA STRUTTURA'!$A$13:$E$413,5,FALSE),"")</f>
        <v/>
      </c>
      <c r="G45" s="6" t="n"/>
      <c r="H45" s="5" t="inlineStr">
        <is>
          <t>PILASTRO CUSCINETTO</t>
        </is>
      </c>
      <c r="I45" s="12" t="n">
        <v>1</v>
      </c>
    </row>
    <row r="46">
      <c r="A46" s="12" t="n">
        <v>42</v>
      </c>
      <c r="B46" s="5" t="inlineStr">
        <is>
          <t>TTS.PC.001.IPE140.31</t>
        </is>
      </c>
      <c r="C46" s="5" t="inlineStr">
        <is>
          <t>Pilastro cuscinetto trave IPE 140 mt.3,10</t>
        </is>
      </c>
      <c r="D46" s="5" t="inlineStr">
        <is>
          <t>Carpenteria metallica</t>
        </is>
      </c>
      <c r="E46" s="12" t="inlineStr">
        <is>
          <t>pz</t>
        </is>
      </c>
      <c r="F46" s="10">
        <f>IFERROR(VLOOKUP($B46,'SCHEDA STRUTTURA'!$A$13:$E$413,5,FALSE),"")</f>
        <v/>
      </c>
      <c r="G46" s="6" t="n"/>
      <c r="H46" s="5" t="inlineStr">
        <is>
          <t>PILASTRO CUSCINETTO</t>
        </is>
      </c>
      <c r="I46" s="12" t="n">
        <v>1</v>
      </c>
    </row>
    <row r="47">
      <c r="A47" s="12" t="n">
        <v>43</v>
      </c>
      <c r="B47" s="5" t="inlineStr">
        <is>
          <t>TTS.PC.001.IPEA140.31</t>
        </is>
      </c>
      <c r="C47" s="5" t="inlineStr">
        <is>
          <t>Pilastro cuscinetto trave IPEA 140 mt.3,10 (alleggerita)</t>
        </is>
      </c>
      <c r="D47" s="5" t="inlineStr">
        <is>
          <t>Carpenteria metallica</t>
        </is>
      </c>
      <c r="E47" s="12" t="inlineStr">
        <is>
          <t>pz</t>
        </is>
      </c>
      <c r="F47" s="10">
        <f>IFERROR(VLOOKUP($B47,'SCHEDA STRUTTURA'!$A$13:$E$413,5,FALSE),"")</f>
        <v/>
      </c>
      <c r="G47" s="6" t="n"/>
      <c r="H47" s="5" t="inlineStr">
        <is>
          <t>PILASTRO CUSCINETTO</t>
        </is>
      </c>
      <c r="I47" s="12" t="n">
        <v>1</v>
      </c>
    </row>
    <row r="48">
      <c r="A48" s="12" t="n">
        <v>44</v>
      </c>
      <c r="B48" s="5" t="inlineStr">
        <is>
          <t>TTS.PC.001.IPE140.32</t>
        </is>
      </c>
      <c r="C48" s="5" t="inlineStr">
        <is>
          <t>Pilastro cuscinetto trave IPE 140 mt.3,20</t>
        </is>
      </c>
      <c r="D48" s="5" t="inlineStr">
        <is>
          <t>Carpenteria metallica</t>
        </is>
      </c>
      <c r="E48" s="12" t="inlineStr">
        <is>
          <t>pz</t>
        </is>
      </c>
      <c r="F48" s="10">
        <f>IFERROR(VLOOKUP($B48,'SCHEDA STRUTTURA'!$A$13:$E$413,5,FALSE),"")</f>
        <v/>
      </c>
      <c r="G48" s="6" t="n"/>
      <c r="H48" s="5" t="inlineStr">
        <is>
          <t>PILASTRO CUSCINETTO</t>
        </is>
      </c>
      <c r="I48" s="12" t="n">
        <v>1</v>
      </c>
    </row>
    <row r="49">
      <c r="A49" s="12" t="n">
        <v>45</v>
      </c>
      <c r="B49" s="5" t="inlineStr">
        <is>
          <t>TTS.PC.001.IPEA140.32</t>
        </is>
      </c>
      <c r="C49" s="5" t="inlineStr">
        <is>
          <t>Pilastro cuscinetto trave IPEA 140 mt.3,20 (alleggerita)</t>
        </is>
      </c>
      <c r="D49" s="5" t="inlineStr">
        <is>
          <t>Carpenteria metallica</t>
        </is>
      </c>
      <c r="E49" s="12" t="inlineStr">
        <is>
          <t>pz</t>
        </is>
      </c>
      <c r="F49" s="10">
        <f>IFERROR(VLOOKUP($B49,'SCHEDA STRUTTURA'!$A$13:$E$413,5,FALSE),"")</f>
        <v/>
      </c>
      <c r="G49" s="6" t="n"/>
      <c r="H49" s="5" t="inlineStr">
        <is>
          <t>PILASTRO CUSCINETTO</t>
        </is>
      </c>
      <c r="I49" s="12" t="n">
        <v>1</v>
      </c>
    </row>
    <row r="50">
      <c r="A50" s="12" t="n">
        <v>46</v>
      </c>
      <c r="B50" s="5" t="inlineStr">
        <is>
          <t>TTS.PC.001.IPE140.33</t>
        </is>
      </c>
      <c r="C50" s="5" t="inlineStr">
        <is>
          <t>Pilastro cuscinetto trave IPE 140 mt.3,30</t>
        </is>
      </c>
      <c r="D50" s="5" t="inlineStr">
        <is>
          <t>Carpenteria metallica</t>
        </is>
      </c>
      <c r="E50" s="12" t="inlineStr">
        <is>
          <t>pz</t>
        </is>
      </c>
      <c r="F50" s="10">
        <f>IFERROR(VLOOKUP($B50,'SCHEDA STRUTTURA'!$A$13:$E$413,5,FALSE),"")</f>
        <v/>
      </c>
      <c r="G50" s="6" t="n"/>
      <c r="H50" s="5" t="inlineStr">
        <is>
          <t>PILASTRO CUSCINETTO</t>
        </is>
      </c>
      <c r="I50" s="12" t="n">
        <v>1</v>
      </c>
    </row>
    <row r="51">
      <c r="A51" s="12" t="n">
        <v>47</v>
      </c>
      <c r="B51" s="5" t="inlineStr">
        <is>
          <t>TTS.PC.001.IPEA140.33</t>
        </is>
      </c>
      <c r="C51" s="5" t="inlineStr">
        <is>
          <t>Pilastro cuscinetto trave IPEA 140 mt.3,30 (alleggerita)</t>
        </is>
      </c>
      <c r="D51" s="5" t="inlineStr">
        <is>
          <t>Carpenteria metallica</t>
        </is>
      </c>
      <c r="E51" s="12" t="inlineStr">
        <is>
          <t>pz</t>
        </is>
      </c>
      <c r="F51" s="10">
        <f>IFERROR(VLOOKUP($B51,'SCHEDA STRUTTURA'!$A$13:$E$413,5,FALSE),"")</f>
        <v/>
      </c>
      <c r="G51" s="6" t="n"/>
      <c r="H51" s="5" t="inlineStr">
        <is>
          <t>PILASTRO CUSCINETTO</t>
        </is>
      </c>
      <c r="I51" s="12" t="n">
        <v>1</v>
      </c>
    </row>
    <row r="52">
      <c r="A52" s="12" t="n">
        <v>48</v>
      </c>
      <c r="B52" s="5" t="inlineStr">
        <is>
          <t>TTS.PC.001.IPE140.34</t>
        </is>
      </c>
      <c r="C52" s="5" t="inlineStr">
        <is>
          <t>Pilastro cuscinetto trave IPE 140 mt.3,40</t>
        </is>
      </c>
      <c r="D52" s="5" t="inlineStr">
        <is>
          <t>Carpenteria metallica</t>
        </is>
      </c>
      <c r="E52" s="12" t="inlineStr">
        <is>
          <t>pz</t>
        </is>
      </c>
      <c r="F52" s="10">
        <f>IFERROR(VLOOKUP($B52,'SCHEDA STRUTTURA'!$A$13:$E$413,5,FALSE),"")</f>
        <v/>
      </c>
      <c r="G52" s="6" t="n"/>
      <c r="H52" s="5" t="inlineStr">
        <is>
          <t>PILASTRO CUSCINETTO</t>
        </is>
      </c>
      <c r="I52" s="12" t="n">
        <v>1</v>
      </c>
    </row>
    <row r="53">
      <c r="A53" s="12" t="n">
        <v>49</v>
      </c>
      <c r="B53" s="5" t="inlineStr">
        <is>
          <t>TTS.PC.001.IPEA140.34</t>
        </is>
      </c>
      <c r="C53" s="5" t="inlineStr">
        <is>
          <t>Pilastro cuscinetto trave IPEA 140 mt.3,40 (alleggerita)</t>
        </is>
      </c>
      <c r="D53" s="5" t="inlineStr">
        <is>
          <t>Carpenteria metallica</t>
        </is>
      </c>
      <c r="E53" s="12" t="inlineStr">
        <is>
          <t>pz</t>
        </is>
      </c>
      <c r="F53" s="10">
        <f>IFERROR(VLOOKUP($B53,'SCHEDA STRUTTURA'!$A$13:$E$413,5,FALSE),"")</f>
        <v/>
      </c>
      <c r="G53" s="6" t="n"/>
      <c r="H53" s="5" t="inlineStr">
        <is>
          <t>PILASTRO CUSCINETTO</t>
        </is>
      </c>
      <c r="I53" s="12" t="n">
        <v>1</v>
      </c>
    </row>
    <row r="54">
      <c r="A54" s="12" t="n">
        <v>50</v>
      </c>
      <c r="B54" s="5" t="inlineStr">
        <is>
          <t>TTS.PC.001.IPE140.35</t>
        </is>
      </c>
      <c r="C54" s="5" t="inlineStr">
        <is>
          <t>Pilastro cuscinetto trave IPE 140 mt.3,50</t>
        </is>
      </c>
      <c r="D54" s="5" t="inlineStr">
        <is>
          <t>Carpenteria metallica</t>
        </is>
      </c>
      <c r="E54" s="12" t="inlineStr">
        <is>
          <t>pz</t>
        </is>
      </c>
      <c r="F54" s="10">
        <f>IFERROR(VLOOKUP($B54,'SCHEDA STRUTTURA'!$A$13:$E$413,5,FALSE),"")</f>
        <v/>
      </c>
      <c r="G54" s="6" t="n"/>
      <c r="H54" s="5" t="inlineStr">
        <is>
          <t>PILASTRO CUSCINETTO</t>
        </is>
      </c>
      <c r="I54" s="12" t="n">
        <v>1</v>
      </c>
    </row>
    <row r="55">
      <c r="A55" s="12" t="n">
        <v>51</v>
      </c>
      <c r="B55" s="5" t="inlineStr">
        <is>
          <t>TTS.PC.001.IPEA140.35</t>
        </is>
      </c>
      <c r="C55" s="5" t="inlineStr">
        <is>
          <t>Pilastro cuscinetto trave IPEA 140 mt.3,50 (alleggerita)</t>
        </is>
      </c>
      <c r="D55" s="5" t="inlineStr">
        <is>
          <t>Carpenteria metallica</t>
        </is>
      </c>
      <c r="E55" s="12" t="inlineStr">
        <is>
          <t>pz</t>
        </is>
      </c>
      <c r="F55" s="10">
        <f>IFERROR(VLOOKUP($B55,'SCHEDA STRUTTURA'!$A$13:$E$413,5,FALSE),"")</f>
        <v/>
      </c>
      <c r="G55" s="6" t="n"/>
      <c r="H55" s="5" t="inlineStr">
        <is>
          <t>PILASTRO CUSCINETTO</t>
        </is>
      </c>
      <c r="I55" s="12" t="n">
        <v>1</v>
      </c>
    </row>
    <row r="56">
      <c r="A56" s="12" t="n">
        <v>52</v>
      </c>
      <c r="B56" s="5" t="inlineStr">
        <is>
          <t>TTS.PC.001.IPE140.36</t>
        </is>
      </c>
      <c r="C56" s="5" t="inlineStr">
        <is>
          <t>Pilastro cuscinetto trave IPE 140 mt.3,60</t>
        </is>
      </c>
      <c r="D56" s="5" t="inlineStr">
        <is>
          <t>Carpenteria metallica</t>
        </is>
      </c>
      <c r="E56" s="12" t="inlineStr">
        <is>
          <t>pz</t>
        </is>
      </c>
      <c r="F56" s="10">
        <f>IFERROR(VLOOKUP($B56,'SCHEDA STRUTTURA'!$A$13:$E$413,5,FALSE),"")</f>
        <v/>
      </c>
      <c r="G56" s="6" t="n"/>
      <c r="H56" s="5" t="inlineStr">
        <is>
          <t>PILASTRO CUSCINETTO</t>
        </is>
      </c>
      <c r="I56" s="12" t="n">
        <v>1</v>
      </c>
    </row>
    <row r="57">
      <c r="A57" s="12" t="n">
        <v>53</v>
      </c>
      <c r="B57" s="5" t="inlineStr">
        <is>
          <t>TTS.PC.001.IPEA140.36</t>
        </is>
      </c>
      <c r="C57" s="5" t="inlineStr">
        <is>
          <t>Pilastro cuscinetto trave IPEA 140 mt.3,60 (alleggerita)</t>
        </is>
      </c>
      <c r="D57" s="5" t="inlineStr">
        <is>
          <t>Carpenteria metallica</t>
        </is>
      </c>
      <c r="E57" s="12" t="inlineStr">
        <is>
          <t>pz</t>
        </is>
      </c>
      <c r="F57" s="10">
        <f>IFERROR(VLOOKUP($B57,'SCHEDA STRUTTURA'!$A$13:$E$413,5,FALSE),"")</f>
        <v/>
      </c>
      <c r="G57" s="6" t="n"/>
      <c r="H57" s="5" t="inlineStr">
        <is>
          <t>PILASTRO CUSCINETTO</t>
        </is>
      </c>
      <c r="I57" s="12" t="n">
        <v>1</v>
      </c>
    </row>
    <row r="58">
      <c r="A58" s="12" t="n">
        <v>54</v>
      </c>
      <c r="B58" s="5" t="inlineStr">
        <is>
          <t>TTS.PC.001.IPE140.37</t>
        </is>
      </c>
      <c r="C58" s="5" t="inlineStr">
        <is>
          <t>Pilastro cuscinetto trave IPE 140 mt.3,70</t>
        </is>
      </c>
      <c r="D58" s="5" t="inlineStr">
        <is>
          <t>Carpenteria metallica</t>
        </is>
      </c>
      <c r="E58" s="12" t="inlineStr">
        <is>
          <t>pz</t>
        </is>
      </c>
      <c r="F58" s="10">
        <f>IFERROR(VLOOKUP($B58,'SCHEDA STRUTTURA'!$A$13:$E$413,5,FALSE),"")</f>
        <v/>
      </c>
      <c r="G58" s="6" t="n"/>
      <c r="H58" s="5" t="inlineStr">
        <is>
          <t>PILASTRO CUSCINETTO</t>
        </is>
      </c>
      <c r="I58" s="12" t="n">
        <v>1</v>
      </c>
    </row>
    <row r="59">
      <c r="A59" s="12" t="n">
        <v>55</v>
      </c>
      <c r="B59" s="5" t="inlineStr">
        <is>
          <t>TTS.PC.001.IPEA140.37</t>
        </is>
      </c>
      <c r="C59" s="5" t="inlineStr">
        <is>
          <t>Pilastro cuscinetto trave IPEA 140 mt.3,70 (alleggerita)</t>
        </is>
      </c>
      <c r="D59" s="5" t="inlineStr">
        <is>
          <t>Carpenteria metallica</t>
        </is>
      </c>
      <c r="E59" s="12" t="inlineStr">
        <is>
          <t>pz</t>
        </is>
      </c>
      <c r="F59" s="10">
        <f>IFERROR(VLOOKUP($B59,'SCHEDA STRUTTURA'!$A$13:$E$413,5,FALSE),"")</f>
        <v/>
      </c>
      <c r="G59" s="6" t="n"/>
      <c r="H59" s="5" t="inlineStr">
        <is>
          <t>PILASTRO CUSCINETTO</t>
        </is>
      </c>
      <c r="I59" s="12" t="n">
        <v>1</v>
      </c>
    </row>
    <row r="60">
      <c r="A60" s="12" t="n">
        <v>56</v>
      </c>
      <c r="B60" s="5" t="inlineStr">
        <is>
          <t>TTS.PC.001.IPE140.38</t>
        </is>
      </c>
      <c r="C60" s="5" t="inlineStr">
        <is>
          <t>Pilastro cuscinetto trave IPE 140 mt.3,80</t>
        </is>
      </c>
      <c r="D60" s="5" t="inlineStr">
        <is>
          <t>Carpenteria metallica</t>
        </is>
      </c>
      <c r="E60" s="12" t="inlineStr">
        <is>
          <t>pz</t>
        </is>
      </c>
      <c r="F60" s="10">
        <f>IFERROR(VLOOKUP($B60,'SCHEDA STRUTTURA'!$A$13:$E$413,5,FALSE),"")</f>
        <v/>
      </c>
      <c r="G60" s="6" t="n"/>
      <c r="H60" s="5" t="inlineStr">
        <is>
          <t>PILASTRO CUSCINETTO</t>
        </is>
      </c>
      <c r="I60" s="12" t="n">
        <v>1</v>
      </c>
    </row>
    <row r="61">
      <c r="A61" s="12" t="n">
        <v>57</v>
      </c>
      <c r="B61" s="5" t="inlineStr">
        <is>
          <t>TTS.PC.001.IPEA140.38</t>
        </is>
      </c>
      <c r="C61" s="5" t="inlineStr">
        <is>
          <t>Pilastro cuscinetto trave IPEA 140 mt.3,80 (alleggerita)</t>
        </is>
      </c>
      <c r="D61" s="5" t="inlineStr">
        <is>
          <t>Carpenteria metallica</t>
        </is>
      </c>
      <c r="E61" s="12" t="inlineStr">
        <is>
          <t>pz</t>
        </is>
      </c>
      <c r="F61" s="10">
        <f>IFERROR(VLOOKUP($B61,'SCHEDA STRUTTURA'!$A$13:$E$413,5,FALSE),"")</f>
        <v/>
      </c>
      <c r="G61" s="6" t="n"/>
      <c r="H61" s="5" t="inlineStr">
        <is>
          <t>PILASTRO CUSCINETTO</t>
        </is>
      </c>
      <c r="I61" s="12" t="n">
        <v>1</v>
      </c>
    </row>
    <row r="62">
      <c r="A62" s="12" t="n">
        <v>58</v>
      </c>
      <c r="B62" s="5" t="inlineStr">
        <is>
          <t>TTS.PC.001.IPE140.39</t>
        </is>
      </c>
      <c r="C62" s="5" t="inlineStr">
        <is>
          <t>Pilastro cuscinetto trave IPE 140 mt.3,90</t>
        </is>
      </c>
      <c r="D62" s="5" t="inlineStr">
        <is>
          <t>Carpenteria metallica</t>
        </is>
      </c>
      <c r="E62" s="12" t="inlineStr">
        <is>
          <t>pz</t>
        </is>
      </c>
      <c r="F62" s="10">
        <f>IFERROR(VLOOKUP($B62,'SCHEDA STRUTTURA'!$A$13:$E$413,5,FALSE),"")</f>
        <v/>
      </c>
      <c r="G62" s="6" t="n"/>
      <c r="H62" s="5" t="inlineStr">
        <is>
          <t>PILASTRO CUSCINETTO</t>
        </is>
      </c>
      <c r="I62" s="12" t="n">
        <v>1</v>
      </c>
    </row>
    <row r="63">
      <c r="A63" s="12" t="n">
        <v>59</v>
      </c>
      <c r="B63" s="5" t="inlineStr">
        <is>
          <t>TTS.PC.001.IPEA140.39</t>
        </is>
      </c>
      <c r="C63" s="5" t="inlineStr">
        <is>
          <t>Pilastro cuscinetto trave IPEA 140 mt.3,90 (alleggerita)</t>
        </is>
      </c>
      <c r="D63" s="5" t="inlineStr">
        <is>
          <t>Carpenteria metallica</t>
        </is>
      </c>
      <c r="E63" s="12" t="inlineStr">
        <is>
          <t>pz</t>
        </is>
      </c>
      <c r="F63" s="10">
        <f>IFERROR(VLOOKUP($B63,'SCHEDA STRUTTURA'!$A$13:$E$413,5,FALSE),"")</f>
        <v/>
      </c>
      <c r="G63" s="6" t="n"/>
      <c r="H63" s="5" t="inlineStr">
        <is>
          <t>PILASTRO CUSCINETTO</t>
        </is>
      </c>
      <c r="I63" s="12" t="n">
        <v>1</v>
      </c>
    </row>
    <row r="64">
      <c r="A64" s="12" t="n">
        <v>60</v>
      </c>
      <c r="B64" s="5" t="inlineStr">
        <is>
          <t>TTS.PC.001.IPE140.40</t>
        </is>
      </c>
      <c r="C64" s="5" t="inlineStr">
        <is>
          <t>Pilastro cuscinetto trave IPE 140 mt.4,00</t>
        </is>
      </c>
      <c r="D64" s="5" t="inlineStr">
        <is>
          <t>Carpenteria metallica</t>
        </is>
      </c>
      <c r="E64" s="12" t="inlineStr">
        <is>
          <t>pz</t>
        </is>
      </c>
      <c r="F64" s="10">
        <f>IFERROR(VLOOKUP($B64,'SCHEDA STRUTTURA'!$A$13:$E$413,5,FALSE),"")</f>
        <v/>
      </c>
      <c r="G64" s="6" t="n"/>
      <c r="H64" s="5" t="inlineStr">
        <is>
          <t>PILASTRO CUSCINETTO</t>
        </is>
      </c>
      <c r="I64" s="12" t="n">
        <v>1</v>
      </c>
    </row>
    <row r="65">
      <c r="A65" s="12" t="n">
        <v>61</v>
      </c>
      <c r="B65" s="5" t="inlineStr">
        <is>
          <t>TTS.PC.001.IPEA140.40</t>
        </is>
      </c>
      <c r="C65" s="5" t="inlineStr">
        <is>
          <t>Pilastro cuscinetto trave IPEA 140 mt.4,00 (alleggerita)</t>
        </is>
      </c>
      <c r="D65" s="5" t="inlineStr">
        <is>
          <t>Carpenteria metallica</t>
        </is>
      </c>
      <c r="E65" s="12" t="inlineStr">
        <is>
          <t>pz</t>
        </is>
      </c>
      <c r="F65" s="10">
        <f>IFERROR(VLOOKUP($B65,'SCHEDA STRUTTURA'!$A$13:$E$413,5,FALSE),"")</f>
        <v/>
      </c>
      <c r="G65" s="6" t="n"/>
      <c r="H65" s="5" t="inlineStr">
        <is>
          <t>PILASTRO CUSCINETTO</t>
        </is>
      </c>
      <c r="I65" s="12" t="n">
        <v>1</v>
      </c>
    </row>
    <row r="66">
      <c r="A66" s="12" t="n">
        <v>62</v>
      </c>
      <c r="B66" s="5" t="inlineStr">
        <is>
          <t>TTS.PC.001.IPE140.41</t>
        </is>
      </c>
      <c r="C66" s="5" t="inlineStr">
        <is>
          <t>Pilastro cuscinetto trave IPE 140 mt.4,10</t>
        </is>
      </c>
      <c r="D66" s="5" t="inlineStr">
        <is>
          <t>Carpenteria metallica</t>
        </is>
      </c>
      <c r="E66" s="12" t="inlineStr">
        <is>
          <t>pz</t>
        </is>
      </c>
      <c r="F66" s="10">
        <f>IFERROR(VLOOKUP($B66,'SCHEDA STRUTTURA'!$A$13:$E$413,5,FALSE),"")</f>
        <v/>
      </c>
      <c r="G66" s="6" t="n"/>
      <c r="H66" s="5" t="inlineStr">
        <is>
          <t>PILASTRO CUSCINETTO</t>
        </is>
      </c>
      <c r="I66" s="12" t="n">
        <v>1</v>
      </c>
    </row>
    <row r="67">
      <c r="A67" s="12" t="n">
        <v>63</v>
      </c>
      <c r="B67" s="5" t="inlineStr">
        <is>
          <t>TTS.PC.001.IPEA140.41</t>
        </is>
      </c>
      <c r="C67" s="5" t="inlineStr">
        <is>
          <t>Pilastro cuscinetto trave IPEA 140 mt.4,10 (alleggerita)</t>
        </is>
      </c>
      <c r="D67" s="5" t="inlineStr">
        <is>
          <t>Carpenteria metallica</t>
        </is>
      </c>
      <c r="E67" s="12" t="inlineStr">
        <is>
          <t>pz</t>
        </is>
      </c>
      <c r="F67" s="10">
        <f>IFERROR(VLOOKUP($B67,'SCHEDA STRUTTURA'!$A$13:$E$413,5,FALSE),"")</f>
        <v/>
      </c>
      <c r="G67" s="6" t="n"/>
      <c r="H67" s="5" t="inlineStr">
        <is>
          <t>PILASTRO CUSCINETTO</t>
        </is>
      </c>
      <c r="I67" s="12" t="n">
        <v>1</v>
      </c>
    </row>
    <row r="68">
      <c r="A68" s="12" t="n">
        <v>64</v>
      </c>
      <c r="B68" s="5" t="inlineStr">
        <is>
          <t>TTS.PC.001.IPE140.42</t>
        </is>
      </c>
      <c r="C68" s="5" t="inlineStr">
        <is>
          <t>Pilastro cuscinetto trave IPE 140 mt.4,20</t>
        </is>
      </c>
      <c r="D68" s="5" t="inlineStr">
        <is>
          <t>Carpenteria metallica</t>
        </is>
      </c>
      <c r="E68" s="12" t="inlineStr">
        <is>
          <t>pz</t>
        </is>
      </c>
      <c r="F68" s="10">
        <f>IFERROR(VLOOKUP($B68,'SCHEDA STRUTTURA'!$A$13:$E$413,5,FALSE),"")</f>
        <v/>
      </c>
      <c r="G68" s="6" t="n"/>
      <c r="H68" s="5" t="inlineStr">
        <is>
          <t>PILASTRO CUSCINETTO</t>
        </is>
      </c>
      <c r="I68" s="12" t="n">
        <v>1</v>
      </c>
    </row>
    <row r="69">
      <c r="A69" s="12" t="n">
        <v>65</v>
      </c>
      <c r="B69" s="5" t="inlineStr">
        <is>
          <t>TTS.PC.001.IPEA140.42</t>
        </is>
      </c>
      <c r="C69" s="5" t="inlineStr">
        <is>
          <t>Pilastro cuscinetto trave IPEA 140 mt.4,20 (alleggerita)</t>
        </is>
      </c>
      <c r="D69" s="5" t="inlineStr">
        <is>
          <t>Carpenteria metallica</t>
        </is>
      </c>
      <c r="E69" s="12" t="inlineStr">
        <is>
          <t>pz</t>
        </is>
      </c>
      <c r="F69" s="10">
        <f>IFERROR(VLOOKUP($B69,'SCHEDA STRUTTURA'!$A$13:$E$413,5,FALSE),"")</f>
        <v/>
      </c>
      <c r="G69" s="6" t="n"/>
      <c r="H69" s="5" t="inlineStr">
        <is>
          <t>PILASTRO CUSCINETTO</t>
        </is>
      </c>
      <c r="I69" s="12" t="n">
        <v>1</v>
      </c>
    </row>
    <row r="70">
      <c r="A70" s="12" t="n">
        <v>66</v>
      </c>
      <c r="B70" s="5" t="inlineStr">
        <is>
          <t>TTS.PC.001.IPE140.43</t>
        </is>
      </c>
      <c r="C70" s="5" t="inlineStr">
        <is>
          <t>Pilastro cuscinetto trave IPE 140 mt.4,30</t>
        </is>
      </c>
      <c r="D70" s="5" t="inlineStr">
        <is>
          <t>Carpenteria metallica</t>
        </is>
      </c>
      <c r="E70" s="12" t="inlineStr">
        <is>
          <t>pz</t>
        </is>
      </c>
      <c r="F70" s="10">
        <f>IFERROR(VLOOKUP($B70,'SCHEDA STRUTTURA'!$A$13:$E$413,5,FALSE),"")</f>
        <v/>
      </c>
      <c r="G70" s="6" t="n"/>
      <c r="H70" s="5" t="inlineStr">
        <is>
          <t>PILASTRO CUSCINETTO</t>
        </is>
      </c>
      <c r="I70" s="12" t="n">
        <v>1</v>
      </c>
    </row>
    <row r="71">
      <c r="A71" s="12" t="n">
        <v>67</v>
      </c>
      <c r="B71" s="5" t="inlineStr">
        <is>
          <t>TTS.PC.001.IPEA140.43</t>
        </is>
      </c>
      <c r="C71" s="5" t="inlineStr">
        <is>
          <t>Pilastro cuscinetto trave IPEA 140 mt.4,30 (alleggerita)</t>
        </is>
      </c>
      <c r="D71" s="5" t="inlineStr">
        <is>
          <t>Carpenteria metallica</t>
        </is>
      </c>
      <c r="E71" s="12" t="inlineStr">
        <is>
          <t>pz</t>
        </is>
      </c>
      <c r="F71" s="10">
        <f>IFERROR(VLOOKUP($B71,'SCHEDA STRUTTURA'!$A$13:$E$413,5,FALSE),"")</f>
        <v/>
      </c>
      <c r="G71" s="6" t="n"/>
      <c r="H71" s="5" t="inlineStr">
        <is>
          <t>PILASTRO CUSCINETTO</t>
        </is>
      </c>
      <c r="I71" s="12" t="n">
        <v>1</v>
      </c>
    </row>
    <row r="72">
      <c r="A72" s="12" t="n">
        <v>68</v>
      </c>
      <c r="B72" s="5" t="inlineStr">
        <is>
          <t>TTS.PC.001.IPE140.44</t>
        </is>
      </c>
      <c r="C72" s="5" t="inlineStr">
        <is>
          <t>Pilastro cuscinetto trave IPE 140 mt.4,40</t>
        </is>
      </c>
      <c r="D72" s="5" t="inlineStr">
        <is>
          <t>Carpenteria metallica</t>
        </is>
      </c>
      <c r="E72" s="12" t="inlineStr">
        <is>
          <t>pz</t>
        </is>
      </c>
      <c r="F72" s="10">
        <f>IFERROR(VLOOKUP($B72,'SCHEDA STRUTTURA'!$A$13:$E$413,5,FALSE),"")</f>
        <v/>
      </c>
      <c r="G72" s="6" t="n"/>
      <c r="H72" s="5" t="inlineStr">
        <is>
          <t>PILASTRO CUSCINETTO</t>
        </is>
      </c>
      <c r="I72" s="12" t="n">
        <v>1</v>
      </c>
    </row>
    <row r="73">
      <c r="A73" s="12" t="n">
        <v>69</v>
      </c>
      <c r="B73" s="5" t="inlineStr">
        <is>
          <t>TTS.PC.001.IPEA140.44</t>
        </is>
      </c>
      <c r="C73" s="5" t="inlineStr">
        <is>
          <t>Pilastro cuscinetto trave IPEA 140 mt.4,40 (alleggerita)</t>
        </is>
      </c>
      <c r="D73" s="5" t="inlineStr">
        <is>
          <t>Carpenteria metallica</t>
        </is>
      </c>
      <c r="E73" s="12" t="inlineStr">
        <is>
          <t>pz</t>
        </is>
      </c>
      <c r="F73" s="10">
        <f>IFERROR(VLOOKUP($B73,'SCHEDA STRUTTURA'!$A$13:$E$413,5,FALSE),"")</f>
        <v/>
      </c>
      <c r="G73" s="6" t="n"/>
      <c r="H73" s="5" t="inlineStr">
        <is>
          <t>PILASTRO CUSCINETTO</t>
        </is>
      </c>
      <c r="I73" s="12" t="n">
        <v>1</v>
      </c>
    </row>
    <row r="74">
      <c r="A74" s="12" t="n">
        <v>70</v>
      </c>
      <c r="B74" s="5" t="inlineStr">
        <is>
          <t>TTS.PC.001.IPE140.45</t>
        </is>
      </c>
      <c r="C74" s="5" t="inlineStr">
        <is>
          <t>Pilastro cuscinetto trave IPE 140 mt.4,50</t>
        </is>
      </c>
      <c r="D74" s="5" t="inlineStr">
        <is>
          <t>Carpenteria metallica</t>
        </is>
      </c>
      <c r="E74" s="12" t="inlineStr">
        <is>
          <t>pz</t>
        </is>
      </c>
      <c r="F74" s="10">
        <f>IFERROR(VLOOKUP($B74,'SCHEDA STRUTTURA'!$A$13:$E$413,5,FALSE),"")</f>
        <v/>
      </c>
      <c r="G74" s="6" t="n"/>
      <c r="H74" s="5" t="inlineStr">
        <is>
          <t>PILASTRO CUSCINETTO</t>
        </is>
      </c>
      <c r="I74" s="12" t="n">
        <v>1</v>
      </c>
    </row>
    <row r="75">
      <c r="A75" s="12" t="n">
        <v>71</v>
      </c>
      <c r="B75" s="5" t="inlineStr">
        <is>
          <t>TTS.PC.001.IPEA140.45</t>
        </is>
      </c>
      <c r="C75" s="5" t="inlineStr">
        <is>
          <t>Pilastro cuscinetto trave IPEA 140 mt.4,50 (alleggerita)</t>
        </is>
      </c>
      <c r="D75" s="5" t="inlineStr">
        <is>
          <t>Carpenteria metallica</t>
        </is>
      </c>
      <c r="E75" s="12" t="inlineStr">
        <is>
          <t>pz</t>
        </is>
      </c>
      <c r="F75" s="10">
        <f>IFERROR(VLOOKUP($B75,'SCHEDA STRUTTURA'!$A$13:$E$413,5,FALSE),"")</f>
        <v/>
      </c>
      <c r="G75" s="6" t="n"/>
      <c r="H75" s="5" t="inlineStr">
        <is>
          <t>PILASTRO CUSCINETTO</t>
        </is>
      </c>
      <c r="I75" s="12" t="n">
        <v>1</v>
      </c>
    </row>
    <row r="76">
      <c r="A76" s="12" t="n">
        <v>72</v>
      </c>
      <c r="B76" s="5" t="inlineStr">
        <is>
          <t>TTS.PC.001.IPE140.23.FI</t>
        </is>
      </c>
      <c r="C76" s="5" t="inlineStr">
        <is>
          <t>Pilastro cuscinetto trave ipe140 x mt. 2,30 con foratura alloggiamento inverter</t>
        </is>
      </c>
      <c r="D76" s="5" t="inlineStr">
        <is>
          <t>Carpenteria metallica</t>
        </is>
      </c>
      <c r="E76" s="12" t="inlineStr">
        <is>
          <t>pz</t>
        </is>
      </c>
      <c r="F76" s="10">
        <f>IFERROR(VLOOKUP($B76,'SCHEDA STRUTTURA'!$A$13:$E$413,5,FALSE),"")</f>
        <v/>
      </c>
      <c r="G76" s="6" t="n"/>
      <c r="H76" s="5" t="inlineStr">
        <is>
          <t>kit quadri inverter</t>
        </is>
      </c>
      <c r="I76" s="12" t="n">
        <v>1</v>
      </c>
    </row>
    <row r="77">
      <c r="A77" s="12" t="n">
        <v>73</v>
      </c>
      <c r="B77" s="5" t="inlineStr">
        <is>
          <t>TTS.PC.001.IPEA140.23.FI</t>
        </is>
      </c>
      <c r="C77" s="5" t="inlineStr">
        <is>
          <t>Pilastro cuscinetto trave ipea140 x mt. 2,30 con foratura alloggiamento inverter (alleggerita)</t>
        </is>
      </c>
      <c r="D77" s="5" t="inlineStr">
        <is>
          <t>Carpenteria metallica</t>
        </is>
      </c>
      <c r="E77" s="12" t="inlineStr">
        <is>
          <t>pz</t>
        </is>
      </c>
      <c r="F77" s="10">
        <f>IFERROR(VLOOKUP($B77,'SCHEDA STRUTTURA'!$A$13:$E$413,5,FALSE),"")</f>
        <v/>
      </c>
      <c r="G77" s="6" t="n"/>
      <c r="H77" s="5" t="inlineStr">
        <is>
          <t>kit quadri inverter</t>
        </is>
      </c>
      <c r="I77" s="12" t="n">
        <v>1</v>
      </c>
    </row>
    <row r="78">
      <c r="A78" s="12" t="n">
        <v>74</v>
      </c>
      <c r="B78" s="5" t="inlineStr">
        <is>
          <t>TTS.PC.001.IPE140.23.FQA</t>
        </is>
      </c>
      <c r="C78" s="5" t="inlineStr">
        <is>
          <t>Pilastro cuscinetto trave ipe140 x mt. 2,30 con foratura alloggiamento quadro area</t>
        </is>
      </c>
      <c r="D78" s="5" t="inlineStr">
        <is>
          <t>Carpenteria metallica</t>
        </is>
      </c>
      <c r="E78" s="12" t="inlineStr">
        <is>
          <t>pz</t>
        </is>
      </c>
      <c r="F78" s="10">
        <f>IFERROR(VLOOKUP($B78,'SCHEDA STRUTTURA'!$A$13:$E$413,5,FALSE),"")</f>
        <v/>
      </c>
      <c r="G78" s="6" t="n"/>
      <c r="H78" s="5" t="inlineStr">
        <is>
          <t>kit quadri area</t>
        </is>
      </c>
      <c r="I78" s="12" t="n">
        <v>1</v>
      </c>
    </row>
    <row r="79">
      <c r="A79" s="12" t="n">
        <v>75</v>
      </c>
      <c r="B79" s="5" t="inlineStr">
        <is>
          <t>TTS.PC.001.IPEA140.23.FQA</t>
        </is>
      </c>
      <c r="C79" s="5" t="inlineStr">
        <is>
          <t>Pilastro cuscinetto trave ipea140 x mt. 2,30 con foratura alloggiamento quadro area (alleggerita)</t>
        </is>
      </c>
      <c r="D79" s="5" t="inlineStr">
        <is>
          <t>Carpenteria metallica</t>
        </is>
      </c>
      <c r="E79" s="12" t="inlineStr">
        <is>
          <t>pz</t>
        </is>
      </c>
      <c r="F79" s="10">
        <f>IFERROR(VLOOKUP($B79,'SCHEDA STRUTTURA'!$A$13:$E$413,5,FALSE),"")</f>
        <v/>
      </c>
      <c r="G79" s="6" t="n"/>
      <c r="H79" s="5" t="inlineStr">
        <is>
          <t>kit quadri area</t>
        </is>
      </c>
      <c r="I79" s="12" t="n">
        <v>1</v>
      </c>
    </row>
    <row r="80">
      <c r="A80" s="12" t="n">
        <v>76</v>
      </c>
      <c r="B80" s="5" t="inlineStr">
        <is>
          <t>TTS.PC.002</t>
        </is>
      </c>
      <c r="C80" s="5" t="inlineStr">
        <is>
          <t>Supporto laterale pilastro cuscinetto</t>
        </is>
      </c>
      <c r="D80" s="5" t="inlineStr">
        <is>
          <t>Carpenteria metallica</t>
        </is>
      </c>
      <c r="E80" s="12" t="inlineStr">
        <is>
          <t>pz</t>
        </is>
      </c>
      <c r="F80" s="10" t="n"/>
      <c r="G80" s="6" t="n"/>
      <c r="H80" s="5" t="inlineStr">
        <is>
          <t>PILASTRO CUSCINETTO</t>
        </is>
      </c>
      <c r="I80" s="12" t="n">
        <v>1</v>
      </c>
    </row>
    <row r="81">
      <c r="A81" s="12" t="n">
        <v>77</v>
      </c>
      <c r="B81" s="5" t="inlineStr">
        <is>
          <t>TTS.PC.002.IPE140</t>
        </is>
      </c>
      <c r="C81" s="5" t="inlineStr">
        <is>
          <t>Supporto laterale testa cuscinetto</t>
        </is>
      </c>
      <c r="D81" s="5" t="inlineStr">
        <is>
          <t>Carpenteria metallica</t>
        </is>
      </c>
      <c r="E81" s="12" t="inlineStr">
        <is>
          <t>pz</t>
        </is>
      </c>
      <c r="F81" s="10" t="n"/>
      <c r="G81" s="6" t="n"/>
      <c r="H81" s="5" t="inlineStr">
        <is>
          <t>PILASTRO CUSCINETTO</t>
        </is>
      </c>
      <c r="I81" s="12" t="n">
        <v>1</v>
      </c>
    </row>
    <row r="82">
      <c r="A82" s="12" t="n">
        <v>78</v>
      </c>
      <c r="B82" s="5" t="inlineStr">
        <is>
          <t>TTS.PC.002.IPEA140</t>
        </is>
      </c>
      <c r="C82" s="5" t="inlineStr">
        <is>
          <t>Supporto laterale testa cuscinetto (alleggerita)</t>
        </is>
      </c>
      <c r="D82" s="5" t="inlineStr">
        <is>
          <t>Carpenteria metallica</t>
        </is>
      </c>
      <c r="E82" s="12" t="inlineStr">
        <is>
          <t>pz</t>
        </is>
      </c>
      <c r="F82" s="10" t="n"/>
      <c r="G82" s="6" t="n"/>
      <c r="H82" s="5" t="inlineStr">
        <is>
          <t>PILASTRO CUSCINETTO</t>
        </is>
      </c>
      <c r="I82" s="12" t="n">
        <v>1</v>
      </c>
    </row>
    <row r="83">
      <c r="A83" s="12" t="n">
        <v>79</v>
      </c>
      <c r="B83" s="5" t="inlineStr">
        <is>
          <t>TTS.PC.003.IPE140</t>
        </is>
      </c>
      <c r="C83" s="5" t="inlineStr">
        <is>
          <t>Supporto testa cuscinetto</t>
        </is>
      </c>
      <c r="D83" s="5" t="inlineStr">
        <is>
          <t>Carpenteria metallica</t>
        </is>
      </c>
      <c r="E83" s="12" t="inlineStr">
        <is>
          <t>pz</t>
        </is>
      </c>
      <c r="F83" s="10" t="n"/>
      <c r="G83" s="6" t="n"/>
      <c r="H83" s="5" t="inlineStr">
        <is>
          <t>PILASTRO CUSCINETTO</t>
        </is>
      </c>
      <c r="I83" s="12" t="n">
        <v>1</v>
      </c>
    </row>
    <row r="84">
      <c r="A84" s="12" t="n">
        <v>80</v>
      </c>
      <c r="B84" s="5" t="inlineStr">
        <is>
          <t>TTS.PC.003.IPEA140</t>
        </is>
      </c>
      <c r="C84" s="5" t="inlineStr">
        <is>
          <t>Supporto testa cuscinetto (alleggerita)</t>
        </is>
      </c>
      <c r="D84" s="5" t="inlineStr">
        <is>
          <t>Carpenteria metallica</t>
        </is>
      </c>
      <c r="E84" s="12" t="inlineStr">
        <is>
          <t>pz</t>
        </is>
      </c>
      <c r="F84" s="10" t="n"/>
      <c r="G84" s="6" t="n"/>
      <c r="H84" s="5" t="inlineStr">
        <is>
          <t>PILASTRO CUSCINETTO</t>
        </is>
      </c>
      <c r="I84" s="12" t="n">
        <v>1</v>
      </c>
    </row>
    <row r="85">
      <c r="A85" s="12" t="n">
        <v>81</v>
      </c>
      <c r="B85" s="5" t="inlineStr">
        <is>
          <t>TTS.PC.2011.1076</t>
        </is>
      </c>
      <c r="C85" s="5" t="inlineStr">
        <is>
          <t>Angolare 40x40x4 lungo 1076 mm. supporto inferiore</t>
        </is>
      </c>
      <c r="D85" s="5" t="inlineStr">
        <is>
          <t>Carpenteria metallica</t>
        </is>
      </c>
      <c r="E85" s="12" t="inlineStr">
        <is>
          <t>pz</t>
        </is>
      </c>
      <c r="F85" s="10" t="n"/>
      <c r="G85" s="6" t="n"/>
      <c r="H85" s="5" t="inlineStr">
        <is>
          <t>kit quadri inverter</t>
        </is>
      </c>
      <c r="I85" s="12" t="n">
        <v>1</v>
      </c>
    </row>
    <row r="86">
      <c r="A86" s="12" t="n">
        <v>82</v>
      </c>
      <c r="B86" s="5" t="inlineStr">
        <is>
          <t>TTS.PC.2012.1076</t>
        </is>
      </c>
      <c r="C86" s="5" t="inlineStr">
        <is>
          <t>Angolare 40x40x4 lungo1076 mm. supporto superiore</t>
        </is>
      </c>
      <c r="D86" s="5" t="inlineStr">
        <is>
          <t>Carpenteria metallica</t>
        </is>
      </c>
      <c r="E86" s="12" t="inlineStr">
        <is>
          <t>pz</t>
        </is>
      </c>
      <c r="F86" s="10" t="n"/>
      <c r="G86" s="6" t="n"/>
      <c r="H86" s="5" t="inlineStr">
        <is>
          <t>kit quadri inverter</t>
        </is>
      </c>
      <c r="I86" s="12" t="n">
        <v>1</v>
      </c>
    </row>
    <row r="87">
      <c r="A87" s="12" t="n">
        <v>83</v>
      </c>
      <c r="B87" s="5" t="inlineStr">
        <is>
          <t>TTS.PC.2013</t>
        </is>
      </c>
      <c r="C87" s="5" t="inlineStr">
        <is>
          <t>Palo MAX lungo mt.2,040</t>
        </is>
      </c>
      <c r="D87" s="5" t="inlineStr">
        <is>
          <t>Carpenteria metallica</t>
        </is>
      </c>
      <c r="E87" s="12" t="inlineStr">
        <is>
          <t>pz</t>
        </is>
      </c>
      <c r="F87" s="10" t="n"/>
      <c r="G87" s="6" t="n"/>
      <c r="H87" s="5" t="inlineStr">
        <is>
          <t>kit quadri inverter</t>
        </is>
      </c>
      <c r="I87" s="12" t="n">
        <v>1</v>
      </c>
    </row>
    <row r="88">
      <c r="A88" s="12" t="n">
        <v>84</v>
      </c>
      <c r="B88" s="5" t="inlineStr">
        <is>
          <t>TTS.PC.3011</t>
        </is>
      </c>
      <c r="C88" s="5" t="inlineStr">
        <is>
          <t>Angolare 40x40x4 lungo 869 mm. superiore</t>
        </is>
      </c>
      <c r="D88" s="5" t="inlineStr">
        <is>
          <t>Carpenteria metallica</t>
        </is>
      </c>
      <c r="E88" s="12" t="inlineStr">
        <is>
          <t>pz</t>
        </is>
      </c>
      <c r="F88" s="10" t="n"/>
      <c r="G88" s="6" t="n"/>
      <c r="H88" s="5" t="inlineStr">
        <is>
          <t>kit quadri area</t>
        </is>
      </c>
      <c r="I88" s="12" t="n">
        <v>1</v>
      </c>
    </row>
    <row r="89">
      <c r="A89" s="12" t="n">
        <v>85</v>
      </c>
      <c r="B89" s="5" t="inlineStr">
        <is>
          <t>TTS.PC.3012</t>
        </is>
      </c>
      <c r="C89" s="5" t="inlineStr">
        <is>
          <t>Angolare 40x40x4 lungo 869 mm. inferiore</t>
        </is>
      </c>
      <c r="D89" s="5" t="inlineStr">
        <is>
          <t>Carpenteria metallica</t>
        </is>
      </c>
      <c r="E89" s="12" t="inlineStr">
        <is>
          <t>pz</t>
        </is>
      </c>
      <c r="F89" s="10" t="n"/>
      <c r="G89" s="6" t="n"/>
      <c r="H89" s="5" t="inlineStr">
        <is>
          <t>kit quadri area</t>
        </is>
      </c>
      <c r="I89" s="12" t="n">
        <v>1</v>
      </c>
    </row>
    <row r="90">
      <c r="A90" s="12" t="n">
        <v>86</v>
      </c>
      <c r="B90" s="5" t="inlineStr">
        <is>
          <t>TTS.PC.3013</t>
        </is>
      </c>
      <c r="C90" s="5" t="inlineStr">
        <is>
          <t>Palo MAX lungo mt.2,150</t>
        </is>
      </c>
      <c r="D90" s="5" t="inlineStr">
        <is>
          <t>Carpenteria metallica</t>
        </is>
      </c>
      <c r="E90" s="12" t="inlineStr">
        <is>
          <t>pz</t>
        </is>
      </c>
      <c r="F90" s="10" t="n"/>
      <c r="G90" s="6" t="n"/>
      <c r="H90" s="5" t="inlineStr">
        <is>
          <t>kit quadri area</t>
        </is>
      </c>
      <c r="I90" s="12" t="n">
        <v>1</v>
      </c>
    </row>
    <row r="91">
      <c r="A91" s="12" t="n">
        <v>87</v>
      </c>
      <c r="B91" s="5" t="inlineStr">
        <is>
          <t>TTS.PF.001.IPE140.30</t>
        </is>
      </c>
      <c r="C91" s="5" t="inlineStr">
        <is>
          <t>Pilastro fondazione trave IPE140 mt.3,00</t>
        </is>
      </c>
      <c r="D91" s="5" t="inlineStr">
        <is>
          <t>Carpenteria metallica</t>
        </is>
      </c>
      <c r="E91" s="12" t="inlineStr">
        <is>
          <t>pz</t>
        </is>
      </c>
      <c r="F91" s="10">
        <f>IFERROR(VLOOKUP($B91,'SCHEDA STRUTTURA'!$A$13:$E$413,5,FALSE),"")</f>
        <v/>
      </c>
      <c r="G91" s="6" t="n"/>
      <c r="H91" s="5" t="inlineStr">
        <is>
          <t>PILASTRO MOTORE, PILASTRO CUSCINETTO</t>
        </is>
      </c>
      <c r="I91" s="12" t="n">
        <v>2</v>
      </c>
    </row>
    <row r="92">
      <c r="A92" s="12" t="n">
        <v>88</v>
      </c>
      <c r="B92" s="5" t="inlineStr">
        <is>
          <t>TTS.PF.001.IPEA140.30</t>
        </is>
      </c>
      <c r="C92" s="5" t="inlineStr">
        <is>
          <t>Pilastro fondazione trave IPEA140 mt.3,00 (alleggerita)</t>
        </is>
      </c>
      <c r="D92" s="5" t="inlineStr">
        <is>
          <t>Carpenteria metallica</t>
        </is>
      </c>
      <c r="E92" s="12" t="inlineStr">
        <is>
          <t>pz</t>
        </is>
      </c>
      <c r="F92" s="10">
        <f>IFERROR(VLOOKUP($B92,'SCHEDA STRUTTURA'!$A$13:$E$413,5,FALSE),"")</f>
        <v/>
      </c>
      <c r="G92" s="6" t="n"/>
      <c r="H92" s="5" t="inlineStr">
        <is>
          <t>PILASTRO MOTORE</t>
        </is>
      </c>
      <c r="I92" s="12" t="n">
        <v>1</v>
      </c>
    </row>
    <row r="93">
      <c r="A93" s="12" t="n">
        <v>89</v>
      </c>
      <c r="B93" s="5" t="inlineStr">
        <is>
          <t>TTS.PF.001.IPE140.26</t>
        </is>
      </c>
      <c r="C93" s="5" t="inlineStr">
        <is>
          <t>Pilastro fondazione trave IPE140 mt.2,60</t>
        </is>
      </c>
      <c r="D93" s="5" t="inlineStr">
        <is>
          <t>Carpenteria metallica</t>
        </is>
      </c>
      <c r="E93" s="12" t="inlineStr">
        <is>
          <t>pz</t>
        </is>
      </c>
      <c r="F93" s="10">
        <f>IFERROR(VLOOKUP($B93,'SCHEDA STRUTTURA'!$A$13:$E$413,5,FALSE),"")</f>
        <v/>
      </c>
      <c r="G93" s="6" t="n"/>
      <c r="H93" s="5" t="inlineStr">
        <is>
          <t>PILASTRO MOTORE</t>
        </is>
      </c>
      <c r="I93" s="12" t="n">
        <v>1</v>
      </c>
    </row>
    <row r="94">
      <c r="A94" s="12" t="n">
        <v>90</v>
      </c>
      <c r="B94" s="5" t="inlineStr">
        <is>
          <t>TTS.PF.001.IPEA140.26</t>
        </is>
      </c>
      <c r="C94" s="5" t="inlineStr">
        <is>
          <t>Pilastro fondazione trave IPEA140 mt.2,60 (alleggerita)</t>
        </is>
      </c>
      <c r="D94" s="5" t="inlineStr">
        <is>
          <t>Carpenteria metallica</t>
        </is>
      </c>
      <c r="E94" s="12" t="inlineStr">
        <is>
          <t>pz</t>
        </is>
      </c>
      <c r="F94" s="10">
        <f>IFERROR(VLOOKUP($B94,'SCHEDA STRUTTURA'!$A$13:$E$413,5,FALSE),"")</f>
        <v/>
      </c>
      <c r="G94" s="6" t="n"/>
      <c r="H94" s="5" t="inlineStr">
        <is>
          <t>PILASTRO MOTORE</t>
        </is>
      </c>
      <c r="I94" s="12" t="n">
        <v>1</v>
      </c>
    </row>
    <row r="95">
      <c r="A95" s="12" t="n">
        <v>91</v>
      </c>
      <c r="B95" s="5" t="inlineStr">
        <is>
          <t>TTS.PF.001.IPE140.27</t>
        </is>
      </c>
      <c r="C95" s="5" t="inlineStr">
        <is>
          <t>Pilastro fondazione trave IPE140 mt.2,70</t>
        </is>
      </c>
      <c r="D95" s="5" t="inlineStr">
        <is>
          <t>Carpenteria metallica</t>
        </is>
      </c>
      <c r="E95" s="12" t="inlineStr">
        <is>
          <t>pz</t>
        </is>
      </c>
      <c r="F95" s="10">
        <f>IFERROR(VLOOKUP($B95,'SCHEDA STRUTTURA'!$A$13:$E$413,5,FALSE),"")</f>
        <v/>
      </c>
      <c r="G95" s="6" t="n"/>
      <c r="H95" s="5" t="inlineStr">
        <is>
          <t>PILASTRO MOTORE</t>
        </is>
      </c>
      <c r="I95" s="12" t="n">
        <v>1</v>
      </c>
    </row>
    <row r="96">
      <c r="A96" s="12" t="n">
        <v>92</v>
      </c>
      <c r="B96" s="5" t="inlineStr">
        <is>
          <t>TTS.PF.001.IPEA140.27</t>
        </is>
      </c>
      <c r="C96" s="5" t="inlineStr">
        <is>
          <t>Pilastro fondazione trave IPEA140 mt.2,70 (alleggerita)</t>
        </is>
      </c>
      <c r="D96" s="5" t="inlineStr">
        <is>
          <t>Carpenteria metallica</t>
        </is>
      </c>
      <c r="E96" s="12" t="inlineStr">
        <is>
          <t>pz</t>
        </is>
      </c>
      <c r="F96" s="10">
        <f>IFERROR(VLOOKUP($B96,'SCHEDA STRUTTURA'!$A$13:$E$413,5,FALSE),"")</f>
        <v/>
      </c>
      <c r="G96" s="6" t="n"/>
      <c r="H96" s="5" t="inlineStr">
        <is>
          <t>PILASTRO MOTORE</t>
        </is>
      </c>
      <c r="I96" s="12" t="n">
        <v>1</v>
      </c>
    </row>
    <row r="97">
      <c r="A97" s="12" t="n">
        <v>93</v>
      </c>
      <c r="B97" s="5" t="inlineStr">
        <is>
          <t>TTS.PF.001.IPE140.28</t>
        </is>
      </c>
      <c r="C97" s="5" t="inlineStr">
        <is>
          <t>Pilastro fondazione trave IPE140 mt.2,80</t>
        </is>
      </c>
      <c r="D97" s="5" t="inlineStr">
        <is>
          <t>Carpenteria metallica</t>
        </is>
      </c>
      <c r="E97" s="12" t="inlineStr">
        <is>
          <t>pz</t>
        </is>
      </c>
      <c r="F97" s="10">
        <f>IFERROR(VLOOKUP($B97,'SCHEDA STRUTTURA'!$A$13:$E$413,5,FALSE),"")</f>
        <v/>
      </c>
      <c r="G97" s="6" t="n"/>
      <c r="H97" s="5" t="inlineStr">
        <is>
          <t>PILASTRO MOTORE</t>
        </is>
      </c>
      <c r="I97" s="12" t="n">
        <v>1</v>
      </c>
    </row>
    <row r="98">
      <c r="A98" s="12" t="n">
        <v>94</v>
      </c>
      <c r="B98" s="5" t="inlineStr">
        <is>
          <t>TTS.PF.001.IPEA140.28</t>
        </is>
      </c>
      <c r="C98" s="5" t="inlineStr">
        <is>
          <t>Pilastro fondazione trave IPEA140 mt.2,80 (alleggerita)</t>
        </is>
      </c>
      <c r="D98" s="5" t="inlineStr">
        <is>
          <t>Carpenteria metallica</t>
        </is>
      </c>
      <c r="E98" s="12" t="inlineStr">
        <is>
          <t>pz</t>
        </is>
      </c>
      <c r="F98" s="10">
        <f>IFERROR(VLOOKUP($B98,'SCHEDA STRUTTURA'!$A$13:$E$413,5,FALSE),"")</f>
        <v/>
      </c>
      <c r="G98" s="6" t="n"/>
      <c r="H98" s="5" t="inlineStr">
        <is>
          <t>PILASTRO MOTORE</t>
        </is>
      </c>
      <c r="I98" s="12" t="n">
        <v>1</v>
      </c>
    </row>
    <row r="99">
      <c r="A99" s="12" t="n">
        <v>95</v>
      </c>
      <c r="B99" s="5" t="inlineStr">
        <is>
          <t>TTS.PF.001.IPE140.29</t>
        </is>
      </c>
      <c r="C99" s="5" t="inlineStr">
        <is>
          <t>Pilastro fondazione trave IPE140 mt.2,90</t>
        </is>
      </c>
      <c r="D99" s="5" t="inlineStr">
        <is>
          <t>Carpenteria metallica</t>
        </is>
      </c>
      <c r="E99" s="12" t="inlineStr">
        <is>
          <t>pz</t>
        </is>
      </c>
      <c r="F99" s="10">
        <f>IFERROR(VLOOKUP($B99,'SCHEDA STRUTTURA'!$A$13:$E$413,5,FALSE),"")</f>
        <v/>
      </c>
      <c r="G99" s="6" t="n"/>
      <c r="H99" s="5" t="inlineStr">
        <is>
          <t>PILASTRO MOTORE</t>
        </is>
      </c>
      <c r="I99" s="12" t="n">
        <v>1</v>
      </c>
    </row>
    <row r="100">
      <c r="A100" s="12" t="n">
        <v>96</v>
      </c>
      <c r="B100" s="5" t="inlineStr">
        <is>
          <t>TTS.PF.001.IPEA140.29</t>
        </is>
      </c>
      <c r="C100" s="5" t="inlineStr">
        <is>
          <t>Pilastro fondazione trave IPEA140 mt.2,90 (alleggerita)</t>
        </is>
      </c>
      <c r="D100" s="5" t="inlineStr">
        <is>
          <t>Carpenteria metallica</t>
        </is>
      </c>
      <c r="E100" s="12" t="inlineStr">
        <is>
          <t>pz</t>
        </is>
      </c>
      <c r="F100" s="10">
        <f>IFERROR(VLOOKUP($B100,'SCHEDA STRUTTURA'!$A$13:$E$413,5,FALSE),"")</f>
        <v/>
      </c>
      <c r="G100" s="6" t="n"/>
      <c r="H100" s="5" t="inlineStr">
        <is>
          <t>PILASTRO MOTORE</t>
        </is>
      </c>
      <c r="I100" s="12" t="n">
        <v>1</v>
      </c>
    </row>
    <row r="101">
      <c r="A101" s="12" t="n">
        <v>97</v>
      </c>
      <c r="B101" s="5" t="inlineStr">
        <is>
          <t>TTS.PF.001.IPE140.31</t>
        </is>
      </c>
      <c r="C101" s="5" t="inlineStr">
        <is>
          <t>Pilastro fondazione trave IPE140 mt.3,10</t>
        </is>
      </c>
      <c r="D101" s="5" t="inlineStr">
        <is>
          <t>Carpenteria metallica</t>
        </is>
      </c>
      <c r="E101" s="12" t="inlineStr">
        <is>
          <t>pz</t>
        </is>
      </c>
      <c r="F101" s="10">
        <f>IFERROR(VLOOKUP($B101,'SCHEDA STRUTTURA'!$A$13:$E$413,5,FALSE),"")</f>
        <v/>
      </c>
      <c r="G101" s="6" t="n"/>
      <c r="H101" s="5" t="inlineStr">
        <is>
          <t>PILASTRO MOTORE</t>
        </is>
      </c>
      <c r="I101" s="12" t="n">
        <v>1</v>
      </c>
    </row>
    <row r="102">
      <c r="A102" s="12" t="n">
        <v>98</v>
      </c>
      <c r="B102" s="5" t="inlineStr">
        <is>
          <t>TTS.PF.001.IPEA140.31</t>
        </is>
      </c>
      <c r="C102" s="5" t="inlineStr">
        <is>
          <t>Pilastro fondazione trave IPEA140 mt.3,10 (alleggerita)</t>
        </is>
      </c>
      <c r="D102" s="5" t="inlineStr">
        <is>
          <t>Carpenteria metallica</t>
        </is>
      </c>
      <c r="E102" s="12" t="inlineStr">
        <is>
          <t>pz</t>
        </is>
      </c>
      <c r="F102" s="10">
        <f>IFERROR(VLOOKUP($B102,'SCHEDA STRUTTURA'!$A$13:$E$413,5,FALSE),"")</f>
        <v/>
      </c>
      <c r="G102" s="6" t="n"/>
      <c r="H102" s="5" t="inlineStr">
        <is>
          <t>PILASTRO MOTORE</t>
        </is>
      </c>
      <c r="I102" s="12" t="n">
        <v>1</v>
      </c>
    </row>
    <row r="103">
      <c r="A103" s="12" t="n">
        <v>99</v>
      </c>
      <c r="B103" s="5" t="inlineStr">
        <is>
          <t>TTS.PF.001.IPE140.32</t>
        </is>
      </c>
      <c r="C103" s="5" t="inlineStr">
        <is>
          <t>Pilastro fondazione trave IPE140 mt.3,20</t>
        </is>
      </c>
      <c r="D103" s="5" t="inlineStr">
        <is>
          <t>Carpenteria metallica</t>
        </is>
      </c>
      <c r="E103" s="12" t="inlineStr">
        <is>
          <t>pz</t>
        </is>
      </c>
      <c r="F103" s="10">
        <f>IFERROR(VLOOKUP($B103,'SCHEDA STRUTTURA'!$A$13:$E$413,5,FALSE),"")</f>
        <v/>
      </c>
      <c r="G103" s="6" t="n"/>
      <c r="H103" s="5" t="inlineStr">
        <is>
          <t>PILASTRO MOTORE</t>
        </is>
      </c>
      <c r="I103" s="12" t="n">
        <v>1</v>
      </c>
    </row>
    <row r="104">
      <c r="A104" s="12" t="n">
        <v>100</v>
      </c>
      <c r="B104" s="5" t="inlineStr">
        <is>
          <t>TTS.PF.001.IPEA140.32</t>
        </is>
      </c>
      <c r="C104" s="5" t="inlineStr">
        <is>
          <t>Pilastro fondazione trave IPEA140 mt.3,20 (alleggerita)</t>
        </is>
      </c>
      <c r="D104" s="5" t="inlineStr">
        <is>
          <t>Carpenteria metallica</t>
        </is>
      </c>
      <c r="E104" s="12" t="inlineStr">
        <is>
          <t>pz</t>
        </is>
      </c>
      <c r="F104" s="10">
        <f>IFERROR(VLOOKUP($B104,'SCHEDA STRUTTURA'!$A$13:$E$413,5,FALSE),"")</f>
        <v/>
      </c>
      <c r="G104" s="6" t="n"/>
      <c r="H104" s="5" t="inlineStr">
        <is>
          <t>PILASTRO MOTORE</t>
        </is>
      </c>
      <c r="I104" s="12" t="n">
        <v>1</v>
      </c>
    </row>
    <row r="105">
      <c r="A105" s="12" t="n">
        <v>101</v>
      </c>
      <c r="B105" s="5" t="inlineStr">
        <is>
          <t>TTS.PF.001.IPE140.33</t>
        </is>
      </c>
      <c r="C105" s="5" t="inlineStr">
        <is>
          <t>Pilastro fondazione trave IPE140 mt.3,30</t>
        </is>
      </c>
      <c r="D105" s="5" t="inlineStr">
        <is>
          <t>Carpenteria metallica</t>
        </is>
      </c>
      <c r="E105" s="12" t="inlineStr">
        <is>
          <t>pz</t>
        </is>
      </c>
      <c r="F105" s="10">
        <f>IFERROR(VLOOKUP($B105,'SCHEDA STRUTTURA'!$A$13:$E$413,5,FALSE),"")</f>
        <v/>
      </c>
      <c r="G105" s="6" t="n"/>
      <c r="H105" s="5" t="inlineStr">
        <is>
          <t>PILASTRO MOTORE</t>
        </is>
      </c>
      <c r="I105" s="12" t="n">
        <v>1</v>
      </c>
    </row>
    <row r="106">
      <c r="A106" s="12" t="n">
        <v>102</v>
      </c>
      <c r="B106" s="5" t="inlineStr">
        <is>
          <t>TTS.PF.001.IPEA140.33</t>
        </is>
      </c>
      <c r="C106" s="5" t="inlineStr">
        <is>
          <t>Pilastro fondazione trave IPEA140 mt.3,30 (alleggerita)</t>
        </is>
      </c>
      <c r="D106" s="5" t="inlineStr">
        <is>
          <t>Carpenteria metallica</t>
        </is>
      </c>
      <c r="E106" s="12" t="inlineStr">
        <is>
          <t>pz</t>
        </is>
      </c>
      <c r="F106" s="10">
        <f>IFERROR(VLOOKUP($B106,'SCHEDA STRUTTURA'!$A$13:$E$413,5,FALSE),"")</f>
        <v/>
      </c>
      <c r="G106" s="6" t="n"/>
      <c r="H106" s="5" t="inlineStr">
        <is>
          <t>PILASTRO MOTORE</t>
        </is>
      </c>
      <c r="I106" s="12" t="n">
        <v>1</v>
      </c>
    </row>
    <row r="107">
      <c r="A107" s="12" t="n">
        <v>103</v>
      </c>
      <c r="B107" s="5" t="inlineStr">
        <is>
          <t>TTS.PF.001.IPE140.34</t>
        </is>
      </c>
      <c r="C107" s="5" t="inlineStr">
        <is>
          <t>Pilastro fondazione trave IPE140 mt.3,40</t>
        </is>
      </c>
      <c r="D107" s="5" t="inlineStr">
        <is>
          <t>Carpenteria metallica</t>
        </is>
      </c>
      <c r="E107" s="12" t="inlineStr">
        <is>
          <t>pz</t>
        </is>
      </c>
      <c r="F107" s="10">
        <f>IFERROR(VLOOKUP($B107,'SCHEDA STRUTTURA'!$A$13:$E$413,5,FALSE),"")</f>
        <v/>
      </c>
      <c r="G107" s="6" t="n"/>
      <c r="H107" s="5" t="inlineStr">
        <is>
          <t>PILASTRO MOTORE</t>
        </is>
      </c>
      <c r="I107" s="12" t="n">
        <v>1</v>
      </c>
    </row>
    <row r="108">
      <c r="A108" s="12" t="n">
        <v>104</v>
      </c>
      <c r="B108" s="5" t="inlineStr">
        <is>
          <t>TTS.PF.001.IPEA140.34</t>
        </is>
      </c>
      <c r="C108" s="5" t="inlineStr">
        <is>
          <t>Pilastro fondazione trave IPEA140 mt.3,40 (alleggerita)</t>
        </is>
      </c>
      <c r="D108" s="5" t="inlineStr">
        <is>
          <t>Carpenteria metallica</t>
        </is>
      </c>
      <c r="E108" s="12" t="inlineStr">
        <is>
          <t>pz</t>
        </is>
      </c>
      <c r="F108" s="10">
        <f>IFERROR(VLOOKUP($B108,'SCHEDA STRUTTURA'!$A$13:$E$413,5,FALSE),"")</f>
        <v/>
      </c>
      <c r="G108" s="6" t="n"/>
      <c r="H108" s="5" t="inlineStr">
        <is>
          <t>PILASTRO MOTORE</t>
        </is>
      </c>
      <c r="I108" s="12" t="n">
        <v>1</v>
      </c>
    </row>
    <row r="109">
      <c r="A109" s="12" t="n">
        <v>105</v>
      </c>
      <c r="B109" s="5" t="inlineStr">
        <is>
          <t>TTS.PF.001.IPE140.35</t>
        </is>
      </c>
      <c r="C109" s="5" t="inlineStr">
        <is>
          <t>Pilastro fondazione trave IPE140 mt.3,50</t>
        </is>
      </c>
      <c r="D109" s="5" t="inlineStr">
        <is>
          <t>Carpenteria metallica</t>
        </is>
      </c>
      <c r="E109" s="12" t="inlineStr">
        <is>
          <t>pz</t>
        </is>
      </c>
      <c r="F109" s="10">
        <f>IFERROR(VLOOKUP($B109,'SCHEDA STRUTTURA'!$A$13:$E$413,5,FALSE),"")</f>
        <v/>
      </c>
      <c r="G109" s="6" t="n"/>
      <c r="H109" s="5" t="inlineStr">
        <is>
          <t>PILASTRO MOTORE</t>
        </is>
      </c>
      <c r="I109" s="12" t="n">
        <v>1</v>
      </c>
    </row>
    <row r="110">
      <c r="A110" s="12" t="n">
        <v>106</v>
      </c>
      <c r="B110" s="5" t="inlineStr">
        <is>
          <t>TTS.PF.001.IPEA140.35</t>
        </is>
      </c>
      <c r="C110" s="5" t="inlineStr">
        <is>
          <t>Pilastro fondazione trave IPEA140 mt.3,50 (alleggerita)</t>
        </is>
      </c>
      <c r="D110" s="5" t="inlineStr">
        <is>
          <t>Carpenteria metallica</t>
        </is>
      </c>
      <c r="E110" s="12" t="inlineStr">
        <is>
          <t>pz</t>
        </is>
      </c>
      <c r="F110" s="10">
        <f>IFERROR(VLOOKUP($B110,'SCHEDA STRUTTURA'!$A$13:$E$413,5,FALSE),"")</f>
        <v/>
      </c>
      <c r="G110" s="6" t="n"/>
      <c r="H110" s="5" t="inlineStr">
        <is>
          <t>PILASTRO MOTORE</t>
        </is>
      </c>
      <c r="I110" s="12" t="n">
        <v>1</v>
      </c>
    </row>
    <row r="111">
      <c r="A111" s="12" t="n">
        <v>107</v>
      </c>
      <c r="B111" s="5" t="inlineStr">
        <is>
          <t>TTS.PF.001.IPE140.36</t>
        </is>
      </c>
      <c r="C111" s="5" t="inlineStr">
        <is>
          <t>Pilastro fondazione trave IPE140 mt.3,60</t>
        </is>
      </c>
      <c r="D111" s="5" t="inlineStr">
        <is>
          <t>Carpenteria metallica</t>
        </is>
      </c>
      <c r="E111" s="12" t="inlineStr">
        <is>
          <t>pz</t>
        </is>
      </c>
      <c r="F111" s="10">
        <f>IFERROR(VLOOKUP($B111,'SCHEDA STRUTTURA'!$A$13:$E$413,5,FALSE),"")</f>
        <v/>
      </c>
      <c r="G111" s="6" t="n"/>
      <c r="H111" s="5" t="inlineStr">
        <is>
          <t>PILASTRO MOTORE</t>
        </is>
      </c>
      <c r="I111" s="12" t="n">
        <v>1</v>
      </c>
    </row>
    <row r="112">
      <c r="A112" s="12" t="n">
        <v>108</v>
      </c>
      <c r="B112" s="5" t="inlineStr">
        <is>
          <t>TTS.PF.001.IPEA140.36</t>
        </is>
      </c>
      <c r="C112" s="5" t="inlineStr">
        <is>
          <t>Pilastro fondazione trave IPEA140 mt.3,60 (alleggerita)</t>
        </is>
      </c>
      <c r="D112" s="5" t="inlineStr">
        <is>
          <t>Carpenteria metallica</t>
        </is>
      </c>
      <c r="E112" s="12" t="inlineStr">
        <is>
          <t>pz</t>
        </is>
      </c>
      <c r="F112" s="10">
        <f>IFERROR(VLOOKUP($B112,'SCHEDA STRUTTURA'!$A$13:$E$413,5,FALSE),"")</f>
        <v/>
      </c>
      <c r="G112" s="6" t="n"/>
      <c r="H112" s="5" t="inlineStr">
        <is>
          <t>PILASTRO MOTORE</t>
        </is>
      </c>
      <c r="I112" s="12" t="n">
        <v>1</v>
      </c>
    </row>
    <row r="113">
      <c r="A113" s="12" t="n">
        <v>109</v>
      </c>
      <c r="B113" s="5" t="inlineStr">
        <is>
          <t>TTS.PF.002.IPE140</t>
        </is>
      </c>
      <c r="C113" s="5" t="inlineStr">
        <is>
          <t>Piastra giunzione montanti centrali 200x100x4 (8 fori Ø 11)</t>
        </is>
      </c>
      <c r="D113" s="5" t="inlineStr">
        <is>
          <t>Carpenteria metallica</t>
        </is>
      </c>
      <c r="E113" s="12" t="inlineStr">
        <is>
          <t>pz</t>
        </is>
      </c>
      <c r="F113" s="10" t="n"/>
      <c r="G113" s="6" t="n"/>
      <c r="H113" s="5" t="inlineStr">
        <is>
          <t>PILASTRO MOTORE, PILASTRO CUSCINETTO</t>
        </is>
      </c>
      <c r="I113" s="12" t="n">
        <v>2</v>
      </c>
    </row>
    <row r="114">
      <c r="A114" s="12" t="n">
        <v>110</v>
      </c>
      <c r="B114" s="5" t="inlineStr">
        <is>
          <t>TTS.PF.003.IPE140</t>
        </is>
      </c>
      <c r="C114" s="5" t="inlineStr">
        <is>
          <t>Piastra giunzione montanti esterna 240x70x6 (12 fori Ø 11)</t>
        </is>
      </c>
      <c r="D114" s="5" t="inlineStr">
        <is>
          <t>Carpenteria metallica</t>
        </is>
      </c>
      <c r="E114" s="12" t="inlineStr">
        <is>
          <t>pz</t>
        </is>
      </c>
      <c r="F114" s="10" t="n"/>
      <c r="G114" s="6" t="n"/>
      <c r="H114" s="5" t="inlineStr">
        <is>
          <t>PILASTRO MOTORE, PILASTRO CUSCINETTO</t>
        </is>
      </c>
      <c r="I114" s="12" t="n">
        <v>2</v>
      </c>
    </row>
    <row r="115">
      <c r="A115" s="12" t="n">
        <v>111</v>
      </c>
      <c r="B115" s="5" t="inlineStr">
        <is>
          <t>TTS.PF.004.IPE140</t>
        </is>
      </c>
      <c r="C115" s="5" t="inlineStr">
        <is>
          <t>Piastra giunzione montanti interna 240x25x6 (6 fori Ø 11)</t>
        </is>
      </c>
      <c r="D115" s="5" t="inlineStr">
        <is>
          <t>Carpenteria metallica</t>
        </is>
      </c>
      <c r="E115" s="12" t="inlineStr">
        <is>
          <t>pz</t>
        </is>
      </c>
      <c r="F115" s="10" t="n"/>
      <c r="G115" s="6" t="n"/>
      <c r="H115" s="5" t="inlineStr">
        <is>
          <t>PILASTRO MOTORE, PILASTRO CUSCINETTO</t>
        </is>
      </c>
      <c r="I115" s="12" t="n">
        <v>2</v>
      </c>
    </row>
    <row r="116">
      <c r="A116" s="12" t="n">
        <v>112</v>
      </c>
      <c r="B116" s="5" t="inlineStr">
        <is>
          <t>TTS.PM.001.IPE140.22</t>
        </is>
      </c>
      <c r="C116" s="5" t="inlineStr">
        <is>
          <t>Pilastro motore trave ipe140 x 2220 con foratura alloggiamento quadro motore (standard)</t>
        </is>
      </c>
      <c r="D116" s="5" t="inlineStr">
        <is>
          <t>Carpenteria metallica</t>
        </is>
      </c>
      <c r="E116" s="12" t="inlineStr">
        <is>
          <t>pz</t>
        </is>
      </c>
      <c r="F116" s="10">
        <f>IFERROR(VLOOKUP($B116,'SCHEDA STRUTTURA'!$A$13:$E$413,5,FALSE),"")</f>
        <v/>
      </c>
      <c r="G116" s="6" t="n"/>
      <c r="H116" s="5" t="inlineStr">
        <is>
          <t>PILASTRO MOTORE, kit quadro motore</t>
        </is>
      </c>
      <c r="I116" s="12" t="n">
        <v>2</v>
      </c>
    </row>
    <row r="117">
      <c r="A117" s="12" t="n">
        <v>113</v>
      </c>
      <c r="B117" s="5" t="inlineStr">
        <is>
          <t>TTS.PM.001.IPEA140.22</t>
        </is>
      </c>
      <c r="C117" s="5" t="inlineStr">
        <is>
          <t>Pilastro motore trave ipea140 x 2220 con foratura alloggiamento quadro motore (alleggerita)</t>
        </is>
      </c>
      <c r="D117" s="5" t="inlineStr">
        <is>
          <t>Carpenteria metallica</t>
        </is>
      </c>
      <c r="E117" s="12" t="inlineStr">
        <is>
          <t>pz</t>
        </is>
      </c>
      <c r="F117" s="10">
        <f>IFERROR(VLOOKUP($B117,'SCHEDA STRUTTURA'!$A$13:$E$413,5,FALSE),"")</f>
        <v/>
      </c>
      <c r="G117" s="6" t="n"/>
      <c r="H117" s="5" t="inlineStr">
        <is>
          <t>PILASTRO MOTORE</t>
        </is>
      </c>
      <c r="I117" s="12" t="n">
        <v>1</v>
      </c>
    </row>
    <row r="118">
      <c r="A118" s="12" t="n">
        <v>114</v>
      </c>
      <c r="B118" s="5" t="inlineStr">
        <is>
          <t>TTS.PM.001.IPE140.27</t>
        </is>
      </c>
      <c r="C118" s="5" t="inlineStr">
        <is>
          <t>Pilastro motore trave ipe140 x 2720 con foratura alloggiamento quadro motore (standard)</t>
        </is>
      </c>
      <c r="D118" s="5" t="inlineStr">
        <is>
          <t>Carpenteria metallica</t>
        </is>
      </c>
      <c r="E118" s="12" t="inlineStr">
        <is>
          <t>pz</t>
        </is>
      </c>
      <c r="F118" s="10">
        <f>IFERROR(VLOOKUP($B118,'SCHEDA STRUTTURA'!$A$13:$E$413,5,FALSE),"")</f>
        <v/>
      </c>
      <c r="G118" s="6" t="n"/>
      <c r="H118" s="5" t="inlineStr">
        <is>
          <t>PILASTRO MOTORE</t>
        </is>
      </c>
      <c r="I118" s="12" t="n">
        <v>1</v>
      </c>
    </row>
    <row r="119">
      <c r="A119" s="12" t="n">
        <v>115</v>
      </c>
      <c r="B119" s="5" t="inlineStr">
        <is>
          <t>TTS.PM.001.IPEA140.27</t>
        </is>
      </c>
      <c r="C119" s="5" t="inlineStr">
        <is>
          <t>Pilastro motore trave ipea140 x 2720 con foratura alloggiamento quadro motore (alleggerita)</t>
        </is>
      </c>
      <c r="D119" s="5" t="inlineStr">
        <is>
          <t>Carpenteria metallica</t>
        </is>
      </c>
      <c r="E119" s="12" t="inlineStr">
        <is>
          <t>pz</t>
        </is>
      </c>
      <c r="F119" s="10">
        <f>IFERROR(VLOOKUP($B119,'SCHEDA STRUTTURA'!$A$13:$E$413,5,FALSE),"")</f>
        <v/>
      </c>
      <c r="G119" s="6" t="n"/>
      <c r="H119" s="5" t="inlineStr">
        <is>
          <t>PILASTRO MOTORE</t>
        </is>
      </c>
      <c r="I119" s="12" t="n">
        <v>1</v>
      </c>
    </row>
    <row r="120">
      <c r="A120" s="12" t="n">
        <v>116</v>
      </c>
      <c r="B120" s="5" t="inlineStr">
        <is>
          <t>TTS.PM.001.IPE140.28</t>
        </is>
      </c>
      <c r="C120" s="5" t="inlineStr">
        <is>
          <t>Pilastro motore trave ipe140 x 2820 con foratura alloggiamento quadro motore (standard)</t>
        </is>
      </c>
      <c r="D120" s="5" t="inlineStr">
        <is>
          <t>Carpenteria metallica</t>
        </is>
      </c>
      <c r="E120" s="12" t="inlineStr">
        <is>
          <t>pz</t>
        </is>
      </c>
      <c r="F120" s="10">
        <f>IFERROR(VLOOKUP($B120,'SCHEDA STRUTTURA'!$A$13:$E$413,5,FALSE),"")</f>
        <v/>
      </c>
      <c r="G120" s="6" t="n"/>
      <c r="H120" s="5" t="inlineStr">
        <is>
          <t>PILASTRO MOTORE</t>
        </is>
      </c>
      <c r="I120" s="12" t="n">
        <v>1</v>
      </c>
    </row>
    <row r="121">
      <c r="A121" s="12" t="n">
        <v>117</v>
      </c>
      <c r="B121" s="5" t="inlineStr">
        <is>
          <t>TTS.PM.001.IPEA140.28</t>
        </is>
      </c>
      <c r="C121" s="5" t="inlineStr">
        <is>
          <t>Pilastro motore trave ipea140 x 2820 con foratura alloggiamento quadro motore (alleggerita)</t>
        </is>
      </c>
      <c r="D121" s="5" t="inlineStr">
        <is>
          <t>Carpenteria metallica</t>
        </is>
      </c>
      <c r="E121" s="12" t="inlineStr">
        <is>
          <t>pz</t>
        </is>
      </c>
      <c r="F121" s="10">
        <f>IFERROR(VLOOKUP($B121,'SCHEDA STRUTTURA'!$A$13:$E$413,5,FALSE),"")</f>
        <v/>
      </c>
      <c r="G121" s="6" t="n"/>
      <c r="H121" s="5" t="inlineStr">
        <is>
          <t>PILASTRO MOTORE</t>
        </is>
      </c>
      <c r="I121" s="12" t="n">
        <v>1</v>
      </c>
    </row>
    <row r="122">
      <c r="A122" s="12" t="n">
        <v>118</v>
      </c>
      <c r="B122" s="5" t="inlineStr">
        <is>
          <t>TTS.PM.001.IPE140.29</t>
        </is>
      </c>
      <c r="C122" s="5" t="inlineStr">
        <is>
          <t>Pilastro motore trave ipe140 x 2920 con foratura alloggiamento quadro motore (standard)</t>
        </is>
      </c>
      <c r="D122" s="5" t="inlineStr">
        <is>
          <t>Carpenteria metallica</t>
        </is>
      </c>
      <c r="E122" s="12" t="inlineStr">
        <is>
          <t>pz</t>
        </is>
      </c>
      <c r="F122" s="10">
        <f>IFERROR(VLOOKUP($B122,'SCHEDA STRUTTURA'!$A$13:$E$413,5,FALSE),"")</f>
        <v/>
      </c>
      <c r="G122" s="6" t="n"/>
      <c r="H122" s="5" t="inlineStr">
        <is>
          <t>PILASTRO MOTORE</t>
        </is>
      </c>
      <c r="I122" s="12" t="n">
        <v>1</v>
      </c>
    </row>
    <row r="123">
      <c r="A123" s="12" t="n">
        <v>119</v>
      </c>
      <c r="B123" s="5" t="inlineStr">
        <is>
          <t>TTS.PM.001.IPEA140.29</t>
        </is>
      </c>
      <c r="C123" s="5" t="inlineStr">
        <is>
          <t>Pilastro motore trave ipea140 x 2920 con foratura alloggiamento quadro motore (alleggerita)</t>
        </is>
      </c>
      <c r="D123" s="5" t="inlineStr">
        <is>
          <t>Carpenteria metallica</t>
        </is>
      </c>
      <c r="E123" s="12" t="inlineStr">
        <is>
          <t>pz</t>
        </is>
      </c>
      <c r="F123" s="10">
        <f>IFERROR(VLOOKUP($B123,'SCHEDA STRUTTURA'!$A$13:$E$413,5,FALSE),"")</f>
        <v/>
      </c>
      <c r="G123" s="6" t="n"/>
      <c r="H123" s="5" t="inlineStr">
        <is>
          <t>PILASTRO MOTORE</t>
        </is>
      </c>
      <c r="I123" s="12" t="n">
        <v>1</v>
      </c>
    </row>
    <row r="124">
      <c r="A124" s="12" t="n">
        <v>120</v>
      </c>
      <c r="B124" s="5" t="inlineStr">
        <is>
          <t>TTS.PM.001.IPE140.30</t>
        </is>
      </c>
      <c r="C124" s="5" t="inlineStr">
        <is>
          <t>Pilastro motore trave ipe140 x 3020 con foratura alloggiamento quadro motore (standard)</t>
        </is>
      </c>
      <c r="D124" s="5" t="inlineStr">
        <is>
          <t>Carpenteria metallica</t>
        </is>
      </c>
      <c r="E124" s="12" t="inlineStr">
        <is>
          <t>pz</t>
        </is>
      </c>
      <c r="F124" s="10">
        <f>IFERROR(VLOOKUP($B124,'SCHEDA STRUTTURA'!$A$13:$E$413,5,FALSE),"")</f>
        <v/>
      </c>
      <c r="G124" s="6" t="n"/>
      <c r="H124" s="5" t="inlineStr">
        <is>
          <t>PILASTRO MOTORE</t>
        </is>
      </c>
      <c r="I124" s="12" t="n">
        <v>1</v>
      </c>
    </row>
    <row r="125">
      <c r="A125" s="12" t="n">
        <v>121</v>
      </c>
      <c r="B125" s="5" t="inlineStr">
        <is>
          <t>TTS.PM.001.IPEA140.30</t>
        </is>
      </c>
      <c r="C125" s="5" t="inlineStr">
        <is>
          <t>Pilastro motore trave ipea140 x 3020 con foratura alloggiamento quadro motore (alleggerita)</t>
        </is>
      </c>
      <c r="D125" s="5" t="inlineStr">
        <is>
          <t>Carpenteria metallica</t>
        </is>
      </c>
      <c r="E125" s="12" t="inlineStr">
        <is>
          <t>pz</t>
        </is>
      </c>
      <c r="F125" s="10">
        <f>IFERROR(VLOOKUP($B125,'SCHEDA STRUTTURA'!$A$13:$E$413,5,FALSE),"")</f>
        <v/>
      </c>
      <c r="G125" s="6" t="n"/>
      <c r="H125" s="5" t="inlineStr">
        <is>
          <t>PILASTRO MOTORE</t>
        </is>
      </c>
      <c r="I125" s="12" t="n">
        <v>1</v>
      </c>
    </row>
    <row r="126">
      <c r="A126" s="12" t="n">
        <v>122</v>
      </c>
      <c r="B126" s="5" t="inlineStr">
        <is>
          <t>TTS.PM.001.IPE140.31</t>
        </is>
      </c>
      <c r="C126" s="5" t="inlineStr">
        <is>
          <t>Pilastro motore trave ipe140 x 3120 con foratura alloggiamento quadro motore (standard)</t>
        </is>
      </c>
      <c r="D126" s="5" t="inlineStr">
        <is>
          <t>Carpenteria metallica</t>
        </is>
      </c>
      <c r="E126" s="12" t="inlineStr">
        <is>
          <t>pz</t>
        </is>
      </c>
      <c r="F126" s="10">
        <f>IFERROR(VLOOKUP($B126,'SCHEDA STRUTTURA'!$A$13:$E$413,5,FALSE),"")</f>
        <v/>
      </c>
      <c r="G126" s="6" t="n"/>
      <c r="H126" s="5" t="inlineStr">
        <is>
          <t>PILASTRO MOTORE</t>
        </is>
      </c>
      <c r="I126" s="12" t="n">
        <v>1</v>
      </c>
    </row>
    <row r="127">
      <c r="A127" s="12" t="n">
        <v>123</v>
      </c>
      <c r="B127" s="5" t="inlineStr">
        <is>
          <t>TTS.PM.001.IPEA140.31</t>
        </is>
      </c>
      <c r="C127" s="5" t="inlineStr">
        <is>
          <t>Pilastro motore trave ipea140 x 3120 con foratura alloggiamento quadro motore (alleggerita)</t>
        </is>
      </c>
      <c r="D127" s="5" t="inlineStr">
        <is>
          <t>Carpenteria metallica</t>
        </is>
      </c>
      <c r="E127" s="12" t="inlineStr">
        <is>
          <t>pz</t>
        </is>
      </c>
      <c r="F127" s="10">
        <f>IFERROR(VLOOKUP($B127,'SCHEDA STRUTTURA'!$A$13:$E$413,5,FALSE),"")</f>
        <v/>
      </c>
      <c r="G127" s="6" t="n"/>
      <c r="H127" s="5" t="inlineStr">
        <is>
          <t>PILASTRO MOTORE</t>
        </is>
      </c>
      <c r="I127" s="12" t="n">
        <v>1</v>
      </c>
    </row>
    <row r="128">
      <c r="A128" s="12" t="n">
        <v>124</v>
      </c>
      <c r="B128" s="5" t="inlineStr">
        <is>
          <t>TTS.PM.001.IPE140.32</t>
        </is>
      </c>
      <c r="C128" s="5" t="inlineStr">
        <is>
          <t>Pilastro motore trave ipe140 x 3220 con foratura alloggiamento quadro motore (standard)</t>
        </is>
      </c>
      <c r="D128" s="5" t="inlineStr">
        <is>
          <t>Carpenteria metallica</t>
        </is>
      </c>
      <c r="E128" s="12" t="inlineStr">
        <is>
          <t>pz</t>
        </is>
      </c>
      <c r="F128" s="10">
        <f>IFERROR(VLOOKUP($B128,'SCHEDA STRUTTURA'!$A$13:$E$413,5,FALSE),"")</f>
        <v/>
      </c>
      <c r="G128" s="6" t="n"/>
      <c r="H128" s="5" t="inlineStr">
        <is>
          <t>PILASTRO MOTORE</t>
        </is>
      </c>
      <c r="I128" s="12" t="n">
        <v>1</v>
      </c>
    </row>
    <row r="129">
      <c r="A129" s="12" t="n">
        <v>125</v>
      </c>
      <c r="B129" s="5" t="inlineStr">
        <is>
          <t>TTS.PM.001.IPEA140.32</t>
        </is>
      </c>
      <c r="C129" s="5" t="inlineStr">
        <is>
          <t>Pilastro motore trave ipea140 x 3220 con foratura alloggiamento quadro motore (alleggerita)</t>
        </is>
      </c>
      <c r="D129" s="5" t="inlineStr">
        <is>
          <t>Carpenteria metallica</t>
        </is>
      </c>
      <c r="E129" s="12" t="inlineStr">
        <is>
          <t>pz</t>
        </is>
      </c>
      <c r="F129" s="10">
        <f>IFERROR(VLOOKUP($B129,'SCHEDA STRUTTURA'!$A$13:$E$413,5,FALSE),"")</f>
        <v/>
      </c>
      <c r="G129" s="6" t="n"/>
      <c r="H129" s="5" t="inlineStr">
        <is>
          <t>PILASTRO MOTORE</t>
        </is>
      </c>
      <c r="I129" s="12" t="n">
        <v>1</v>
      </c>
    </row>
    <row r="130">
      <c r="A130" s="12" t="n">
        <v>126</v>
      </c>
      <c r="B130" s="5" t="inlineStr">
        <is>
          <t>TTS.PM.001.IPE140.33</t>
        </is>
      </c>
      <c r="C130" s="5" t="inlineStr">
        <is>
          <t>Pilastro motore trave ipe140 x 3320 con foratura alloggiamento quadro motore (standard)</t>
        </is>
      </c>
      <c r="D130" s="5" t="inlineStr">
        <is>
          <t>Carpenteria metallica</t>
        </is>
      </c>
      <c r="E130" s="12" t="inlineStr">
        <is>
          <t>pz</t>
        </is>
      </c>
      <c r="F130" s="10">
        <f>IFERROR(VLOOKUP($B130,'SCHEDA STRUTTURA'!$A$13:$E$413,5,FALSE),"")</f>
        <v/>
      </c>
      <c r="G130" s="6" t="n"/>
      <c r="H130" s="5" t="inlineStr">
        <is>
          <t>PILASTRO MOTORE</t>
        </is>
      </c>
      <c r="I130" s="12" t="n">
        <v>1</v>
      </c>
    </row>
    <row r="131">
      <c r="A131" s="12" t="n">
        <v>127</v>
      </c>
      <c r="B131" s="5" t="inlineStr">
        <is>
          <t>TTS.PM.001.IPEA140.33</t>
        </is>
      </c>
      <c r="C131" s="5" t="inlineStr">
        <is>
          <t>Pilastro motore trave ipea140 x 3320 con foratura alloggiamento quadro motore (alleggerita)</t>
        </is>
      </c>
      <c r="D131" s="5" t="inlineStr">
        <is>
          <t>Carpenteria metallica</t>
        </is>
      </c>
      <c r="E131" s="12" t="inlineStr">
        <is>
          <t>pz</t>
        </is>
      </c>
      <c r="F131" s="10">
        <f>IFERROR(VLOOKUP($B131,'SCHEDA STRUTTURA'!$A$13:$E$413,5,FALSE),"")</f>
        <v/>
      </c>
      <c r="G131" s="6" t="n"/>
      <c r="H131" s="5" t="inlineStr">
        <is>
          <t>PILASTRO MOTORE</t>
        </is>
      </c>
      <c r="I131" s="12" t="n">
        <v>1</v>
      </c>
    </row>
    <row r="132">
      <c r="A132" s="12" t="n">
        <v>128</v>
      </c>
      <c r="B132" s="5" t="inlineStr">
        <is>
          <t>TTS.PM.001.IPE140.34</t>
        </is>
      </c>
      <c r="C132" s="5" t="inlineStr">
        <is>
          <t>Pilastro motore trave ipe140 x 3420 con foratura alloggiamento quadro motore (standard)</t>
        </is>
      </c>
      <c r="D132" s="5" t="inlineStr">
        <is>
          <t>Carpenteria metallica</t>
        </is>
      </c>
      <c r="E132" s="12" t="inlineStr">
        <is>
          <t>pz</t>
        </is>
      </c>
      <c r="F132" s="10">
        <f>IFERROR(VLOOKUP($B132,'SCHEDA STRUTTURA'!$A$13:$E$413,5,FALSE),"")</f>
        <v/>
      </c>
      <c r="G132" s="6" t="n"/>
      <c r="H132" s="5" t="inlineStr">
        <is>
          <t>PILASTRO MOTORE</t>
        </is>
      </c>
      <c r="I132" s="12" t="n">
        <v>1</v>
      </c>
    </row>
    <row r="133">
      <c r="A133" s="12" t="n">
        <v>129</v>
      </c>
      <c r="B133" s="5" t="inlineStr">
        <is>
          <t>TTS.PM.001.IPEA140.34</t>
        </is>
      </c>
      <c r="C133" s="5" t="inlineStr">
        <is>
          <t>Pilastro motore trave ipea140 x 3420 con foratura alloggiamento quadro motore (alleggerita)</t>
        </is>
      </c>
      <c r="D133" s="5" t="inlineStr">
        <is>
          <t>Carpenteria metallica</t>
        </is>
      </c>
      <c r="E133" s="12" t="inlineStr">
        <is>
          <t>pz</t>
        </is>
      </c>
      <c r="F133" s="10">
        <f>IFERROR(VLOOKUP($B133,'SCHEDA STRUTTURA'!$A$13:$E$413,5,FALSE),"")</f>
        <v/>
      </c>
      <c r="G133" s="6" t="n"/>
      <c r="H133" s="5" t="inlineStr">
        <is>
          <t>PILASTRO MOTORE</t>
        </is>
      </c>
      <c r="I133" s="12" t="n">
        <v>1</v>
      </c>
    </row>
    <row r="134">
      <c r="A134" s="12" t="n">
        <v>130</v>
      </c>
      <c r="B134" s="5" t="inlineStr">
        <is>
          <t>TTS.PM.001.IPE140.35</t>
        </is>
      </c>
      <c r="C134" s="5" t="inlineStr">
        <is>
          <t>Pilastro motore trave ipe140 x 3520 con foratura alloggiamento quadro motore (standard)</t>
        </is>
      </c>
      <c r="D134" s="5" t="inlineStr">
        <is>
          <t>Carpenteria metallica</t>
        </is>
      </c>
      <c r="E134" s="12" t="inlineStr">
        <is>
          <t>pz</t>
        </is>
      </c>
      <c r="F134" s="10">
        <f>IFERROR(VLOOKUP($B134,'SCHEDA STRUTTURA'!$A$13:$E$413,5,FALSE),"")</f>
        <v/>
      </c>
      <c r="G134" s="6" t="n"/>
      <c r="H134" s="5" t="inlineStr">
        <is>
          <t>PILASTRO MOTORE</t>
        </is>
      </c>
      <c r="I134" s="12" t="n">
        <v>1</v>
      </c>
    </row>
    <row r="135">
      <c r="A135" s="12" t="n">
        <v>131</v>
      </c>
      <c r="B135" s="5" t="inlineStr">
        <is>
          <t>TTS.PM.001.IPEA140.35</t>
        </is>
      </c>
      <c r="C135" s="5" t="inlineStr">
        <is>
          <t>Pilastro motore trave ipea140 x 3520 con foratura alloggiamento quadro motore (alleggerita)</t>
        </is>
      </c>
      <c r="D135" s="5" t="inlineStr">
        <is>
          <t>Carpenteria metallica</t>
        </is>
      </c>
      <c r="E135" s="12" t="inlineStr">
        <is>
          <t>pz</t>
        </is>
      </c>
      <c r="F135" s="10">
        <f>IFERROR(VLOOKUP($B135,'SCHEDA STRUTTURA'!$A$13:$E$413,5,FALSE),"")</f>
        <v/>
      </c>
      <c r="G135" s="6" t="n"/>
      <c r="H135" s="5" t="inlineStr">
        <is>
          <t>PILASTRO MOTORE</t>
        </is>
      </c>
      <c r="I135" s="12" t="n">
        <v>1</v>
      </c>
    </row>
    <row r="136">
      <c r="A136" s="12" t="n">
        <v>132</v>
      </c>
      <c r="B136" s="5" t="inlineStr">
        <is>
          <t>TTS.PM.001.IPE140.36</t>
        </is>
      </c>
      <c r="C136" s="5" t="inlineStr">
        <is>
          <t>Pilastro motore trave ipe140 x 3620 con foratura alloggiamento quadro motore (standard)</t>
        </is>
      </c>
      <c r="D136" s="5" t="inlineStr">
        <is>
          <t>Carpenteria metallica</t>
        </is>
      </c>
      <c r="E136" s="12" t="inlineStr">
        <is>
          <t>pz</t>
        </is>
      </c>
      <c r="F136" s="10">
        <f>IFERROR(VLOOKUP($B136,'SCHEDA STRUTTURA'!$A$13:$E$413,5,FALSE),"")</f>
        <v/>
      </c>
      <c r="G136" s="6" t="n"/>
      <c r="H136" s="5" t="inlineStr">
        <is>
          <t>PILASTRO MOTORE</t>
        </is>
      </c>
      <c r="I136" s="12" t="n">
        <v>1</v>
      </c>
    </row>
    <row r="137">
      <c r="A137" s="12" t="n">
        <v>133</v>
      </c>
      <c r="B137" s="5" t="inlineStr">
        <is>
          <t>TTS.PM.001.IPEA140.36</t>
        </is>
      </c>
      <c r="C137" s="5" t="inlineStr">
        <is>
          <t>Pilastro motore trave ipea140 x 3620 con foratura alloggiamento quadro motore (alleggerita)</t>
        </is>
      </c>
      <c r="D137" s="5" t="inlineStr">
        <is>
          <t>Carpenteria metallica</t>
        </is>
      </c>
      <c r="E137" s="12" t="inlineStr">
        <is>
          <t>pz</t>
        </is>
      </c>
      <c r="F137" s="10">
        <f>IFERROR(VLOOKUP($B137,'SCHEDA STRUTTURA'!$A$13:$E$413,5,FALSE),"")</f>
        <v/>
      </c>
      <c r="G137" s="6" t="n"/>
      <c r="H137" s="5" t="inlineStr">
        <is>
          <t>PILASTRO MOTORE</t>
        </is>
      </c>
      <c r="I137" s="12" t="n">
        <v>1</v>
      </c>
    </row>
    <row r="138">
      <c r="A138" s="12" t="n">
        <v>134</v>
      </c>
      <c r="B138" s="5" t="inlineStr">
        <is>
          <t>TTS.PM.001.IPE140.37</t>
        </is>
      </c>
      <c r="C138" s="5" t="inlineStr">
        <is>
          <t>Pilastro motore trave ipe140 x 3720 con foratura alloggiamento quadro motore (standard)</t>
        </is>
      </c>
      <c r="D138" s="5" t="inlineStr">
        <is>
          <t>Carpenteria metallica</t>
        </is>
      </c>
      <c r="E138" s="12" t="inlineStr">
        <is>
          <t>pz</t>
        </is>
      </c>
      <c r="F138" s="10">
        <f>IFERROR(VLOOKUP($B138,'SCHEDA STRUTTURA'!$A$13:$E$413,5,FALSE),"")</f>
        <v/>
      </c>
      <c r="G138" s="6" t="n"/>
      <c r="H138" s="5" t="inlineStr">
        <is>
          <t>PILASTRO MOTORE</t>
        </is>
      </c>
      <c r="I138" s="12" t="n">
        <v>1</v>
      </c>
    </row>
    <row r="139">
      <c r="A139" s="12" t="n">
        <v>135</v>
      </c>
      <c r="B139" s="5" t="inlineStr">
        <is>
          <t>TTS.PM.001.IPEA140.37</t>
        </is>
      </c>
      <c r="C139" s="5" t="inlineStr">
        <is>
          <t>Pilastro motore trave ipea140 x 3720 con foratura alloggiamento quadro motore (alleggerita)</t>
        </is>
      </c>
      <c r="D139" s="5" t="inlineStr">
        <is>
          <t>Carpenteria metallica</t>
        </is>
      </c>
      <c r="E139" s="12" t="inlineStr">
        <is>
          <t>pz</t>
        </is>
      </c>
      <c r="F139" s="10">
        <f>IFERROR(VLOOKUP($B139,'SCHEDA STRUTTURA'!$A$13:$E$413,5,FALSE),"")</f>
        <v/>
      </c>
      <c r="G139" s="6" t="n"/>
      <c r="H139" s="5" t="inlineStr">
        <is>
          <t>PILASTRO MOTORE</t>
        </is>
      </c>
      <c r="I139" s="12" t="n">
        <v>1</v>
      </c>
    </row>
    <row r="140">
      <c r="A140" s="12" t="n">
        <v>136</v>
      </c>
      <c r="B140" s="5" t="inlineStr">
        <is>
          <t>TTS.PM.001.IPE140.38</t>
        </is>
      </c>
      <c r="C140" s="5" t="inlineStr">
        <is>
          <t>Pilastro motore trave ipe140 x 3820 con foratura alloggiamento quadro motore (standard)</t>
        </is>
      </c>
      <c r="D140" s="5" t="inlineStr">
        <is>
          <t>Carpenteria metallica</t>
        </is>
      </c>
      <c r="E140" s="12" t="inlineStr">
        <is>
          <t>pz</t>
        </is>
      </c>
      <c r="F140" s="10">
        <f>IFERROR(VLOOKUP($B140,'SCHEDA STRUTTURA'!$A$13:$E$413,5,FALSE),"")</f>
        <v/>
      </c>
      <c r="G140" s="6" t="n"/>
      <c r="H140" s="5" t="inlineStr">
        <is>
          <t>PILASTRO MOTORE</t>
        </is>
      </c>
      <c r="I140" s="12" t="n">
        <v>1</v>
      </c>
    </row>
    <row r="141">
      <c r="A141" s="12" t="n">
        <v>137</v>
      </c>
      <c r="B141" s="5" t="inlineStr">
        <is>
          <t>TTS.PM.001.IPEA140.38</t>
        </is>
      </c>
      <c r="C141" s="5" t="inlineStr">
        <is>
          <t>Pilastro motore trave ipea140 x 3820 con foratura alloggiamento quadro motore (alleggerita)</t>
        </is>
      </c>
      <c r="D141" s="5" t="inlineStr">
        <is>
          <t>Carpenteria metallica</t>
        </is>
      </c>
      <c r="E141" s="12" t="inlineStr">
        <is>
          <t>pz</t>
        </is>
      </c>
      <c r="F141" s="10">
        <f>IFERROR(VLOOKUP($B141,'SCHEDA STRUTTURA'!$A$13:$E$413,5,FALSE),"")</f>
        <v/>
      </c>
      <c r="G141" s="6" t="n"/>
      <c r="H141" s="5" t="inlineStr">
        <is>
          <t>PILASTRO MOTORE</t>
        </is>
      </c>
      <c r="I141" s="12" t="n">
        <v>1</v>
      </c>
    </row>
    <row r="142">
      <c r="A142" s="12" t="n">
        <v>138</v>
      </c>
      <c r="B142" s="5" t="inlineStr">
        <is>
          <t>TTS.PM.001.IPE140.39</t>
        </is>
      </c>
      <c r="C142" s="5" t="inlineStr">
        <is>
          <t>Pilastro motore trave ipe140 x 3920 con foratura alloggiamento quadro motore (standard)</t>
        </is>
      </c>
      <c r="D142" s="5" t="inlineStr">
        <is>
          <t>Carpenteria metallica</t>
        </is>
      </c>
      <c r="E142" s="12" t="inlineStr">
        <is>
          <t>pz</t>
        </is>
      </c>
      <c r="F142" s="10">
        <f>IFERROR(VLOOKUP($B142,'SCHEDA STRUTTURA'!$A$13:$E$413,5,FALSE),"")</f>
        <v/>
      </c>
      <c r="G142" s="6" t="n"/>
      <c r="H142" s="5" t="inlineStr">
        <is>
          <t>PILASTRO MOTORE</t>
        </is>
      </c>
      <c r="I142" s="12" t="n">
        <v>1</v>
      </c>
    </row>
    <row r="143">
      <c r="A143" s="12" t="n">
        <v>139</v>
      </c>
      <c r="B143" s="5" t="inlineStr">
        <is>
          <t>TTS.PM.001.IPEA140.39</t>
        </is>
      </c>
      <c r="C143" s="5" t="inlineStr">
        <is>
          <t>Pilastro motore trave ipea140 x 3920 con foratura alloggiamento quadro motore (alleggerita)</t>
        </is>
      </c>
      <c r="D143" s="5" t="inlineStr">
        <is>
          <t>Carpenteria metallica</t>
        </is>
      </c>
      <c r="E143" s="12" t="inlineStr">
        <is>
          <t>pz</t>
        </is>
      </c>
      <c r="F143" s="10">
        <f>IFERROR(VLOOKUP($B143,'SCHEDA STRUTTURA'!$A$13:$E$413,5,FALSE),"")</f>
        <v/>
      </c>
      <c r="G143" s="6" t="n"/>
      <c r="H143" s="5" t="inlineStr">
        <is>
          <t>PILASTRO MOTORE</t>
        </is>
      </c>
      <c r="I143" s="12" t="n">
        <v>1</v>
      </c>
    </row>
    <row r="144">
      <c r="A144" s="12" t="n">
        <v>140</v>
      </c>
      <c r="B144" s="5" t="inlineStr">
        <is>
          <t>TTS.PM.001.IPE140.40</t>
        </is>
      </c>
      <c r="C144" s="5" t="inlineStr">
        <is>
          <t>Pilastro motore trave ipe140 x 4020 con foratura alloggiamento quadro motore (standard)</t>
        </is>
      </c>
      <c r="D144" s="5" t="inlineStr">
        <is>
          <t>Carpenteria metallica</t>
        </is>
      </c>
      <c r="E144" s="12" t="inlineStr">
        <is>
          <t>pz</t>
        </is>
      </c>
      <c r="F144" s="10">
        <f>IFERROR(VLOOKUP($B144,'SCHEDA STRUTTURA'!$A$13:$E$413,5,FALSE),"")</f>
        <v/>
      </c>
      <c r="G144" s="6" t="n"/>
      <c r="H144" s="5" t="inlineStr">
        <is>
          <t>PILASTRO MOTORE</t>
        </is>
      </c>
      <c r="I144" s="12" t="n">
        <v>1</v>
      </c>
    </row>
    <row r="145">
      <c r="A145" s="12" t="n">
        <v>141</v>
      </c>
      <c r="B145" s="5" t="inlineStr">
        <is>
          <t>TTS.PM.001.IPEA140.40</t>
        </is>
      </c>
      <c r="C145" s="5" t="inlineStr">
        <is>
          <t>Pilastro motore trave ipea140 x 4020 con foratura alloggiamento quadro motore (alleggerita)</t>
        </is>
      </c>
      <c r="D145" s="5" t="inlineStr">
        <is>
          <t>Carpenteria metallica</t>
        </is>
      </c>
      <c r="E145" s="12" t="inlineStr">
        <is>
          <t>pz</t>
        </is>
      </c>
      <c r="F145" s="10">
        <f>IFERROR(VLOOKUP($B145,'SCHEDA STRUTTURA'!$A$13:$E$413,5,FALSE),"")</f>
        <v/>
      </c>
      <c r="G145" s="6" t="n"/>
      <c r="H145" s="5" t="inlineStr">
        <is>
          <t>PILASTRO MOTORE</t>
        </is>
      </c>
      <c r="I145" s="12" t="n">
        <v>1</v>
      </c>
    </row>
    <row r="146">
      <c r="A146" s="12" t="n">
        <v>142</v>
      </c>
      <c r="B146" s="5" t="inlineStr">
        <is>
          <t>TTS.PM.001.IPE140.41</t>
        </is>
      </c>
      <c r="C146" s="5" t="inlineStr">
        <is>
          <t>Pilastro motore trave ipe140 x 4120 con foratura alloggiamento quadro motore (standard)</t>
        </is>
      </c>
      <c r="D146" s="5" t="inlineStr">
        <is>
          <t>Carpenteria metallica</t>
        </is>
      </c>
      <c r="E146" s="12" t="inlineStr">
        <is>
          <t>pz</t>
        </is>
      </c>
      <c r="F146" s="10">
        <f>IFERROR(VLOOKUP($B146,'SCHEDA STRUTTURA'!$A$13:$E$413,5,FALSE),"")</f>
        <v/>
      </c>
      <c r="G146" s="6" t="n"/>
      <c r="H146" s="5" t="inlineStr">
        <is>
          <t>PILASTRO MOTORE</t>
        </is>
      </c>
      <c r="I146" s="12" t="n">
        <v>1</v>
      </c>
    </row>
    <row r="147">
      <c r="A147" s="12" t="n">
        <v>143</v>
      </c>
      <c r="B147" s="5" t="inlineStr">
        <is>
          <t>TTS.PM.001.IPEA140.41</t>
        </is>
      </c>
      <c r="C147" s="5" t="inlineStr">
        <is>
          <t>Pilastro motore trave ipea140 x 4120 con foratura alloggiamento quadro motore (alleggerita)</t>
        </is>
      </c>
      <c r="D147" s="5" t="inlineStr">
        <is>
          <t>Carpenteria metallica</t>
        </is>
      </c>
      <c r="E147" s="12" t="inlineStr">
        <is>
          <t>pz</t>
        </is>
      </c>
      <c r="F147" s="10">
        <f>IFERROR(VLOOKUP($B147,'SCHEDA STRUTTURA'!$A$13:$E$413,5,FALSE),"")</f>
        <v/>
      </c>
      <c r="G147" s="6" t="n"/>
      <c r="H147" s="5" t="inlineStr">
        <is>
          <t>PILASTRO MOTORE</t>
        </is>
      </c>
      <c r="I147" s="12" t="n">
        <v>1</v>
      </c>
    </row>
    <row r="148">
      <c r="A148" s="12" t="n">
        <v>144</v>
      </c>
      <c r="B148" s="5" t="inlineStr">
        <is>
          <t>TTS.PM.001.IPE140.42</t>
        </is>
      </c>
      <c r="C148" s="5" t="inlineStr">
        <is>
          <t>Pilastro motore trave ipe140 x 4220 con foratura alloggiamento quadro motore (standard)</t>
        </is>
      </c>
      <c r="D148" s="5" t="inlineStr">
        <is>
          <t>Carpenteria metallica</t>
        </is>
      </c>
      <c r="E148" s="12" t="inlineStr">
        <is>
          <t>pz</t>
        </is>
      </c>
      <c r="F148" s="10">
        <f>IFERROR(VLOOKUP($B148,'SCHEDA STRUTTURA'!$A$13:$E$413,5,FALSE),"")</f>
        <v/>
      </c>
      <c r="G148" s="6" t="n"/>
      <c r="H148" s="5" t="inlineStr">
        <is>
          <t>PILASTRO MOTORE</t>
        </is>
      </c>
      <c r="I148" s="12" t="n">
        <v>1</v>
      </c>
    </row>
    <row r="149">
      <c r="A149" s="12" t="n">
        <v>145</v>
      </c>
      <c r="B149" s="5" t="inlineStr">
        <is>
          <t>TTS.PM.001.IPEA140.42</t>
        </is>
      </c>
      <c r="C149" s="5" t="inlineStr">
        <is>
          <t>Pilastro motore trave ipea140 x 4220 con foratura alloggiamento quadro motore (alleggerita)</t>
        </is>
      </c>
      <c r="D149" s="5" t="inlineStr">
        <is>
          <t>Carpenteria metallica</t>
        </is>
      </c>
      <c r="E149" s="12" t="inlineStr">
        <is>
          <t>pz</t>
        </is>
      </c>
      <c r="F149" s="10">
        <f>IFERROR(VLOOKUP($B149,'SCHEDA STRUTTURA'!$A$13:$E$413,5,FALSE),"")</f>
        <v/>
      </c>
      <c r="G149" s="6" t="n"/>
      <c r="H149" s="5" t="inlineStr">
        <is>
          <t>PILASTRO MOTORE</t>
        </is>
      </c>
      <c r="I149" s="12" t="n">
        <v>1</v>
      </c>
    </row>
    <row r="150">
      <c r="A150" s="12" t="n">
        <v>146</v>
      </c>
      <c r="B150" s="5" t="inlineStr">
        <is>
          <t>TTS.PM.001.IPE140.43</t>
        </is>
      </c>
      <c r="C150" s="5" t="inlineStr">
        <is>
          <t>Pilastro motore trave ipe140 x 4320 con foratura alloggiamento quadro motore (standard)</t>
        </is>
      </c>
      <c r="D150" s="5" t="inlineStr">
        <is>
          <t>Carpenteria metallica</t>
        </is>
      </c>
      <c r="E150" s="12" t="inlineStr">
        <is>
          <t>pz</t>
        </is>
      </c>
      <c r="F150" s="10">
        <f>IFERROR(VLOOKUP($B150,'SCHEDA STRUTTURA'!$A$13:$E$413,5,FALSE),"")</f>
        <v/>
      </c>
      <c r="G150" s="6" t="n"/>
      <c r="H150" s="5" t="inlineStr">
        <is>
          <t>PILASTRO MOTORE</t>
        </is>
      </c>
      <c r="I150" s="12" t="n">
        <v>1</v>
      </c>
    </row>
    <row r="151">
      <c r="A151" s="12" t="n">
        <v>147</v>
      </c>
      <c r="B151" s="5" t="inlineStr">
        <is>
          <t>TTS.PM.001.IPEA140.43</t>
        </is>
      </c>
      <c r="C151" s="5" t="inlineStr">
        <is>
          <t>Pilastro motore trave ipea140 x 4320 con foratura alloggiamento quadro motore (alleggerita)</t>
        </is>
      </c>
      <c r="D151" s="5" t="inlineStr">
        <is>
          <t>Carpenteria metallica</t>
        </is>
      </c>
      <c r="E151" s="12" t="inlineStr">
        <is>
          <t>pz</t>
        </is>
      </c>
      <c r="F151" s="10">
        <f>IFERROR(VLOOKUP($B151,'SCHEDA STRUTTURA'!$A$13:$E$413,5,FALSE),"")</f>
        <v/>
      </c>
      <c r="G151" s="6" t="n"/>
      <c r="H151" s="5" t="inlineStr">
        <is>
          <t>PILASTRO MOTORE</t>
        </is>
      </c>
      <c r="I151" s="12" t="n">
        <v>1</v>
      </c>
    </row>
    <row r="152">
      <c r="A152" s="12" t="n">
        <v>148</v>
      </c>
      <c r="B152" s="5" t="inlineStr">
        <is>
          <t>TTS.PM.001.IPE140.44</t>
        </is>
      </c>
      <c r="C152" s="5" t="inlineStr">
        <is>
          <t>Pilastro motore trave ipe140 x 4420 con foratura alloggiamento quadro motore (standard)</t>
        </is>
      </c>
      <c r="D152" s="5" t="inlineStr">
        <is>
          <t>Carpenteria metallica</t>
        </is>
      </c>
      <c r="E152" s="12" t="inlineStr">
        <is>
          <t>pz</t>
        </is>
      </c>
      <c r="F152" s="10">
        <f>IFERROR(VLOOKUP($B152,'SCHEDA STRUTTURA'!$A$13:$E$413,5,FALSE),"")</f>
        <v/>
      </c>
      <c r="G152" s="6" t="n"/>
      <c r="H152" s="5" t="inlineStr">
        <is>
          <t>PILASTRO MOTORE</t>
        </is>
      </c>
      <c r="I152" s="12" t="n">
        <v>1</v>
      </c>
    </row>
    <row r="153">
      <c r="A153" s="14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4" t="inlineStr">
        <is>
          <t>pz</t>
        </is>
      </c>
      <c r="F153" s="15">
        <f>IFERROR(VLOOKUP($B153,'SCHEDA STRUTTURA'!$A$13:$E$413,5,FALSE),"")</f>
        <v/>
      </c>
      <c r="G153" s="13" t="n"/>
      <c r="H153" t="inlineStr">
        <is>
          <t>PILASTRO MOTORE</t>
        </is>
      </c>
      <c r="I153" s="14" t="n">
        <v>1</v>
      </c>
    </row>
    <row r="154">
      <c r="A154" s="14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4" t="inlineStr">
        <is>
          <t>pz</t>
        </is>
      </c>
      <c r="F154" s="15">
        <f>IFERROR(VLOOKUP($B154,'SCHEDA STRUTTURA'!$A$13:$E$413,5,FALSE),"")</f>
        <v/>
      </c>
      <c r="G154" s="13" t="n"/>
      <c r="H154" t="inlineStr">
        <is>
          <t>kit quadri centralina meteo</t>
        </is>
      </c>
      <c r="I154" s="14" t="n">
        <v>1</v>
      </c>
    </row>
    <row r="155">
      <c r="A155" s="14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4" t="inlineStr">
        <is>
          <t>pz</t>
        </is>
      </c>
      <c r="F155" s="15">
        <f>IFERROR(VLOOKUP($B155,'SCHEDA STRUTTURA'!$A$13:$E$413,5,FALSE),"")</f>
        <v/>
      </c>
      <c r="G155" s="13" t="n"/>
      <c r="H155" t="inlineStr">
        <is>
          <t>kit quadri centralina meteo</t>
        </is>
      </c>
      <c r="I155" s="14" t="n">
        <v>1</v>
      </c>
    </row>
    <row r="156">
      <c r="A156" s="14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4" t="inlineStr">
        <is>
          <t>pz</t>
        </is>
      </c>
      <c r="F156" s="15" t="n"/>
      <c r="G156" s="13" t="n"/>
      <c r="H156" t="inlineStr">
        <is>
          <t>PILASTRO MOTORE</t>
        </is>
      </c>
      <c r="I156" s="14" t="n">
        <v>1</v>
      </c>
    </row>
    <row r="157">
      <c r="A157" s="14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4" t="inlineStr">
        <is>
          <t>pz</t>
        </is>
      </c>
      <c r="F157" s="15" t="n"/>
      <c r="G157" s="13" t="n"/>
      <c r="H157" t="inlineStr">
        <is>
          <t>PILASTRO MOTORE</t>
        </is>
      </c>
      <c r="I157" s="14" t="n">
        <v>1</v>
      </c>
    </row>
    <row r="158">
      <c r="A158" s="14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4" t="inlineStr">
        <is>
          <t>pz</t>
        </is>
      </c>
      <c r="F158" s="15" t="n"/>
      <c r="G158" s="13" t="n"/>
      <c r="H158" t="inlineStr">
        <is>
          <t>PILASTRO MOTORE</t>
        </is>
      </c>
      <c r="I158" s="14" t="n">
        <v>1</v>
      </c>
    </row>
    <row r="159">
      <c r="A159" s="14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4" t="inlineStr">
        <is>
          <t>pz</t>
        </is>
      </c>
      <c r="F159" s="15" t="n"/>
      <c r="G159" s="13" t="n"/>
      <c r="H159" t="inlineStr">
        <is>
          <t>PILASTRO MOTORE</t>
        </is>
      </c>
      <c r="I159" s="14" t="n">
        <v>1</v>
      </c>
    </row>
    <row r="160">
      <c r="A160" s="14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4" t="inlineStr">
        <is>
          <t>pz</t>
        </is>
      </c>
      <c r="F160" s="15" t="n"/>
      <c r="G160" s="13" t="n"/>
      <c r="H160" t="inlineStr">
        <is>
          <t>kit quadro motore, kit quadri centralina meteo</t>
        </is>
      </c>
      <c r="I160" s="14" t="n">
        <v>2</v>
      </c>
    </row>
    <row r="161">
      <c r="A161" s="14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4" t="inlineStr">
        <is>
          <t>pz</t>
        </is>
      </c>
      <c r="F161" s="15" t="n"/>
      <c r="G161" s="13" t="n"/>
      <c r="H161" t="inlineStr">
        <is>
          <t>kit quadro motore, kit quadri centralina meteo</t>
        </is>
      </c>
      <c r="I161" s="14" t="n">
        <v>3</v>
      </c>
    </row>
    <row r="162">
      <c r="A162" s="14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4" t="inlineStr">
        <is>
          <t>pz</t>
        </is>
      </c>
      <c r="F162" s="15" t="n"/>
      <c r="G162" s="13" t="n"/>
      <c r="H162" t="inlineStr">
        <is>
          <t>sensori meteo</t>
        </is>
      </c>
      <c r="I162" s="14" t="n">
        <v>1</v>
      </c>
    </row>
    <row r="163">
      <c r="A163" s="14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4" t="inlineStr">
        <is>
          <t>pz</t>
        </is>
      </c>
      <c r="F163" s="15" t="n"/>
      <c r="G163" s="13" t="n"/>
      <c r="H163" t="inlineStr">
        <is>
          <t>sensori meteo</t>
        </is>
      </c>
      <c r="I163" s="14" t="n">
        <v>1</v>
      </c>
    </row>
    <row r="164">
      <c r="A164" s="14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4" t="inlineStr">
        <is>
          <t>pz</t>
        </is>
      </c>
      <c r="F164" s="15" t="n"/>
      <c r="G164" s="13" t="n"/>
      <c r="H164" t="inlineStr">
        <is>
          <t>sensori meteo</t>
        </is>
      </c>
      <c r="I164" s="14" t="n">
        <v>1</v>
      </c>
    </row>
    <row r="165">
      <c r="A165" s="14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4" t="inlineStr">
        <is>
          <t>pz</t>
        </is>
      </c>
      <c r="F165" s="15" t="n"/>
      <c r="G165" s="13" t="n"/>
      <c r="I165" s="14" t="n"/>
    </row>
    <row r="166">
      <c r="A166" s="14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4" t="inlineStr">
        <is>
          <t>pz</t>
        </is>
      </c>
      <c r="F166" s="15" t="n"/>
      <c r="G166" s="13" t="n"/>
      <c r="H166" t="inlineStr">
        <is>
          <t>sensori meteo</t>
        </is>
      </c>
      <c r="I166" s="14" t="n">
        <v>1</v>
      </c>
    </row>
    <row r="167">
      <c r="A167" s="14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4" t="inlineStr">
        <is>
          <t>pz</t>
        </is>
      </c>
      <c r="F167" s="15" t="n"/>
      <c r="G167" s="13" t="n"/>
      <c r="H167" t="inlineStr">
        <is>
          <t>PILASTRO CUSCINETTO</t>
        </is>
      </c>
      <c r="I167" s="14" t="n">
        <v>1</v>
      </c>
    </row>
    <row r="168">
      <c r="A168" s="14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4" t="inlineStr">
        <is>
          <t>pz</t>
        </is>
      </c>
      <c r="F168" s="15" t="n"/>
      <c r="G168" s="13" t="n"/>
      <c r="H168" t="inlineStr">
        <is>
          <t>PILASTRO MOTORE, PILASTRO CUSCINETTO</t>
        </is>
      </c>
      <c r="I168" s="14" t="n">
        <v>3</v>
      </c>
    </row>
    <row r="169">
      <c r="A169" s="14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4" t="inlineStr">
        <is>
          <t>pz</t>
        </is>
      </c>
      <c r="F169" s="15" t="n"/>
      <c r="G169" s="13" t="n"/>
      <c r="H169" t="inlineStr">
        <is>
          <t>PILASTRO CUSCINETTO</t>
        </is>
      </c>
      <c r="I169" s="14" t="n">
        <v>1</v>
      </c>
    </row>
    <row r="170">
      <c r="A170" s="14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4" t="inlineStr">
        <is>
          <t>pz</t>
        </is>
      </c>
      <c r="F170" s="15" t="n"/>
      <c r="G170" s="13" t="n"/>
      <c r="H170" t="inlineStr">
        <is>
          <t>KIT OMEGA+pannelli</t>
        </is>
      </c>
      <c r="I170" s="14" t="n">
        <v>1</v>
      </c>
    </row>
    <row r="171">
      <c r="A171" s="14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4" t="inlineStr">
        <is>
          <t>pz</t>
        </is>
      </c>
      <c r="F171" s="15" t="n"/>
      <c r="G171" s="13" t="n"/>
      <c r="H171" t="inlineStr">
        <is>
          <t>ASSI DI ROTAZIONE 1303</t>
        </is>
      </c>
      <c r="I171" s="14" t="n">
        <v>5</v>
      </c>
    </row>
    <row r="172">
      <c r="A172" s="14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4" t="inlineStr">
        <is>
          <t>pz</t>
        </is>
      </c>
      <c r="F172" s="15" t="n"/>
      <c r="G172" s="13" t="n"/>
      <c r="H172" t="inlineStr">
        <is>
          <t>PILASTRO MOTORE, PILASTRO CUSCINETTO</t>
        </is>
      </c>
      <c r="I172" s="14" t="n">
        <v>3</v>
      </c>
    </row>
    <row r="173">
      <c r="A173" s="14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4" t="inlineStr">
        <is>
          <t>pz</t>
        </is>
      </c>
      <c r="F173" s="15" t="n"/>
      <c r="G173" s="13" t="n"/>
      <c r="H173" t="inlineStr">
        <is>
          <t>KIT FINE CORSA</t>
        </is>
      </c>
      <c r="I173" s="14" t="n">
        <v>1</v>
      </c>
    </row>
    <row r="174">
      <c r="A174" s="14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4" t="inlineStr">
        <is>
          <t>pz</t>
        </is>
      </c>
      <c r="F174" s="15" t="n"/>
      <c r="G174" s="13" t="n"/>
      <c r="H174" t="inlineStr">
        <is>
          <t>PILASTRO MOTORE</t>
        </is>
      </c>
      <c r="I174" s="14" t="n">
        <v>1</v>
      </c>
    </row>
    <row r="175">
      <c r="A175" s="14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4" t="inlineStr">
        <is>
          <t>pz</t>
        </is>
      </c>
      <c r="F175" s="15" t="n"/>
      <c r="G175" s="13" t="n"/>
      <c r="H175" t="inlineStr">
        <is>
          <t>sensori meteo</t>
        </is>
      </c>
      <c r="I175" s="14" t="n">
        <v>3</v>
      </c>
    </row>
    <row r="176">
      <c r="A176" s="14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4" t="inlineStr">
        <is>
          <t>pz</t>
        </is>
      </c>
      <c r="F176" s="15" t="n"/>
      <c r="G176" s="13" t="n"/>
      <c r="H176" t="inlineStr">
        <is>
          <t>KIT FINE CORSA</t>
        </is>
      </c>
      <c r="I176" s="14" t="n">
        <v>1</v>
      </c>
    </row>
    <row r="177">
      <c r="A177" s="14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4" t="inlineStr">
        <is>
          <t>pz</t>
        </is>
      </c>
      <c r="F177" s="15" t="n"/>
      <c r="G177" s="13" t="n"/>
      <c r="H177" t="inlineStr">
        <is>
          <t>KIT OMEGA+pannelli</t>
        </is>
      </c>
      <c r="I177" s="14" t="n">
        <v>1</v>
      </c>
    </row>
    <row r="178">
      <c r="A178" s="14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4" t="inlineStr">
        <is>
          <t>pz</t>
        </is>
      </c>
      <c r="F178" s="15" t="n"/>
      <c r="G178" s="13" t="n"/>
      <c r="H178" t="inlineStr">
        <is>
          <t>KIT FINE CORSA</t>
        </is>
      </c>
      <c r="I178" s="14" t="n">
        <v>1</v>
      </c>
    </row>
    <row r="179">
      <c r="A179" s="14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4" t="inlineStr">
        <is>
          <t>pz</t>
        </is>
      </c>
      <c r="F179" s="15" t="n"/>
      <c r="G179" s="13" t="n"/>
      <c r="H179" t="inlineStr">
        <is>
          <t>kit quadri centralina meteo</t>
        </is>
      </c>
      <c r="I179" s="14" t="n">
        <v>1</v>
      </c>
    </row>
    <row r="180">
      <c r="A180" s="14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4" t="inlineStr">
        <is>
          <t>pz</t>
        </is>
      </c>
      <c r="F180" s="15" t="n"/>
      <c r="G180" s="13" t="n"/>
      <c r="H180" t="inlineStr">
        <is>
          <t>kit quadro motore, sensori meteo</t>
        </is>
      </c>
      <c r="I180" s="14" t="n">
        <v>2</v>
      </c>
    </row>
    <row r="181">
      <c r="A181" s="14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4" t="inlineStr">
        <is>
          <t>pz</t>
        </is>
      </c>
      <c r="F181" s="15" t="n"/>
      <c r="G181" s="13" t="n"/>
      <c r="H181" t="inlineStr">
        <is>
          <t>ASSI DI ROTAZIONE 1303, KIT INCLINOMETRO</t>
        </is>
      </c>
      <c r="I181" s="14" t="n">
        <v>6</v>
      </c>
    </row>
    <row r="182">
      <c r="A182" s="14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4" t="inlineStr">
        <is>
          <t>pz</t>
        </is>
      </c>
      <c r="F182" s="15" t="n"/>
      <c r="G182" s="13" t="n"/>
      <c r="H182" t="inlineStr">
        <is>
          <t>kit quadri inverter</t>
        </is>
      </c>
      <c r="I182" s="14" t="n">
        <v>1</v>
      </c>
    </row>
    <row r="183">
      <c r="A183" s="14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4" t="inlineStr">
        <is>
          <t>pz</t>
        </is>
      </c>
      <c r="F183" s="15" t="n"/>
      <c r="G183" s="13" t="n"/>
      <c r="H183" t="inlineStr">
        <is>
          <t>KIT OMEGA+pannelli, kit quadro motore, kit quadri centralina meteo, kit quadri area</t>
        </is>
      </c>
      <c r="I183" s="14" t="n">
        <v>8</v>
      </c>
    </row>
    <row r="184">
      <c r="A184" s="14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4" t="inlineStr">
        <is>
          <t>pz</t>
        </is>
      </c>
      <c r="F184" s="15" t="n"/>
      <c r="G184" s="13" t="n"/>
      <c r="H184" t="inlineStr">
        <is>
          <t>kit quadri inverter</t>
        </is>
      </c>
      <c r="I184" s="14" t="n">
        <v>1</v>
      </c>
    </row>
    <row r="185">
      <c r="A185" s="14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4" t="inlineStr">
        <is>
          <t>pz</t>
        </is>
      </c>
      <c r="F185" s="15" t="n"/>
      <c r="G185" s="13" t="n"/>
      <c r="H185" t="inlineStr">
        <is>
          <t>KIT OMEGA+pannelli</t>
        </is>
      </c>
      <c r="I185" s="14" t="n">
        <v>2</v>
      </c>
    </row>
    <row r="186">
      <c r="A186" s="14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4" t="inlineStr">
        <is>
          <t>pz</t>
        </is>
      </c>
      <c r="F186" s="15" t="n"/>
      <c r="G186" s="13" t="n"/>
      <c r="H186" t="inlineStr">
        <is>
          <t>PILASTRO MOTORE, PILASTRO CUSCINETTO, ASSI DI ROTAZIONE 1303</t>
        </is>
      </c>
      <c r="I186" s="14" t="n">
        <v>12</v>
      </c>
    </row>
    <row r="187">
      <c r="A187" s="14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4" t="inlineStr">
        <is>
          <t>pz</t>
        </is>
      </c>
      <c r="F187" s="15" t="n"/>
      <c r="G187" s="13" t="n"/>
      <c r="H187" t="inlineStr">
        <is>
          <t>PILASTRO MOTORE, PILASTRO CUSCINETTO</t>
        </is>
      </c>
      <c r="I187" s="14" t="n">
        <v>2</v>
      </c>
    </row>
    <row r="188">
      <c r="A188" s="14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4" t="inlineStr">
        <is>
          <t>pz</t>
        </is>
      </c>
      <c r="F188" s="15" t="n"/>
      <c r="G188" s="13" t="n"/>
      <c r="H188" t="inlineStr">
        <is>
          <t>KIT FINE CORSA, KIT INCLINOMETRO, sensori meteo</t>
        </is>
      </c>
      <c r="I188" s="14" t="n">
        <v>5</v>
      </c>
    </row>
    <row r="189">
      <c r="A189" s="14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4" t="inlineStr">
        <is>
          <t>pz</t>
        </is>
      </c>
      <c r="F189" s="15" t="n"/>
      <c r="G189" s="13" t="n"/>
      <c r="H189" t="inlineStr">
        <is>
          <t>KIT OMEGA+pannelli, KIT FINE CORSA, kit quadro motore, kit quadri centralina meteo, sensori meteo</t>
        </is>
      </c>
      <c r="I189" s="14" t="n">
        <v>5</v>
      </c>
    </row>
    <row r="190">
      <c r="A190" s="14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4" t="inlineStr">
        <is>
          <t>pz</t>
        </is>
      </c>
      <c r="F190" s="15" t="n"/>
      <c r="G190" s="13" t="n"/>
      <c r="H190" t="inlineStr">
        <is>
          <t>ASSI DI ROTAZIONE 1303, KIT OMEGA+pannelli, KIT INCLINOMETRO, kit quadro motore, kit quadri centralina meteo, kit quadri area, kit quadri inverter</t>
        </is>
      </c>
      <c r="I190" s="14" t="n">
        <v>15</v>
      </c>
    </row>
    <row r="191">
      <c r="A191" s="14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4" t="inlineStr">
        <is>
          <t>pz</t>
        </is>
      </c>
      <c r="F191" s="15" t="n"/>
      <c r="G191" s="13" t="n"/>
      <c r="H191" t="inlineStr">
        <is>
          <t>PILASTRO MOTORE, PILASTRO CUSCINETTO, ASSI DI ROTAZIONE 1303, KIT OMEGA+pannelli</t>
        </is>
      </c>
      <c r="I191" s="14" t="n">
        <v>25</v>
      </c>
    </row>
    <row r="192">
      <c r="A192" s="14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4" t="inlineStr">
        <is>
          <t>pz</t>
        </is>
      </c>
      <c r="F192" s="15" t="n"/>
      <c r="G192" s="13" t="n"/>
      <c r="H192" t="inlineStr">
        <is>
          <t>PILASTRO MOTORE, PILASTRO CUSCINETTO, KIT FINE CORSA</t>
        </is>
      </c>
      <c r="I192" s="14" t="n">
        <v>5</v>
      </c>
    </row>
    <row r="193">
      <c r="A193" s="14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4" t="inlineStr">
        <is>
          <t>pz</t>
        </is>
      </c>
      <c r="F193" s="15" t="n"/>
      <c r="G193" s="13" t="n"/>
      <c r="H193" t="inlineStr">
        <is>
          <t>KIT FINE CORSA, KIT INCLINOMETRO, sensori meteo</t>
        </is>
      </c>
      <c r="I193" s="14" t="n">
        <v>6</v>
      </c>
    </row>
    <row r="194">
      <c r="A194" s="14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4" t="inlineStr">
        <is>
          <t>pz</t>
        </is>
      </c>
      <c r="F194" s="15" t="n"/>
      <c r="G194" s="13" t="n"/>
      <c r="H194" t="inlineStr">
        <is>
          <t>KIT OMEGA+pannelli, KIT FINE CORSA, kit quadro motore, kit quadri centralina meteo, sensori meteo</t>
        </is>
      </c>
      <c r="I194" s="14" t="n">
        <v>10</v>
      </c>
    </row>
    <row r="195">
      <c r="A195" s="14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4" t="inlineStr">
        <is>
          <t>pz</t>
        </is>
      </c>
      <c r="F195" s="15" t="n"/>
      <c r="G195" s="13" t="n"/>
      <c r="H195" t="inlineStr">
        <is>
          <t>ASSI DI ROTAZIONE 1303, KIT OMEGA+pannelli, KIT INCLINOMETRO, kit quadro motore, kit quadri centralina meteo, kit quadri area, kit quadri inverter</t>
        </is>
      </c>
      <c r="I195" s="14" t="n">
        <v>32</v>
      </c>
    </row>
    <row r="196">
      <c r="A196" s="14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4" t="inlineStr">
        <is>
          <t>pz</t>
        </is>
      </c>
      <c r="F196" s="15" t="n"/>
      <c r="G196" s="13" t="n"/>
      <c r="H196" t="inlineStr">
        <is>
          <t>KIT INCLINOMETRO</t>
        </is>
      </c>
      <c r="I196" s="14" t="n">
        <v>1</v>
      </c>
    </row>
    <row r="197">
      <c r="A197" s="14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4" t="inlineStr">
        <is>
          <t>pz</t>
        </is>
      </c>
      <c r="F197" s="15" t="n"/>
      <c r="G197" s="13" t="n"/>
      <c r="H197" t="inlineStr">
        <is>
          <t>PILASTRO MOTORE</t>
        </is>
      </c>
      <c r="I197" s="14" t="n">
        <v>1</v>
      </c>
    </row>
    <row r="198">
      <c r="A198" s="14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4" t="inlineStr">
        <is>
          <t>pz</t>
        </is>
      </c>
      <c r="F198" s="15" t="n"/>
      <c r="G198" s="13" t="n"/>
      <c r="H198" t="inlineStr">
        <is>
          <t>PILASTRO CUSCINETTO</t>
        </is>
      </c>
      <c r="I198" s="14" t="n">
        <v>1</v>
      </c>
    </row>
    <row r="199">
      <c r="A199" s="14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4" t="inlineStr">
        <is>
          <t>pz</t>
        </is>
      </c>
      <c r="F199" s="15" t="n"/>
      <c r="G199" s="13" t="n"/>
      <c r="H199" t="inlineStr">
        <is>
          <t>kit quadri centralina meteo</t>
        </is>
      </c>
      <c r="I199" s="14" t="n">
        <v>1</v>
      </c>
    </row>
    <row r="200">
      <c r="A200" s="14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4" t="inlineStr">
        <is>
          <t>pz</t>
        </is>
      </c>
      <c r="F200" s="15" t="n"/>
      <c r="G200" s="13" t="n"/>
      <c r="H200" t="inlineStr">
        <is>
          <t>kit quadro motore, kit quadri centralina meteo</t>
        </is>
      </c>
      <c r="I200" s="14" t="n">
        <v>3</v>
      </c>
    </row>
    <row r="201">
      <c r="A201" s="14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4" t="inlineStr">
        <is>
          <t>pz</t>
        </is>
      </c>
      <c r="F201" s="15" t="n"/>
      <c r="G201" s="13" t="n"/>
      <c r="H201" t="inlineStr">
        <is>
          <t>KIT FINE CORSA</t>
        </is>
      </c>
      <c r="I201" s="14" t="n">
        <v>1</v>
      </c>
    </row>
    <row r="202">
      <c r="A202" s="14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4" t="inlineStr">
        <is>
          <t>pz</t>
        </is>
      </c>
      <c r="F202" s="15" t="n"/>
      <c r="G202" s="13" t="n"/>
      <c r="H202" t="inlineStr">
        <is>
          <t>sensori meteo</t>
        </is>
      </c>
      <c r="I202" s="14" t="n">
        <v>1</v>
      </c>
    </row>
    <row r="203">
      <c r="A203" s="14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4" t="inlineStr">
        <is>
          <t>pz</t>
        </is>
      </c>
      <c r="F203" s="15" t="n"/>
      <c r="G203" s="13" t="n"/>
      <c r="H203" t="inlineStr">
        <is>
          <t>sensori meteo</t>
        </is>
      </c>
      <c r="I203" s="14" t="n">
        <v>1</v>
      </c>
    </row>
    <row r="204">
      <c r="A204" s="14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4" t="inlineStr">
        <is>
          <t>pz</t>
        </is>
      </c>
      <c r="F204" s="15" t="n"/>
      <c r="G204" s="13" t="n"/>
      <c r="H204" t="inlineStr">
        <is>
          <t>sensori meteo</t>
        </is>
      </c>
      <c r="I204" s="14" t="n">
        <v>1</v>
      </c>
    </row>
    <row r="205">
      <c r="A205" s="14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4" t="inlineStr">
        <is>
          <t>pz</t>
        </is>
      </c>
      <c r="F205" s="15" t="n"/>
      <c r="G205" s="13" t="n"/>
      <c r="H205" t="inlineStr">
        <is>
          <t>sensori meteo</t>
        </is>
      </c>
      <c r="I205" s="14" t="n">
        <v>1</v>
      </c>
    </row>
    <row r="206">
      <c r="A206" s="14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4" t="inlineStr">
        <is>
          <t>pz</t>
        </is>
      </c>
      <c r="F206" s="15" t="n"/>
      <c r="G206" s="13" t="n"/>
      <c r="H206" t="inlineStr">
        <is>
          <t>KIT INCLINOMETRO</t>
        </is>
      </c>
      <c r="I206" s="14" t="n">
        <v>1</v>
      </c>
    </row>
    <row r="207">
      <c r="A207" s="14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4" t="inlineStr">
        <is>
          <t>pz</t>
        </is>
      </c>
      <c r="F207" s="15" t="n"/>
      <c r="G207" s="13" t="n"/>
      <c r="I207" s="14" t="n"/>
    </row>
    <row r="208">
      <c r="A208" s="14" t="n">
        <v>204</v>
      </c>
      <c r="C208" t="inlineStr">
        <is>
          <t>Pannello fotovoltaico</t>
        </is>
      </c>
      <c r="D208" t="inlineStr">
        <is>
          <t>Moduli fotovoltaici</t>
        </is>
      </c>
      <c r="E208" s="14" t="inlineStr">
        <is>
          <t>pz</t>
        </is>
      </c>
      <c r="F208" s="15" t="n"/>
      <c r="G208" s="13" t="n"/>
      <c r="I208" s="14" t="n"/>
    </row>
  </sheetData>
  <autoFilter ref="A4:I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24" customWidth="1" style="16" min="2" max="2"/>
    <col width="5" customWidth="1" style="16" min="3" max="3"/>
    <col width="26" customWidth="1" style="16" min="4" max="4"/>
    <col width="60" customWidth="1" style="16" min="5" max="5"/>
    <col width="26" customWidth="1" style="16" min="6" max="6"/>
    <col width="7" customWidth="1" style="16" min="7" max="7"/>
    <col width="11" customWidth="1" style="16" min="8" max="8"/>
    <col width="11" customWidth="1" style="16" min="9" max="9"/>
    <col width="11" customWidth="1" style="16" min="10" max="10"/>
    <col width="11" customWidth="1" style="16" min="11" max="11"/>
    <col width="11" customWidth="1" style="16" min="12" max="12"/>
    <col width="11" customWidth="1" style="16" min="13" max="13"/>
    <col width="18" customWidth="1" style="16" min="14" max="14"/>
    <col width="6" customWidth="1" style="16" min="15" max="15"/>
    <col width="14" customWidth="1" style="16" min="16" max="16"/>
    <col width="16" customWidth="1" style="16" min="17" max="17"/>
    <col width="14" customWidth="1" style="16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TTS.PF.001.IPEA140.30</t>
        </is>
      </c>
      <c r="E3" s="5" t="inlineStr">
        <is>
          <t>Pilastro fondazione trave IPEA140 mt.3,00 (alleggerita)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TTS.PF.001.IPE140.26</t>
        </is>
      </c>
      <c r="E4" s="5" t="inlineStr">
        <is>
          <t>Pilastro fondazione trave IPE140 mt.2,60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TTS.PF.001.IPEA140.26</t>
        </is>
      </c>
      <c r="E5" s="5" t="inlineStr">
        <is>
          <t>Pilastro fondazione trave IPEA140 mt.2,60 (alleggerita)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TTS.PF.001.IPE140.27</t>
        </is>
      </c>
      <c r="E6" s="5" t="inlineStr">
        <is>
          <t>Pilastro fondazione trave IPE140 mt.2,70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TTS.PF.001.IPEA140.27</t>
        </is>
      </c>
      <c r="E7" s="5" t="inlineStr">
        <is>
          <t>Pilastro fondazione trave IPEA140 mt.2,70 (alleggerita)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TTS.PF.001.IPE140.28</t>
        </is>
      </c>
      <c r="E8" s="5" t="inlineStr">
        <is>
          <t>Pilastro fondazione trave IPE140 mt.2,80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TTS.PF.001.IPEA140.28</t>
        </is>
      </c>
      <c r="E9" s="5" t="inlineStr">
        <is>
          <t>Pilastro fondazione trave IPEA140 mt.2,80 (alleggerita)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TTS.PF.001.IPE140.29</t>
        </is>
      </c>
      <c r="E10" s="5" t="inlineStr">
        <is>
          <t>Pilastro fondazione trave IPE140 mt.2,90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TTS.PF.001.IPEA140.29</t>
        </is>
      </c>
      <c r="E11" s="5" t="inlineStr">
        <is>
          <t>Pilastro fondazione trave IPEA140 mt.2,90 (alleggerita)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TTS.PF.001.IPE140.31</t>
        </is>
      </c>
      <c r="E12" s="5" t="inlineStr">
        <is>
          <t>Pilastro fondazione trave IPE140 mt.3,10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1</v>
      </c>
      <c r="D13" s="5" t="inlineStr">
        <is>
          <t>TTS.PF.001.IPEA140.31</t>
        </is>
      </c>
      <c r="E13" s="5" t="inlineStr">
        <is>
          <t>Pilastro fondazione trave IPEA140 mt.3,10 (alleggerita)</t>
        </is>
      </c>
      <c r="F13" s="5" t="inlineStr">
        <is>
          <t>Carpenteria metallica</t>
        </is>
      </c>
      <c r="G13" s="12" t="n">
        <v>0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1</v>
      </c>
      <c r="D14" s="5" t="inlineStr">
        <is>
          <t>TTS.PF.001.IPE140.32</t>
        </is>
      </c>
      <c r="E14" s="5" t="inlineStr">
        <is>
          <t>Pilastro fondazione trave IPE140 mt.3,20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1</v>
      </c>
      <c r="D15" s="5" t="inlineStr">
        <is>
          <t>TTS.PF.001.IPEA140.32</t>
        </is>
      </c>
      <c r="E15" s="5" t="inlineStr">
        <is>
          <t>Pilastro fondazione trave IPEA140 mt.3,20 (alleggerita)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1</v>
      </c>
      <c r="D16" s="5" t="inlineStr">
        <is>
          <t>TTS.PF.001.IPE140.33</t>
        </is>
      </c>
      <c r="E16" s="5" t="inlineStr">
        <is>
          <t>Pilastro fondazione trave IPE140 mt.3,30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1</v>
      </c>
      <c r="D17" s="5" t="inlineStr">
        <is>
          <t>TTS.PF.001.IPEA140.33</t>
        </is>
      </c>
      <c r="E17" s="5" t="inlineStr">
        <is>
          <t>Pilastro fondazione trave IPEA140 mt.3,30 (alleggerita)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1</v>
      </c>
      <c r="D18" s="5" t="inlineStr">
        <is>
          <t>TTS.PF.001.IPE140.34</t>
        </is>
      </c>
      <c r="E18" s="5" t="inlineStr">
        <is>
          <t>Pilastro fondazione trave IPE140 mt.3,40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1</v>
      </c>
      <c r="D19" s="5" t="inlineStr">
        <is>
          <t>TTS.PF.001.IPEA140.34</t>
        </is>
      </c>
      <c r="E19" s="5" t="inlineStr">
        <is>
          <t>Pilastro fondazione trave IPEA140 mt.3,40 (alleggerita)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1</v>
      </c>
      <c r="D20" s="5" t="inlineStr">
        <is>
          <t>TTS.PF.001.IPE140.35</t>
        </is>
      </c>
      <c r="E20" s="5" t="inlineStr">
        <is>
          <t>Pilastro fondazione trave IPE140 mt.3,50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1</v>
      </c>
      <c r="D21" s="5" t="inlineStr">
        <is>
          <t>TTS.PF.001.IPEA140.35</t>
        </is>
      </c>
      <c r="E21" s="5" t="inlineStr">
        <is>
          <t>Pilastro fondazione trave IPEA140 mt.3,50 (alleggerita)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1</v>
      </c>
      <c r="D22" s="5" t="inlineStr">
        <is>
          <t>TTS.PF.001.IPE140.36</t>
        </is>
      </c>
      <c r="E22" s="5" t="inlineStr">
        <is>
          <t>Pilastro fondazione trave IPE140 mt.3,60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1</v>
      </c>
      <c r="D23" s="5" t="inlineStr">
        <is>
          <t>TTS.PF.001.IPEA140.36</t>
        </is>
      </c>
      <c r="E23" s="5" t="inlineStr">
        <is>
          <t>Pilastro fondazione trave IPEA140 mt.3,60 (alleggerita)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TTS.PM.001.IPE140.22</t>
        </is>
      </c>
      <c r="E24" s="5" t="inlineStr">
        <is>
          <t>Pilastro motore trave IPE 140 mt.2,22</t>
        </is>
      </c>
      <c r="F24" s="5" t="inlineStr">
        <is>
          <t>Carpenteria metallica</t>
        </is>
      </c>
      <c r="G24" s="12" t="n">
        <v>1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TTS.PM.001.IPEA140.22</t>
        </is>
      </c>
      <c r="E25" s="5" t="inlineStr">
        <is>
          <t>Pilastro motore trave ipea140 x 2220 con foratura alloggiamento quadro motore (alleggerita)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TTS.PM.001.IPE140.27</t>
        </is>
      </c>
      <c r="E26" s="5" t="inlineStr">
        <is>
          <t>Pilastro motore trave ipe140 x 2720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TTS.PM.001.IPEA140.27</t>
        </is>
      </c>
      <c r="E27" s="5" t="inlineStr">
        <is>
          <t>Pilastro motore trave ipea140 x 2720 con foratura alloggiamento quadro motore (alleggerita)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TTS.PM.001.IPE140.28</t>
        </is>
      </c>
      <c r="E28" s="5" t="inlineStr">
        <is>
          <t>Pilastro motore trave ipe140 x 2820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TTS.PM.001.IPEA140.28</t>
        </is>
      </c>
      <c r="E29" s="5" t="inlineStr">
        <is>
          <t>Pilastro motore trave ipea140 x 2820 con foratura alloggiamento quadro motore (alleggerita)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TTS.PM.001.IPE140.29</t>
        </is>
      </c>
      <c r="E30" s="5" t="inlineStr">
        <is>
          <t>Pilastro motore trave ipe140 x 2920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TTS.PM.001.IPEA140.29</t>
        </is>
      </c>
      <c r="E31" s="5" t="inlineStr">
        <is>
          <t>Pilastro motore trave ipea140 x 2920 con foratura alloggiamento quadro motore (alleggerita)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2</v>
      </c>
      <c r="D32" s="5" t="inlineStr">
        <is>
          <t>TTS.PM.001.IPE140.30</t>
        </is>
      </c>
      <c r="E32" s="5" t="inlineStr">
        <is>
          <t>Pilastro motore trave ipe140 x 3020 con foratura alloggiamento quadro motore (standard)</t>
        </is>
      </c>
      <c r="F32" s="5" t="inlineStr">
        <is>
          <t>Carpenteria metallica</t>
        </is>
      </c>
      <c r="G32" s="12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2</v>
      </c>
      <c r="D33" s="5" t="inlineStr">
        <is>
          <t>TTS.PM.001.IPEA140.30</t>
        </is>
      </c>
      <c r="E33" s="5" t="inlineStr">
        <is>
          <t>Pilastro motore trave ipea140 x 3020 con foratura alloggiamento quadro motore (alleggerita)</t>
        </is>
      </c>
      <c r="F33" s="5" t="inlineStr">
        <is>
          <t>Carpenteria metallica</t>
        </is>
      </c>
      <c r="G33" s="12" t="n">
        <v>0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2</v>
      </c>
      <c r="D34" s="5" t="inlineStr">
        <is>
          <t>TTS.PM.001.IPE140.31</t>
        </is>
      </c>
      <c r="E34" s="5" t="inlineStr">
        <is>
          <t>Pilastro motore trave ipe140 x 3120 con foratura alloggiamento quadro motore (standard)</t>
        </is>
      </c>
      <c r="F34" s="5" t="inlineStr">
        <is>
          <t>Carpenteria metallica</t>
        </is>
      </c>
      <c r="G34" s="12" t="n">
        <v>0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2</v>
      </c>
      <c r="D35" s="5" t="inlineStr">
        <is>
          <t>TTS.PM.001.IPEA140.31</t>
        </is>
      </c>
      <c r="E35" s="5" t="inlineStr">
        <is>
          <t>Pilastro motore trave ipea140 x 3120 con foratura alloggiamento quadro motore (alleggerita)</t>
        </is>
      </c>
      <c r="F35" s="5" t="inlineStr">
        <is>
          <t>Carpenteria metallica</t>
        </is>
      </c>
      <c r="G35" s="12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2</v>
      </c>
      <c r="D36" s="5" t="inlineStr">
        <is>
          <t>TTS.PM.001.IPE140.32</t>
        </is>
      </c>
      <c r="E36" s="5" t="inlineStr">
        <is>
          <t>Pilastro motore trave ipe140 x 3220 con foratura alloggiamento quadro motore (standard)</t>
        </is>
      </c>
      <c r="F36" s="5" t="inlineStr">
        <is>
          <t>Carpenteria metallica</t>
        </is>
      </c>
      <c r="G36" s="12" t="n">
        <v>0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2</v>
      </c>
      <c r="D37" s="5" t="inlineStr">
        <is>
          <t>TTS.PM.001.IPEA140.32</t>
        </is>
      </c>
      <c r="E37" s="5" t="inlineStr">
        <is>
          <t>Pilastro motore trave ipea140 x 3220 con foratura alloggiamento quadro motore (alleggerita)</t>
        </is>
      </c>
      <c r="F37" s="5" t="inlineStr">
        <is>
          <t>Carpenteria metallica</t>
        </is>
      </c>
      <c r="G37" s="12" t="n">
        <v>0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TTS.PM.001.IPE140.33</t>
        </is>
      </c>
      <c r="E38" s="5" t="inlineStr">
        <is>
          <t>Pilastro motore trave ipe140 x 3320 con foratura alloggiamento quadro motore (standard)</t>
        </is>
      </c>
      <c r="F38" s="5" t="inlineStr">
        <is>
          <t>Carpenteria metallica</t>
        </is>
      </c>
      <c r="G38" s="12" t="n">
        <v>0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2</v>
      </c>
      <c r="D39" s="5" t="inlineStr">
        <is>
          <t>TTS.PM.001.IPEA140.33</t>
        </is>
      </c>
      <c r="E39" s="5" t="inlineStr">
        <is>
          <t>Pilastro motore trave ipea140 x 3320 con foratura alloggiamento quadro motore (alleggerita)</t>
        </is>
      </c>
      <c r="F39" s="5" t="inlineStr">
        <is>
          <t>Carpenteria metallica</t>
        </is>
      </c>
      <c r="G39" s="12" t="n">
        <v>0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2</v>
      </c>
      <c r="D40" s="5" t="inlineStr">
        <is>
          <t>TTS.PM.001.IPE140.34</t>
        </is>
      </c>
      <c r="E40" s="5" t="inlineStr">
        <is>
          <t>Pilastro motore trave ipe140 x 3420 con foratura alloggiamento quadro motore (standard)</t>
        </is>
      </c>
      <c r="F40" s="5" t="inlineStr">
        <is>
          <t>Carpenteria metallica</t>
        </is>
      </c>
      <c r="G40" s="12" t="n">
        <v>0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2</v>
      </c>
      <c r="D41" s="5" t="inlineStr">
        <is>
          <t>TTS.PM.001.IPEA140.34</t>
        </is>
      </c>
      <c r="E41" s="5" t="inlineStr">
        <is>
          <t>Pilastro motore trave ipea140 x 3420 con foratura alloggiamento quadro motore (alleggerita)</t>
        </is>
      </c>
      <c r="F41" s="5" t="inlineStr">
        <is>
          <t>Carpenteria metallica</t>
        </is>
      </c>
      <c r="G41" s="12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2</v>
      </c>
      <c r="D42" s="5" t="inlineStr">
        <is>
          <t>TTS.PM.001.IPE140.35</t>
        </is>
      </c>
      <c r="E42" s="5" t="inlineStr">
        <is>
          <t>Pilastro motore trave ipe140 x 3520 con foratura alloggiamento quadro motore (standard)</t>
        </is>
      </c>
      <c r="F42" s="5" t="inlineStr">
        <is>
          <t>Carpenteria metallica</t>
        </is>
      </c>
      <c r="G42" s="12" t="n">
        <v>0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TTS.PM.001.IPEA140.35</t>
        </is>
      </c>
      <c r="E43" s="5" t="inlineStr">
        <is>
          <t>Pilastro motore trave ipea140 x 3520 con foratura alloggiamento quadro motore (alleggerita)</t>
        </is>
      </c>
      <c r="F43" s="5" t="inlineStr">
        <is>
          <t>Carpenteria metallica</t>
        </is>
      </c>
      <c r="G43" s="12" t="n">
        <v>0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2</v>
      </c>
      <c r="D44" s="5" t="inlineStr">
        <is>
          <t>TTS.PM.001.IPE140.36</t>
        </is>
      </c>
      <c r="E44" s="5" t="inlineStr">
        <is>
          <t>Pilastro motore trave ipe140 x 3620 con foratura alloggiamento quadro motore (standard)</t>
        </is>
      </c>
      <c r="F44" s="5" t="inlineStr">
        <is>
          <t>Carpenteria metallica</t>
        </is>
      </c>
      <c r="G44" s="12" t="n">
        <v>0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2</v>
      </c>
      <c r="D45" s="5" t="inlineStr">
        <is>
          <t>TTS.PM.001.IPEA140.36</t>
        </is>
      </c>
      <c r="E45" s="5" t="inlineStr">
        <is>
          <t>Pilastro motore trave ipea140 x 3620 con foratura alloggiamento quadro motore (alleggerita)</t>
        </is>
      </c>
      <c r="F45" s="5" t="inlineStr">
        <is>
          <t>Carpenteria metallica</t>
        </is>
      </c>
      <c r="G45" s="12" t="n">
        <v>0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2</v>
      </c>
      <c r="D46" s="5" t="inlineStr">
        <is>
          <t>TTS.PM.001.IPE140.37</t>
        </is>
      </c>
      <c r="E46" s="5" t="inlineStr">
        <is>
          <t>Pilastro motore trave ipe140 x 3720 con foratura alloggiamento quadro motore (standard)</t>
        </is>
      </c>
      <c r="F46" s="5" t="inlineStr">
        <is>
          <t>Carpenteria metallica</t>
        </is>
      </c>
      <c r="G46" s="12" t="n">
        <v>0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TTS.PM.001.IPEA140.37</t>
        </is>
      </c>
      <c r="E47" s="5" t="inlineStr">
        <is>
          <t>Pilastro motore trave ipea140 x 3720 con foratura alloggiamento quadro motore (alleggerita)</t>
        </is>
      </c>
      <c r="F47" s="5" t="inlineStr">
        <is>
          <t>Carpenteria metallica</t>
        </is>
      </c>
      <c r="G47" s="12" t="n">
        <v>0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2</v>
      </c>
      <c r="D48" s="5" t="inlineStr">
        <is>
          <t>TTS.PM.001.IPE140.38</t>
        </is>
      </c>
      <c r="E48" s="5" t="inlineStr">
        <is>
          <t>Pilastro motore trave ipe140 x 3820 con foratura alloggiamento quadro motore (standard)</t>
        </is>
      </c>
      <c r="F48" s="5" t="inlineStr">
        <is>
          <t>Carpenteria metallica</t>
        </is>
      </c>
      <c r="G48" s="12" t="n">
        <v>0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2</v>
      </c>
      <c r="D49" s="5" t="inlineStr">
        <is>
          <t>TTS.PM.001.IPEA140.38</t>
        </is>
      </c>
      <c r="E49" s="5" t="inlineStr">
        <is>
          <t>Pilastro motore trave ipea140 x 3820 con foratura alloggiamento quadro motore (alleggerita)</t>
        </is>
      </c>
      <c r="F49" s="5" t="inlineStr">
        <is>
          <t>Carpenteria metallica</t>
        </is>
      </c>
      <c r="G49" s="12" t="n">
        <v>0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2</v>
      </c>
      <c r="D50" s="5" t="inlineStr">
        <is>
          <t>TTS.PM.001.IPE140.39</t>
        </is>
      </c>
      <c r="E50" s="5" t="inlineStr">
        <is>
          <t>Pilastro motore trave ipe140 x 3920 con foratura alloggiamento quadro motore (standard)</t>
        </is>
      </c>
      <c r="F50" s="5" t="inlineStr">
        <is>
          <t>Carpenteria metallica</t>
        </is>
      </c>
      <c r="G50" s="12" t="n">
        <v>0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2</v>
      </c>
      <c r="D51" s="5" t="inlineStr">
        <is>
          <t>TTS.PM.001.IPEA140.39</t>
        </is>
      </c>
      <c r="E51" s="5" t="inlineStr">
        <is>
          <t>Pilastro motore trave ipea140 x 3920 con foratura alloggiamento quadro motore (alleggerita)</t>
        </is>
      </c>
      <c r="F51" s="5" t="inlineStr">
        <is>
          <t>Carpenteria metallica</t>
        </is>
      </c>
      <c r="G51" s="12" t="n">
        <v>0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2</v>
      </c>
      <c r="D52" s="5" t="inlineStr">
        <is>
          <t>TTS.PM.001.IPE140.40</t>
        </is>
      </c>
      <c r="E52" s="5" t="inlineStr">
        <is>
          <t>Pilastro motore trave ipe140 x 4020 con foratura alloggiamento quadro motore (standard)</t>
        </is>
      </c>
      <c r="F52" s="5" t="inlineStr">
        <is>
          <t>Carpenteria metallica</t>
        </is>
      </c>
      <c r="G52" s="12" t="n">
        <v>0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MOTORE</t>
        </is>
      </c>
      <c r="B53" s="5" t="n"/>
      <c r="C53" s="12" t="n">
        <v>2</v>
      </c>
      <c r="D53" s="5" t="inlineStr">
        <is>
          <t>TTS.PM.001.IPEA140.40</t>
        </is>
      </c>
      <c r="E53" s="5" t="inlineStr">
        <is>
          <t>Pilastro motore trave ipea140 x 4020 con foratura alloggiamento quadro motore (alleggerita)</t>
        </is>
      </c>
      <c r="F53" s="5" t="inlineStr">
        <is>
          <t>Carpenteria metallica</t>
        </is>
      </c>
      <c r="G53" s="12" t="n">
        <v>0</v>
      </c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MOTORE</t>
        </is>
      </c>
      <c r="B54" s="5" t="n"/>
      <c r="C54" s="12" t="n">
        <v>2</v>
      </c>
      <c r="D54" s="5" t="inlineStr">
        <is>
          <t>TTS.PM.001.IPE140.41</t>
        </is>
      </c>
      <c r="E54" s="5" t="inlineStr">
        <is>
          <t>Pilastro motore trave ipe140 x 4120 con foratura alloggiamento quadro motore (standard)</t>
        </is>
      </c>
      <c r="F54" s="5" t="inlineStr">
        <is>
          <t>Carpenteria metallica</t>
        </is>
      </c>
      <c r="G54" s="12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MOTORE</t>
        </is>
      </c>
      <c r="B55" s="5" t="n"/>
      <c r="C55" s="12" t="n">
        <v>2</v>
      </c>
      <c r="D55" s="5" t="inlineStr">
        <is>
          <t>TTS.PM.001.IPEA140.41</t>
        </is>
      </c>
      <c r="E55" s="5" t="inlineStr">
        <is>
          <t>Pilastro motore trave ipea140 x 4120 con foratura alloggiamento quadro motore (alleggerita)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MOTORE</t>
        </is>
      </c>
      <c r="B56" s="5" t="n"/>
      <c r="C56" s="12" t="n">
        <v>2</v>
      </c>
      <c r="D56" s="5" t="inlineStr">
        <is>
          <t>TTS.PM.001.IPE140.42</t>
        </is>
      </c>
      <c r="E56" s="5" t="inlineStr">
        <is>
          <t>Pilastro motore trave ipe140 x 4220 con foratura alloggiamento quadro motore (standard)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MOTORE</t>
        </is>
      </c>
      <c r="B57" s="5" t="n"/>
      <c r="C57" s="12" t="n">
        <v>2</v>
      </c>
      <c r="D57" s="5" t="inlineStr">
        <is>
          <t>TTS.PM.001.IPEA140.42</t>
        </is>
      </c>
      <c r="E57" s="5" t="inlineStr">
        <is>
          <t>Pilastro motore trave ipea140 x 4220 con foratura alloggiamento quadro motore (alleggerita)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MOTORE</t>
        </is>
      </c>
      <c r="B58" s="5" t="n"/>
      <c r="C58" s="12" t="n">
        <v>2</v>
      </c>
      <c r="D58" s="5" t="inlineStr">
        <is>
          <t>TTS.PM.001.IPE140.43</t>
        </is>
      </c>
      <c r="E58" s="5" t="inlineStr">
        <is>
          <t>Pilastro motore trave ipe140 x 4320 con foratura alloggiamento quadro motore (standard)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MOTORE</t>
        </is>
      </c>
      <c r="B59" s="5" t="n"/>
      <c r="C59" s="12" t="n">
        <v>2</v>
      </c>
      <c r="D59" s="5" t="inlineStr">
        <is>
          <t>TTS.PM.001.IPEA140.43</t>
        </is>
      </c>
      <c r="E59" s="5" t="inlineStr">
        <is>
          <t>Pilastro motore trave ipea140 x 4320 con foratura alloggiamento quadro motore (alleggerita)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MOTORE</t>
        </is>
      </c>
      <c r="B60" s="5" t="n"/>
      <c r="C60" s="12" t="n">
        <v>2</v>
      </c>
      <c r="D60" s="5" t="inlineStr">
        <is>
          <t>TTS.PM.001.IPE140.44</t>
        </is>
      </c>
      <c r="E60" s="5" t="inlineStr">
        <is>
          <t>Pilastro motore trave ipe140 x 4420 con foratura alloggiamento quadro motore (standard)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MOTORE</t>
        </is>
      </c>
      <c r="B61" s="5" t="n"/>
      <c r="C61" s="12" t="n">
        <v>2</v>
      </c>
      <c r="D61" s="5" t="inlineStr">
        <is>
          <t>TTS.PM.001.IPEA140.44</t>
        </is>
      </c>
      <c r="E61" s="5" t="inlineStr">
        <is>
          <t>Pilastro motore trave ipea140 x 4420 con foratura alloggiamento quadro motore (alleggerita)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MOTORE</t>
        </is>
      </c>
      <c r="B62" s="5" t="n"/>
      <c r="C62" s="12" t="n">
        <v>3</v>
      </c>
      <c r="D62" s="5" t="inlineStr">
        <is>
          <t>TTS.PF.002.IPE140</t>
        </is>
      </c>
      <c r="E62" s="5" t="inlineStr">
        <is>
          <t>Piastra giunzione montanti centrali 200x100x4 (8 fori Ø 11)</t>
        </is>
      </c>
      <c r="F62" s="5" t="inlineStr">
        <is>
          <t>Carpenteria metallica</t>
        </is>
      </c>
      <c r="G62" s="12" t="n">
        <v>2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MOTORE</t>
        </is>
      </c>
      <c r="B63" s="5" t="n"/>
      <c r="C63" s="12" t="n">
        <v>4</v>
      </c>
      <c r="D63" s="5" t="inlineStr">
        <is>
          <t>10BZ10X40</t>
        </is>
      </c>
      <c r="E63" s="5" t="inlineStr">
        <is>
          <t>Bullone testa esagonale zn M10X40</t>
        </is>
      </c>
      <c r="F63" s="5" t="inlineStr">
        <is>
          <t>Bulloneria e minuteria</t>
        </is>
      </c>
      <c r="G63" s="12" t="n">
        <v>8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MOTORE</t>
        </is>
      </c>
      <c r="B64" s="5" t="n"/>
      <c r="C64" s="12" t="n">
        <v>5</v>
      </c>
      <c r="D64" s="5" t="inlineStr">
        <is>
          <t>10ROND10</t>
        </is>
      </c>
      <c r="E64" s="5" t="inlineStr">
        <is>
          <t>Rondella zn da 10</t>
        </is>
      </c>
      <c r="F64" s="5" t="inlineStr">
        <is>
          <t>Bulloneria e minuteria</t>
        </is>
      </c>
      <c r="G64" s="12" t="n">
        <v>8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MOTORE</t>
        </is>
      </c>
      <c r="B65" s="5" t="n"/>
      <c r="C65" s="12" t="n">
        <v>6</v>
      </c>
      <c r="D65" s="5" t="inlineStr">
        <is>
          <t>10ROND10</t>
        </is>
      </c>
      <c r="E65" s="5" t="inlineStr">
        <is>
          <t>Rondella zn da 10</t>
        </is>
      </c>
      <c r="F65" s="5" t="inlineStr">
        <is>
          <t>Bulloneria e minuteria</t>
        </is>
      </c>
      <c r="G65" s="12" t="n">
        <v>8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MOTORE</t>
        </is>
      </c>
      <c r="B66" s="5" t="n"/>
      <c r="C66" s="12" t="n">
        <v>7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12" t="n">
        <v>8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MOTORE</t>
        </is>
      </c>
      <c r="B67" s="5" t="n"/>
      <c r="C67" s="12" t="n">
        <v>1</v>
      </c>
      <c r="D67" s="5" t="inlineStr">
        <is>
          <t>TTS.PF.003.IPE140</t>
        </is>
      </c>
      <c r="E67" s="5" t="inlineStr">
        <is>
          <t>Piastra giunzione montanti esterna 240x70x6 (12 fori Ø 11)</t>
        </is>
      </c>
      <c r="F67" s="5" t="inlineStr">
        <is>
          <t>Carpenteria metallica</t>
        </is>
      </c>
      <c r="G67" s="12" t="n">
        <v>2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MOTORE</t>
        </is>
      </c>
      <c r="B68" s="5" t="n"/>
      <c r="C68" s="12" t="n">
        <v>2</v>
      </c>
      <c r="D68" s="5" t="inlineStr">
        <is>
          <t>TTS.PF.004.IPE140</t>
        </is>
      </c>
      <c r="E68" s="5" t="inlineStr">
        <is>
          <t>Piastra giunzione interna240x25x6 (6 fori Ø 11)</t>
        </is>
      </c>
      <c r="F68" s="5" t="inlineStr">
        <is>
          <t>Carpenteria metallica</t>
        </is>
      </c>
      <c r="G68" s="12" t="n">
        <v>4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MOTORE</t>
        </is>
      </c>
      <c r="B69" s="5" t="n"/>
      <c r="C69" s="12" t="n">
        <v>3</v>
      </c>
      <c r="D69" s="5" t="inlineStr">
        <is>
          <t>10BZ10X40</t>
        </is>
      </c>
      <c r="E69" s="5" t="inlineStr">
        <is>
          <t>Bullone testa esagonale M10X40</t>
        </is>
      </c>
      <c r="F69" s="5" t="inlineStr">
        <is>
          <t>Bulloneria e minuteria</t>
        </is>
      </c>
      <c r="G69" s="12" t="n">
        <v>24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MOTORE</t>
        </is>
      </c>
      <c r="B70" s="5" t="n"/>
      <c r="C70" s="12" t="n">
        <v>4</v>
      </c>
      <c r="D70" s="5" t="inlineStr">
        <is>
          <t>10ROND10</t>
        </is>
      </c>
      <c r="E70" s="5" t="inlineStr">
        <is>
          <t>Rondella zn da 10</t>
        </is>
      </c>
      <c r="F70" s="5" t="inlineStr">
        <is>
          <t>Bulloneria e minuteria</t>
        </is>
      </c>
      <c r="G70" s="12" t="n">
        <v>24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MOTORE</t>
        </is>
      </c>
      <c r="B71" s="5" t="n"/>
      <c r="C71" s="12" t="n">
        <v>5</v>
      </c>
      <c r="D71" s="5" t="inlineStr">
        <is>
          <t>10ROND10</t>
        </is>
      </c>
      <c r="E71" s="5" t="inlineStr">
        <is>
          <t>Rondella zn da 10</t>
        </is>
      </c>
      <c r="F71" s="5" t="inlineStr">
        <is>
          <t>Bulloneria e minuteria</t>
        </is>
      </c>
      <c r="G71" s="12" t="n">
        <v>24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MOTORE</t>
        </is>
      </c>
      <c r="B72" s="5" t="n"/>
      <c r="C72" s="12" t="n">
        <v>6</v>
      </c>
      <c r="D72" s="5" t="inlineStr">
        <is>
          <t>10DAZAM10</t>
        </is>
      </c>
      <c r="E72" s="5" t="inlineStr">
        <is>
          <t>Dado autobloccante M10</t>
        </is>
      </c>
      <c r="F72" s="5" t="inlineStr">
        <is>
          <t>Bulloneria e minuteria</t>
        </is>
      </c>
      <c r="G72" s="12" t="n">
        <v>24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MOTORE</t>
        </is>
      </c>
      <c r="B73" s="5" t="n"/>
      <c r="C73" s="12" t="n">
        <v>2</v>
      </c>
      <c r="D73" s="5" t="inlineStr">
        <is>
          <t>TTS.PM.002.IPE140</t>
        </is>
      </c>
      <c r="E73" s="5" t="inlineStr">
        <is>
          <t>Supporto laterale testa riduttore</t>
        </is>
      </c>
      <c r="F73" s="5" t="inlineStr">
        <is>
          <t>Carpenteria metallica</t>
        </is>
      </c>
      <c r="G73" s="12" t="n">
        <v>2</v>
      </c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MOTORE</t>
        </is>
      </c>
      <c r="B74" s="5" t="n"/>
      <c r="C74" s="12" t="n">
        <v>2</v>
      </c>
      <c r="D74" s="5" t="inlineStr">
        <is>
          <t>TTS.PM.002.IPEA140</t>
        </is>
      </c>
      <c r="E74" s="5" t="inlineStr">
        <is>
          <t>Supporto laterale testa riduttore (alleggerita)</t>
        </is>
      </c>
      <c r="F74" s="5" t="inlineStr">
        <is>
          <t>Carpenteria metallica</t>
        </is>
      </c>
      <c r="G74" s="12" t="n">
        <v>0</v>
      </c>
      <c r="H74" s="12" t="n"/>
      <c r="I74" s="12" t="n"/>
      <c r="J74" s="12" t="n"/>
      <c r="K74" s="12" t="n"/>
      <c r="L74" s="12" t="n"/>
      <c r="M74" s="12" t="n"/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MOTORE</t>
        </is>
      </c>
      <c r="B75" s="5" t="n"/>
      <c r="C75" s="12" t="n">
        <v>3</v>
      </c>
      <c r="D75" s="5" t="inlineStr">
        <is>
          <t>10BZM10X40</t>
        </is>
      </c>
      <c r="E75" s="5" t="inlineStr">
        <is>
          <t>Bullone testa esagonale M10X40</t>
        </is>
      </c>
      <c r="F75" s="5" t="inlineStr">
        <is>
          <t>Bulloneria e minuteria</t>
        </is>
      </c>
      <c r="G75" s="12" t="n">
        <v>8</v>
      </c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MOTORE</t>
        </is>
      </c>
      <c r="B76" s="5" t="n"/>
      <c r="C76" s="12" t="n">
        <v>4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16</v>
      </c>
      <c r="H76" s="12" t="n"/>
      <c r="I76" s="12" t="n"/>
      <c r="J76" s="12" t="n"/>
      <c r="K76" s="12" t="n"/>
      <c r="L76" s="12" t="n"/>
      <c r="M76" s="12" t="n"/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MOTORE</t>
        </is>
      </c>
      <c r="B77" s="5" t="n"/>
      <c r="C77" s="12" t="n">
        <v>5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MOTORE</t>
        </is>
      </c>
      <c r="B78" s="5" t="n"/>
      <c r="C78" s="12" t="n">
        <v>2</v>
      </c>
      <c r="D78" s="5" t="inlineStr">
        <is>
          <t>CHSD7-60-S112-24.15.300-L1.2</t>
        </is>
      </c>
      <c r="E78" s="5" t="inlineStr">
        <is>
          <t>Motoriduttore</t>
        </is>
      </c>
      <c r="F78" s="5" t="inlineStr">
        <is>
          <t>Motorizzazione</t>
        </is>
      </c>
      <c r="G78" s="12" t="n">
        <v>1</v>
      </c>
      <c r="H78" s="12" t="n"/>
      <c r="I78" s="12" t="n"/>
      <c r="J78" s="12" t="n"/>
      <c r="K78" s="12" t="n"/>
      <c r="L78" s="12" t="n"/>
      <c r="M78" s="12" t="n"/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MOTORE</t>
        </is>
      </c>
      <c r="B79" s="5" t="n"/>
      <c r="C79" s="12" t="n">
        <v>3</v>
      </c>
      <c r="D79" s="5" t="inlineStr">
        <is>
          <t>10BZM16X60</t>
        </is>
      </c>
      <c r="E79" s="5" t="inlineStr">
        <is>
          <t>Bullone testa esagonale M16X60</t>
        </is>
      </c>
      <c r="F79" s="5" t="inlineStr">
        <is>
          <t>Bulloneria e minuteria</t>
        </is>
      </c>
      <c r="G79" s="12" t="n">
        <v>4</v>
      </c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MOTORE</t>
        </is>
      </c>
      <c r="B80" s="5" t="n"/>
      <c r="C80" s="12" t="n">
        <v>4</v>
      </c>
      <c r="D80" s="5" t="inlineStr">
        <is>
          <t>10ROND16</t>
        </is>
      </c>
      <c r="E80" s="5" t="inlineStr">
        <is>
          <t>Rondella zn da 16</t>
        </is>
      </c>
      <c r="F80" s="5" t="inlineStr">
        <is>
          <t>Bulloneria e minuteria</t>
        </is>
      </c>
      <c r="G80" s="12" t="n">
        <v>4</v>
      </c>
      <c r="H80" s="12" t="n"/>
      <c r="I80" s="12" t="n"/>
      <c r="J80" s="12" t="n"/>
      <c r="K80" s="12" t="n"/>
      <c r="L80" s="12" t="n"/>
      <c r="M80" s="12" t="n"/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MOTORE</t>
        </is>
      </c>
      <c r="B81" s="5" t="n"/>
      <c r="C81" s="12" t="n">
        <v>1</v>
      </c>
      <c r="D81" s="5" t="inlineStr">
        <is>
          <t>TTS.PM.003.IPE140</t>
        </is>
      </c>
      <c r="E81" s="5" t="inlineStr">
        <is>
          <t>Testa riduttore pilastro motore</t>
        </is>
      </c>
      <c r="F81" s="5" t="inlineStr">
        <is>
          <t>Carpenteria metallica</t>
        </is>
      </c>
      <c r="G81" s="12" t="n">
        <v>1</v>
      </c>
      <c r="H81" s="12" t="n"/>
      <c r="I81" s="12" t="n"/>
      <c r="J81" s="12" t="n"/>
      <c r="K81" s="12" t="n"/>
      <c r="L81" s="12" t="n"/>
      <c r="M81" s="12" t="n"/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MOTORE</t>
        </is>
      </c>
      <c r="B82" s="5" t="n"/>
      <c r="C82" s="12" t="n">
        <v>1</v>
      </c>
      <c r="D82" s="5" t="inlineStr">
        <is>
          <t>TTS.PM.003.IPEA140</t>
        </is>
      </c>
      <c r="E82" s="5" t="inlineStr">
        <is>
          <t>Testa riduttore pilastro motore (alleggerita)</t>
        </is>
      </c>
      <c r="F82" s="5" t="inlineStr">
        <is>
          <t>Carpenteria metallica</t>
        </is>
      </c>
      <c r="G82" s="12" t="n">
        <v>0</v>
      </c>
      <c r="H82" s="12" t="n"/>
      <c r="I82" s="12" t="n"/>
      <c r="J82" s="12" t="n"/>
      <c r="K82" s="12" t="n"/>
      <c r="L82" s="12" t="n"/>
      <c r="M82" s="12" t="n"/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MOTORE</t>
        </is>
      </c>
      <c r="B83" s="5" t="n"/>
      <c r="C83" s="12" t="n">
        <v>5</v>
      </c>
      <c r="D83" s="5" t="inlineStr">
        <is>
          <t>10ROND16</t>
        </is>
      </c>
      <c r="E83" s="5" t="inlineStr">
        <is>
          <t>Rondella zn da 16</t>
        </is>
      </c>
      <c r="F83" s="5" t="inlineStr">
        <is>
          <t>Bulloneria e minuteria</t>
        </is>
      </c>
      <c r="G83" s="12" t="n">
        <v>4</v>
      </c>
      <c r="H83" s="12" t="n"/>
      <c r="I83" s="12" t="n"/>
      <c r="J83" s="12" t="n"/>
      <c r="K83" s="12" t="n"/>
      <c r="L83" s="12" t="n"/>
      <c r="M83" s="12" t="n"/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MOTORE</t>
        </is>
      </c>
      <c r="B84" s="5" t="n"/>
      <c r="C84" s="12" t="n">
        <v>6</v>
      </c>
      <c r="D84" s="5" t="inlineStr">
        <is>
          <t>10DAZAM16</t>
        </is>
      </c>
      <c r="E84" s="5" t="inlineStr">
        <is>
          <t>Dado autobloccante M16</t>
        </is>
      </c>
      <c r="F84" s="5" t="inlineStr">
        <is>
          <t>Bulloneria e minuteria</t>
        </is>
      </c>
      <c r="G84" s="12" t="n">
        <v>4</v>
      </c>
      <c r="H84" s="12" t="n"/>
      <c r="I84" s="12" t="n"/>
      <c r="J84" s="12" t="n"/>
      <c r="K84" s="12" t="n"/>
      <c r="L84" s="12" t="n"/>
      <c r="M84" s="12" t="n"/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1</v>
      </c>
      <c r="D85" s="5" t="inlineStr">
        <is>
          <t>TTS.PF.001.IPE140.30</t>
        </is>
      </c>
      <c r="E85" s="5" t="inlineStr">
        <is>
          <t>Pilastro fondazione trave IPE140 mt3,00</t>
        </is>
      </c>
      <c r="F85" s="5" t="inlineStr">
        <is>
          <t>Carpenteria metallica</t>
        </is>
      </c>
      <c r="G85" s="12" t="n">
        <v>1</v>
      </c>
      <c r="H85" s="12" t="n">
        <v>2</v>
      </c>
      <c r="I85" s="12" t="n">
        <v>4</v>
      </c>
      <c r="J85" s="12" t="n">
        <v>4</v>
      </c>
      <c r="K85" s="12" t="n">
        <v>4</v>
      </c>
      <c r="L85" s="12" t="n">
        <v>8</v>
      </c>
      <c r="M85" s="12" t="n">
        <v>10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2</v>
      </c>
      <c r="D86" s="5" t="inlineStr">
        <is>
          <t>TTS.PC.001.IPE140.23</t>
        </is>
      </c>
      <c r="E86" s="5" t="inlineStr">
        <is>
          <t>Pilastro cuscinetto trave IPE 140 mt.2,30</t>
        </is>
      </c>
      <c r="F86" s="5" t="inlineStr">
        <is>
          <t>Carpenteria metallica</t>
        </is>
      </c>
      <c r="G86" s="12" t="n">
        <v>1</v>
      </c>
      <c r="H86" s="12" t="n">
        <v>2</v>
      </c>
      <c r="I86" s="12" t="n">
        <v>4</v>
      </c>
      <c r="J86" s="12" t="n">
        <v>4</v>
      </c>
      <c r="K86" s="12" t="n">
        <v>4</v>
      </c>
      <c r="L86" s="12" t="n">
        <v>8</v>
      </c>
      <c r="M86" s="12" t="n">
        <v>10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2</v>
      </c>
      <c r="D87" s="5" t="inlineStr">
        <is>
          <t>TTS.PC.001.IPEA140.23</t>
        </is>
      </c>
      <c r="E87" s="5" t="inlineStr">
        <is>
          <t>Pilastro cuscinetto trave IPEA 140 mt.2,30 (alleggerita)</t>
        </is>
      </c>
      <c r="F87" s="5" t="inlineStr">
        <is>
          <t>Carpenteria metallica</t>
        </is>
      </c>
      <c r="G87" s="12" t="n">
        <v>0</v>
      </c>
      <c r="H87" s="12" t="n"/>
      <c r="I87" s="12" t="n"/>
      <c r="J87" s="12" t="n"/>
      <c r="K87" s="12" t="n"/>
      <c r="L87" s="12" t="n"/>
      <c r="M87" s="12" t="n"/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2</v>
      </c>
      <c r="D88" s="5" t="inlineStr">
        <is>
          <t>TTS.PC.001.IPE140.28</t>
        </is>
      </c>
      <c r="E88" s="5" t="inlineStr">
        <is>
          <t>Pilastro cuscinetto trave IPE 140 mt.2,80</t>
        </is>
      </c>
      <c r="F88" s="5" t="inlineStr">
        <is>
          <t>Carpenteria metallica</t>
        </is>
      </c>
      <c r="G88" s="12" t="n">
        <v>0</v>
      </c>
      <c r="H88" s="12" t="n"/>
      <c r="I88" s="12" t="n"/>
      <c r="J88" s="12" t="n"/>
      <c r="K88" s="12" t="n"/>
      <c r="L88" s="12" t="n"/>
      <c r="M88" s="12" t="n"/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TTS.PC.001.IPEA140.28</t>
        </is>
      </c>
      <c r="E89" s="5" t="inlineStr">
        <is>
          <t>Pilastro cuscinetto trave IPEA 140 mt.2,80 (alleggerita)</t>
        </is>
      </c>
      <c r="F89" s="5" t="inlineStr">
        <is>
          <t>Carpenteria metallica</t>
        </is>
      </c>
      <c r="G89" s="12" t="n">
        <v>0</v>
      </c>
      <c r="H89" s="12" t="n"/>
      <c r="I89" s="12" t="n"/>
      <c r="J89" s="12" t="n"/>
      <c r="K89" s="12" t="n"/>
      <c r="L89" s="12" t="n"/>
      <c r="M89" s="12" t="n"/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2</v>
      </c>
      <c r="D90" s="5" t="inlineStr">
        <is>
          <t>TTS.PC.001.IPE140.29</t>
        </is>
      </c>
      <c r="E90" s="5" t="inlineStr">
        <is>
          <t>Pilastro cuscinetto trave IPE 140 mt.2,90</t>
        </is>
      </c>
      <c r="F90" s="5" t="inlineStr">
        <is>
          <t>Carpenteria metallica</t>
        </is>
      </c>
      <c r="G90" s="12" t="n">
        <v>0</v>
      </c>
      <c r="H90" s="12" t="n"/>
      <c r="I90" s="12" t="n"/>
      <c r="J90" s="12" t="n"/>
      <c r="K90" s="12" t="n"/>
      <c r="L90" s="12" t="n"/>
      <c r="M90" s="12" t="n"/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2</v>
      </c>
      <c r="D91" s="5" t="inlineStr">
        <is>
          <t>TTS.PC.001.IPEA140.29</t>
        </is>
      </c>
      <c r="E91" s="5" t="inlineStr">
        <is>
          <t>Pilastro cuscinetto trave IPEA 140 mt.2,90 (alleggerita)</t>
        </is>
      </c>
      <c r="F91" s="5" t="inlineStr">
        <is>
          <t>Carpenteria metallica</t>
        </is>
      </c>
      <c r="G91" s="12" t="n">
        <v>0</v>
      </c>
      <c r="H91" s="12" t="n"/>
      <c r="I91" s="12" t="n"/>
      <c r="J91" s="12" t="n"/>
      <c r="K91" s="12" t="n"/>
      <c r="L91" s="12" t="n"/>
      <c r="M91" s="12" t="n"/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2</v>
      </c>
      <c r="D92" s="5" t="inlineStr">
        <is>
          <t>TTS.PC.001.IPE140.30</t>
        </is>
      </c>
      <c r="E92" s="5" t="inlineStr">
        <is>
          <t>Pilastro cuscinetto trave IPE 140 mt.3,00</t>
        </is>
      </c>
      <c r="F92" s="5" t="inlineStr">
        <is>
          <t>Carpenteria metallica</t>
        </is>
      </c>
      <c r="G92" s="12" t="n">
        <v>0</v>
      </c>
      <c r="H92" s="12" t="n"/>
      <c r="I92" s="12" t="n"/>
      <c r="J92" s="12" t="n"/>
      <c r="K92" s="12" t="n"/>
      <c r="L92" s="12" t="n"/>
      <c r="M92" s="12" t="n"/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2</v>
      </c>
      <c r="D93" s="5" t="inlineStr">
        <is>
          <t>TTS.PC.001.IPEA140.30</t>
        </is>
      </c>
      <c r="E93" s="5" t="inlineStr">
        <is>
          <t>Pilastro cuscinetto trave IPEA 140 mt.3,00 (alleggerita)</t>
        </is>
      </c>
      <c r="F93" s="5" t="inlineStr">
        <is>
          <t>Carpenteria metallica</t>
        </is>
      </c>
      <c r="G93" s="12" t="n">
        <v>0</v>
      </c>
      <c r="H93" s="12" t="n"/>
      <c r="I93" s="12" t="n"/>
      <c r="J93" s="12" t="n"/>
      <c r="K93" s="12" t="n"/>
      <c r="L93" s="12" t="n"/>
      <c r="M93" s="12" t="n"/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2</v>
      </c>
      <c r="D94" s="5" t="inlineStr">
        <is>
          <t>TTS.PC.001.IPE140.31</t>
        </is>
      </c>
      <c r="E94" s="5" t="inlineStr">
        <is>
          <t>Pilastro cuscinetto trave IPE 140 mt.3,10</t>
        </is>
      </c>
      <c r="F94" s="5" t="inlineStr">
        <is>
          <t>Carpenteria metallica</t>
        </is>
      </c>
      <c r="G94" s="12" t="n">
        <v>0</v>
      </c>
      <c r="H94" s="12" t="n"/>
      <c r="I94" s="12" t="n"/>
      <c r="J94" s="12" t="n"/>
      <c r="K94" s="12" t="n"/>
      <c r="L94" s="12" t="n"/>
      <c r="M94" s="12" t="n"/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TTS.PC.001.IPEA140.31</t>
        </is>
      </c>
      <c r="E95" s="5" t="inlineStr">
        <is>
          <t>Pilastro cuscinetto trave IPEA 140 mt.3,10 (alleggerita)</t>
        </is>
      </c>
      <c r="F95" s="5" t="inlineStr">
        <is>
          <t>Carpenteria metallica</t>
        </is>
      </c>
      <c r="G95" s="12" t="n">
        <v>0</v>
      </c>
      <c r="H95" s="12" t="n"/>
      <c r="I95" s="12" t="n"/>
      <c r="J95" s="12" t="n"/>
      <c r="K95" s="12" t="n"/>
      <c r="L95" s="12" t="n"/>
      <c r="M95" s="12" t="n"/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2</v>
      </c>
      <c r="D96" s="5" t="inlineStr">
        <is>
          <t>TTS.PC.001.IPE140.32</t>
        </is>
      </c>
      <c r="E96" s="5" t="inlineStr">
        <is>
          <t>Pilastro cuscinetto trave IPE 140 mt.3,20</t>
        </is>
      </c>
      <c r="F96" s="5" t="inlineStr">
        <is>
          <t>Carpenteria metallica</t>
        </is>
      </c>
      <c r="G96" s="12" t="n">
        <v>0</v>
      </c>
      <c r="H96" s="12" t="n"/>
      <c r="I96" s="12" t="n"/>
      <c r="J96" s="12" t="n"/>
      <c r="K96" s="12" t="n"/>
      <c r="L96" s="12" t="n"/>
      <c r="M96" s="12" t="n"/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2</v>
      </c>
      <c r="D97" s="5" t="inlineStr">
        <is>
          <t>TTS.PC.001.IPEA140.32</t>
        </is>
      </c>
      <c r="E97" s="5" t="inlineStr">
        <is>
          <t>Pilastro cuscinetto trave IPEA 140 mt.3,20 (alleggerita)</t>
        </is>
      </c>
      <c r="F97" s="5" t="inlineStr">
        <is>
          <t>Carpenteria metallica</t>
        </is>
      </c>
      <c r="G97" s="12" t="n">
        <v>0</v>
      </c>
      <c r="H97" s="12" t="n"/>
      <c r="I97" s="12" t="n"/>
      <c r="J97" s="12" t="n"/>
      <c r="K97" s="12" t="n"/>
      <c r="L97" s="12" t="n"/>
      <c r="M97" s="12" t="n"/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2</v>
      </c>
      <c r="D98" s="5" t="inlineStr">
        <is>
          <t>TTS.PC.001.IPE140.33</t>
        </is>
      </c>
      <c r="E98" s="5" t="inlineStr">
        <is>
          <t>Pilastro cuscinetto trave IPE 140 mt.3,30</t>
        </is>
      </c>
      <c r="F98" s="5" t="inlineStr">
        <is>
          <t>Carpenteria metallica</t>
        </is>
      </c>
      <c r="G98" s="12" t="n">
        <v>0</v>
      </c>
      <c r="H98" s="12" t="n"/>
      <c r="I98" s="12" t="n"/>
      <c r="J98" s="12" t="n"/>
      <c r="K98" s="12" t="n"/>
      <c r="L98" s="12" t="n"/>
      <c r="M98" s="12" t="n"/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2</v>
      </c>
      <c r="D99" s="5" t="inlineStr">
        <is>
          <t>TTS.PC.001.IPEA140.33</t>
        </is>
      </c>
      <c r="E99" s="5" t="inlineStr">
        <is>
          <t>Pilastro cuscinetto trave IPEA 140 mt.3,30 (alleggerita)</t>
        </is>
      </c>
      <c r="F99" s="5" t="inlineStr">
        <is>
          <t>Carpenteria metallica</t>
        </is>
      </c>
      <c r="G99" s="12" t="n">
        <v>0</v>
      </c>
      <c r="H99" s="12" t="n"/>
      <c r="I99" s="12" t="n"/>
      <c r="J99" s="12" t="n"/>
      <c r="K99" s="12" t="n"/>
      <c r="L99" s="12" t="n"/>
      <c r="M99" s="12" t="n"/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PILASTRO CUSCINETTO</t>
        </is>
      </c>
      <c r="B100" s="5" t="n"/>
      <c r="C100" s="12" t="n">
        <v>2</v>
      </c>
      <c r="D100" s="5" t="inlineStr">
        <is>
          <t>TTS.PC.001.IPE140.34</t>
        </is>
      </c>
      <c r="E100" s="5" t="inlineStr">
        <is>
          <t>Pilastro cuscinetto trave IPE 140 mt.3,40</t>
        </is>
      </c>
      <c r="F100" s="5" t="inlineStr">
        <is>
          <t>Carpenteria metallica</t>
        </is>
      </c>
      <c r="G100" s="12" t="n">
        <v>0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PILASTRO CUSCINETTO</t>
        </is>
      </c>
      <c r="B101" s="5" t="n"/>
      <c r="C101" s="12" t="n">
        <v>2</v>
      </c>
      <c r="D101" s="5" t="inlineStr">
        <is>
          <t>TTS.PC.001.IPEA140.34</t>
        </is>
      </c>
      <c r="E101" s="5" t="inlineStr">
        <is>
          <t>Pilastro cuscinetto trave IPEA 140 mt.3,40 (alleggerita)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PILASTRO CUSCINETTO</t>
        </is>
      </c>
      <c r="B102" s="5" t="n"/>
      <c r="C102" s="12" t="n">
        <v>2</v>
      </c>
      <c r="D102" s="5" t="inlineStr">
        <is>
          <t>TTS.PC.001.IPE140.35</t>
        </is>
      </c>
      <c r="E102" s="5" t="inlineStr">
        <is>
          <t>Pilastro cuscinetto trave IPE 140 mt.3,50</t>
        </is>
      </c>
      <c r="F102" s="5" t="inlineStr">
        <is>
          <t>Carpenteria metallica</t>
        </is>
      </c>
      <c r="G102" s="12" t="n">
        <v>0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PILASTRO CUSCINETTO</t>
        </is>
      </c>
      <c r="B103" s="5" t="n"/>
      <c r="C103" s="12" t="n">
        <v>2</v>
      </c>
      <c r="D103" s="5" t="inlineStr">
        <is>
          <t>TTS.PC.001.IPEA140.35</t>
        </is>
      </c>
      <c r="E103" s="5" t="inlineStr">
        <is>
          <t>Pilastro cuscinetto trave IPEA 140 mt.3,50 (alleggerita)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PILASTRO CUSCINETTO</t>
        </is>
      </c>
      <c r="B104" s="5" t="n"/>
      <c r="C104" s="12" t="n">
        <v>2</v>
      </c>
      <c r="D104" s="5" t="inlineStr">
        <is>
          <t>TTS.PC.001.IPE140.36</t>
        </is>
      </c>
      <c r="E104" s="5" t="inlineStr">
        <is>
          <t>Pilastro cuscinetto trave IPE 140 mt.3,60</t>
        </is>
      </c>
      <c r="F104" s="5" t="inlineStr">
        <is>
          <t>Carpenteria metallica</t>
        </is>
      </c>
      <c r="G104" s="12" t="n">
        <v>0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PILASTRO CUSCINETTO</t>
        </is>
      </c>
      <c r="B105" s="5" t="n"/>
      <c r="C105" s="12" t="n">
        <v>2</v>
      </c>
      <c r="D105" s="5" t="inlineStr">
        <is>
          <t>TTS.PC.001.IPEA140.36</t>
        </is>
      </c>
      <c r="E105" s="5" t="inlineStr">
        <is>
          <t>Pilastro cuscinetto trave IPEA 140 mt.3,60 (alleggerita)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PILASTRO CUSCINETTO</t>
        </is>
      </c>
      <c r="B106" s="5" t="n"/>
      <c r="C106" s="12" t="n">
        <v>2</v>
      </c>
      <c r="D106" s="5" t="inlineStr">
        <is>
          <t>TTS.PC.001.IPE140.37</t>
        </is>
      </c>
      <c r="E106" s="5" t="inlineStr">
        <is>
          <t>Pilastro cuscinetto trave IPE 140 mt.3,70</t>
        </is>
      </c>
      <c r="F106" s="5" t="inlineStr">
        <is>
          <t>Carpenteria metallica</t>
        </is>
      </c>
      <c r="G106" s="12" t="n">
        <v>0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PILASTRO CUSCINETTO</t>
        </is>
      </c>
      <c r="B107" s="5" t="n"/>
      <c r="C107" s="12" t="n">
        <v>2</v>
      </c>
      <c r="D107" s="5" t="inlineStr">
        <is>
          <t>TTS.PC.001.IPEA140.37</t>
        </is>
      </c>
      <c r="E107" s="5" t="inlineStr">
        <is>
          <t>Pilastro cuscinetto trave IPEA 140 mt.3,70 (alleggerita)</t>
        </is>
      </c>
      <c r="F107" s="5" t="inlineStr">
        <is>
          <t>Carpenteria metallica</t>
        </is>
      </c>
      <c r="G107" s="12" t="n">
        <v>0</v>
      </c>
      <c r="H107" s="12" t="n"/>
      <c r="I107" s="12" t="n"/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PILASTRO CUSCINETTO</t>
        </is>
      </c>
      <c r="B108" s="5" t="n"/>
      <c r="C108" s="12" t="n">
        <v>2</v>
      </c>
      <c r="D108" s="5" t="inlineStr">
        <is>
          <t>TTS.PC.001.IPE140.38</t>
        </is>
      </c>
      <c r="E108" s="5" t="inlineStr">
        <is>
          <t>Pilastro cuscinetto trave IPE 140 mt.3,80</t>
        </is>
      </c>
      <c r="F108" s="5" t="inlineStr">
        <is>
          <t>Carpenteria metallica</t>
        </is>
      </c>
      <c r="G108" s="12" t="n">
        <v>0</v>
      </c>
      <c r="H108" s="12" t="n"/>
      <c r="I108" s="12" t="n"/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PILASTRO CUSCINETTO</t>
        </is>
      </c>
      <c r="B109" s="5" t="n"/>
      <c r="C109" s="12" t="n">
        <v>2</v>
      </c>
      <c r="D109" s="5" t="inlineStr">
        <is>
          <t>TTS.PC.001.IPEA140.38</t>
        </is>
      </c>
      <c r="E109" s="5" t="inlineStr">
        <is>
          <t>Pilastro cuscinetto trave IPEA 140 mt.3,80 (alleggerita)</t>
        </is>
      </c>
      <c r="F109" s="5" t="inlineStr">
        <is>
          <t>Carpenteria metallica</t>
        </is>
      </c>
      <c r="G109" s="12" t="n">
        <v>0</v>
      </c>
      <c r="H109" s="12" t="n"/>
      <c r="I109" s="12" t="n"/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PILASTRO CUSCINETTO</t>
        </is>
      </c>
      <c r="B110" s="5" t="n"/>
      <c r="C110" s="12" t="n">
        <v>2</v>
      </c>
      <c r="D110" s="5" t="inlineStr">
        <is>
          <t>TTS.PC.001.IPE140.39</t>
        </is>
      </c>
      <c r="E110" s="5" t="inlineStr">
        <is>
          <t>Pilastro cuscinetto trave IPE 140 mt.3,90</t>
        </is>
      </c>
      <c r="F110" s="5" t="inlineStr">
        <is>
          <t>Carpenteria metallica</t>
        </is>
      </c>
      <c r="G110" s="12" t="n">
        <v>0</v>
      </c>
      <c r="H110" s="12" t="n"/>
      <c r="I110" s="12" t="n"/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PILASTRO CUSCINETTO</t>
        </is>
      </c>
      <c r="B111" s="5" t="n"/>
      <c r="C111" s="12" t="n">
        <v>2</v>
      </c>
      <c r="D111" s="5" t="inlineStr">
        <is>
          <t>TTS.PC.001.IPEA140.39</t>
        </is>
      </c>
      <c r="E111" s="5" t="inlineStr">
        <is>
          <t>Pilastro cuscinetto trave IPEA 140 mt.3,90 (alleggerita)</t>
        </is>
      </c>
      <c r="F111" s="5" t="inlineStr">
        <is>
          <t>Carpenteria metallica</t>
        </is>
      </c>
      <c r="G111" s="12" t="n">
        <v>0</v>
      </c>
      <c r="H111" s="12" t="n"/>
      <c r="I111" s="12" t="n"/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PILASTRO CUSCINETTO</t>
        </is>
      </c>
      <c r="B112" s="5" t="n"/>
      <c r="C112" s="12" t="n">
        <v>2</v>
      </c>
      <c r="D112" s="5" t="inlineStr">
        <is>
          <t>TTS.PC.001.IPE140.40</t>
        </is>
      </c>
      <c r="E112" s="5" t="inlineStr">
        <is>
          <t>Pilastro cuscinetto trave IPE 140 mt.4,00</t>
        </is>
      </c>
      <c r="F112" s="5" t="inlineStr">
        <is>
          <t>Carpenteria metallica</t>
        </is>
      </c>
      <c r="G112" s="12" t="n">
        <v>0</v>
      </c>
      <c r="H112" s="12" t="n"/>
      <c r="I112" s="12" t="n"/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PILASTRO CUSCINETTO</t>
        </is>
      </c>
      <c r="B113" s="5" t="n"/>
      <c r="C113" s="12" t="n">
        <v>2</v>
      </c>
      <c r="D113" s="5" t="inlineStr">
        <is>
          <t>TTS.PC.001.IPEA140.40</t>
        </is>
      </c>
      <c r="E113" s="5" t="inlineStr">
        <is>
          <t>Pilastro cuscinetto trave IPEA 140 mt.4,00 (alleggerita)</t>
        </is>
      </c>
      <c r="F113" s="5" t="inlineStr">
        <is>
          <t>Carpenteria metallica</t>
        </is>
      </c>
      <c r="G113" s="12" t="n">
        <v>0</v>
      </c>
      <c r="H113" s="12" t="n"/>
      <c r="I113" s="12" t="n"/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PILASTRO CUSCINETTO</t>
        </is>
      </c>
      <c r="B114" s="5" t="n"/>
      <c r="C114" s="12" t="n">
        <v>2</v>
      </c>
      <c r="D114" s="5" t="inlineStr">
        <is>
          <t>TTS.PC.001.IPE140.41</t>
        </is>
      </c>
      <c r="E114" s="5" t="inlineStr">
        <is>
          <t>Pilastro cuscinetto trave IPE 140 mt.4,10</t>
        </is>
      </c>
      <c r="F114" s="5" t="inlineStr">
        <is>
          <t>Carpenteria metallica</t>
        </is>
      </c>
      <c r="G114" s="12" t="n">
        <v>0</v>
      </c>
      <c r="H114" s="12" t="n"/>
      <c r="I114" s="12" t="n"/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PILASTRO CUSCINETTO</t>
        </is>
      </c>
      <c r="B115" s="5" t="n"/>
      <c r="C115" s="12" t="n">
        <v>2</v>
      </c>
      <c r="D115" s="5" t="inlineStr">
        <is>
          <t>TTS.PC.001.IPEA140.41</t>
        </is>
      </c>
      <c r="E115" s="5" t="inlineStr">
        <is>
          <t>Pilastro cuscinetto trave IPEA 140 mt.4,10 (alleggerita)</t>
        </is>
      </c>
      <c r="F115" s="5" t="inlineStr">
        <is>
          <t>Carpenteria metallica</t>
        </is>
      </c>
      <c r="G115" s="12" t="n">
        <v>0</v>
      </c>
      <c r="H115" s="12" t="n"/>
      <c r="I115" s="12" t="n"/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PILASTRO CUSCINETTO</t>
        </is>
      </c>
      <c r="B116" s="5" t="n"/>
      <c r="C116" s="12" t="n">
        <v>2</v>
      </c>
      <c r="D116" s="5" t="inlineStr">
        <is>
          <t>TTS.PC.001.IPE140.42</t>
        </is>
      </c>
      <c r="E116" s="5" t="inlineStr">
        <is>
          <t>Pilastro cuscinetto trave IPE 140 mt.4,20</t>
        </is>
      </c>
      <c r="F116" s="5" t="inlineStr">
        <is>
          <t>Carpenteria metallica</t>
        </is>
      </c>
      <c r="G116" s="12" t="n">
        <v>0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PILASTRO CUSCINETTO</t>
        </is>
      </c>
      <c r="B117" s="5" t="n"/>
      <c r="C117" s="12" t="n">
        <v>2</v>
      </c>
      <c r="D117" s="5" t="inlineStr">
        <is>
          <t>TTS.PC.001.IPEA140.42</t>
        </is>
      </c>
      <c r="E117" s="5" t="inlineStr">
        <is>
          <t>Pilastro cuscinetto trave IPEA 140 mt.4,20 (alleggerita)</t>
        </is>
      </c>
      <c r="F117" s="5" t="inlineStr">
        <is>
          <t>Carpenteria metallica</t>
        </is>
      </c>
      <c r="G117" s="12" t="n">
        <v>0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PILASTRO CUSCINETTO</t>
        </is>
      </c>
      <c r="B118" s="5" t="n"/>
      <c r="C118" s="12" t="n">
        <v>2</v>
      </c>
      <c r="D118" s="5" t="inlineStr">
        <is>
          <t>TTS.PC.001.IPE140.43</t>
        </is>
      </c>
      <c r="E118" s="5" t="inlineStr">
        <is>
          <t>Pilastro cuscinetto trave IPE 140 mt.4,30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PILASTRO CUSCINETTO</t>
        </is>
      </c>
      <c r="B119" s="5" t="n"/>
      <c r="C119" s="12" t="n">
        <v>2</v>
      </c>
      <c r="D119" s="5" t="inlineStr">
        <is>
          <t>TTS.PC.001.IPEA140.43</t>
        </is>
      </c>
      <c r="E119" s="5" t="inlineStr">
        <is>
          <t>Pilastro cuscinetto trave IPEA 140 mt.4,30 (alleggerita)</t>
        </is>
      </c>
      <c r="F119" s="5" t="inlineStr">
        <is>
          <t>Carpenteria metallica</t>
        </is>
      </c>
      <c r="G119" s="12" t="n">
        <v>0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PILASTRO CUSCINETTO</t>
        </is>
      </c>
      <c r="B120" s="5" t="n"/>
      <c r="C120" s="12" t="n">
        <v>2</v>
      </c>
      <c r="D120" s="5" t="inlineStr">
        <is>
          <t>TTS.PC.001.IPE140.44</t>
        </is>
      </c>
      <c r="E120" s="5" t="inlineStr">
        <is>
          <t>Pilastro cuscinetto trave IPE 140 mt.4,40</t>
        </is>
      </c>
      <c r="F120" s="5" t="inlineStr">
        <is>
          <t>Carpenteria metallica</t>
        </is>
      </c>
      <c r="G120" s="12" t="n">
        <v>0</v>
      </c>
      <c r="H120" s="12" t="n"/>
      <c r="I120" s="12" t="n"/>
      <c r="J120" s="12" t="n"/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PILASTRO CUSCINETTO</t>
        </is>
      </c>
      <c r="B121" s="5" t="n"/>
      <c r="C121" s="12" t="n">
        <v>2</v>
      </c>
      <c r="D121" s="5" t="inlineStr">
        <is>
          <t>TTS.PC.001.IPEA140.44</t>
        </is>
      </c>
      <c r="E121" s="5" t="inlineStr">
        <is>
          <t>Pilastro cuscinetto trave IPEA 140 mt.4,40 (alleggerita)</t>
        </is>
      </c>
      <c r="F121" s="5" t="inlineStr">
        <is>
          <t>Carpenteria metallica</t>
        </is>
      </c>
      <c r="G121" s="12" t="n">
        <v>0</v>
      </c>
      <c r="H121" s="12" t="n"/>
      <c r="I121" s="12" t="n"/>
      <c r="J121" s="12" t="n"/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PILASTRO CUSCINETTO</t>
        </is>
      </c>
      <c r="B122" s="5" t="n"/>
      <c r="C122" s="12" t="n">
        <v>2</v>
      </c>
      <c r="D122" s="5" t="inlineStr">
        <is>
          <t>TTS.PC.001.IPE140.45</t>
        </is>
      </c>
      <c r="E122" s="5" t="inlineStr">
        <is>
          <t>Pilastro cuscinetto trave IPE 140 mt.4,50</t>
        </is>
      </c>
      <c r="F122" s="5" t="inlineStr">
        <is>
          <t>Carpenteria metallica</t>
        </is>
      </c>
      <c r="G122" s="12" t="n">
        <v>0</v>
      </c>
      <c r="H122" s="12" t="n"/>
      <c r="I122" s="12" t="n"/>
      <c r="J122" s="12" t="n"/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PILASTRO CUSCINETTO</t>
        </is>
      </c>
      <c r="B123" s="5" t="n"/>
      <c r="C123" s="12" t="n">
        <v>2</v>
      </c>
      <c r="D123" s="5" t="inlineStr">
        <is>
          <t>TTS.PC.001.IPEA140.45</t>
        </is>
      </c>
      <c r="E123" s="5" t="inlineStr">
        <is>
          <t>Pilastro cuscinetto trave IPEA 140 mt.4,50 (alleggerita)</t>
        </is>
      </c>
      <c r="F123" s="5" t="inlineStr">
        <is>
          <t>Carpenteria metallica</t>
        </is>
      </c>
      <c r="G123" s="12" t="n">
        <v>0</v>
      </c>
      <c r="H123" s="12" t="n"/>
      <c r="I123" s="12" t="n"/>
      <c r="J123" s="12" t="n"/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PILASTRO CUSCINETTO</t>
        </is>
      </c>
      <c r="B124" s="5" t="n"/>
      <c r="C124" s="12" t="n">
        <v>3</v>
      </c>
      <c r="D124" s="5" t="inlineStr">
        <is>
          <t>TTS.PF.002.IPE140</t>
        </is>
      </c>
      <c r="E124" s="5" t="inlineStr">
        <is>
          <t>Piastra giunzione montanti centrale 200x100x4 (8 fori Ø 11)</t>
        </is>
      </c>
      <c r="F124" s="5" t="inlineStr">
        <is>
          <t>Carpenteria metallica</t>
        </is>
      </c>
      <c r="G124" s="12" t="n">
        <v>2</v>
      </c>
      <c r="H124" s="12" t="n">
        <v>4</v>
      </c>
      <c r="I124" s="12" t="n">
        <v>8</v>
      </c>
      <c r="J124" s="12" t="n">
        <v>8</v>
      </c>
      <c r="K124" s="12" t="n">
        <v>8</v>
      </c>
      <c r="L124" s="12" t="n">
        <v>16</v>
      </c>
      <c r="M124" s="12" t="n">
        <v>20</v>
      </c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PILASTRO CUSCINETTO</t>
        </is>
      </c>
      <c r="B125" s="5" t="n"/>
      <c r="C125" s="12" t="n">
        <v>4</v>
      </c>
      <c r="D125" s="5" t="inlineStr">
        <is>
          <t>10BZM10X40</t>
        </is>
      </c>
      <c r="E125" s="5" t="inlineStr">
        <is>
          <t>Bullone testa esagonale M10X40</t>
        </is>
      </c>
      <c r="F125" s="5" t="inlineStr">
        <is>
          <t>Bulloneria e minuteria</t>
        </is>
      </c>
      <c r="G125" s="12" t="n">
        <v>8</v>
      </c>
      <c r="H125" s="12" t="n">
        <v>16</v>
      </c>
      <c r="I125" s="12" t="n">
        <v>32</v>
      </c>
      <c r="J125" s="12" t="n">
        <v>32</v>
      </c>
      <c r="K125" s="12" t="n">
        <v>32</v>
      </c>
      <c r="L125" s="12" t="n">
        <v>64</v>
      </c>
      <c r="M125" s="12" t="n">
        <v>80</v>
      </c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PILASTRO CUSCINETTO</t>
        </is>
      </c>
      <c r="B126" s="5" t="n"/>
      <c r="C126" s="12" t="n">
        <v>5</v>
      </c>
      <c r="D126" s="5" t="inlineStr">
        <is>
          <t>10ROND10</t>
        </is>
      </c>
      <c r="E126" s="5" t="inlineStr">
        <is>
          <t>Rondella zn da 10</t>
        </is>
      </c>
      <c r="F126" s="5" t="inlineStr">
        <is>
          <t>Bulloneria e minuteria</t>
        </is>
      </c>
      <c r="G126" s="12" t="n">
        <v>8</v>
      </c>
      <c r="H126" s="12" t="n">
        <v>16</v>
      </c>
      <c r="I126" s="12" t="n">
        <v>32</v>
      </c>
      <c r="J126" s="12" t="n">
        <v>32</v>
      </c>
      <c r="K126" s="12" t="n">
        <v>32</v>
      </c>
      <c r="L126" s="12" t="n">
        <v>64</v>
      </c>
      <c r="M126" s="12" t="n">
        <v>80</v>
      </c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PILASTRO CUSCINETTO</t>
        </is>
      </c>
      <c r="B127" s="5" t="n"/>
      <c r="C127" s="12" t="n">
        <v>6</v>
      </c>
      <c r="D127" s="5" t="inlineStr">
        <is>
          <t>10ROND10</t>
        </is>
      </c>
      <c r="E127" s="5" t="inlineStr">
        <is>
          <t>Rondella zn da 10</t>
        </is>
      </c>
      <c r="F127" s="5" t="inlineStr">
        <is>
          <t>Bulloneria e minuteria</t>
        </is>
      </c>
      <c r="G127" s="12" t="n">
        <v>8</v>
      </c>
      <c r="H127" s="12" t="n">
        <v>16</v>
      </c>
      <c r="I127" s="12" t="n">
        <v>32</v>
      </c>
      <c r="J127" s="12" t="n">
        <v>32</v>
      </c>
      <c r="K127" s="12" t="n">
        <v>32</v>
      </c>
      <c r="L127" s="12" t="n">
        <v>64</v>
      </c>
      <c r="M127" s="12" t="n">
        <v>80</v>
      </c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PILASTRO CUSCINETTO</t>
        </is>
      </c>
      <c r="B128" s="5" t="n"/>
      <c r="C128" s="12" t="n">
        <v>7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>
        <v>16</v>
      </c>
      <c r="I128" s="12" t="n">
        <v>32</v>
      </c>
      <c r="J128" s="12" t="n">
        <v>32</v>
      </c>
      <c r="K128" s="12" t="n">
        <v>32</v>
      </c>
      <c r="L128" s="12" t="n">
        <v>64</v>
      </c>
      <c r="M128" s="12" t="n">
        <v>80</v>
      </c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PILASTRO CUSCINETTO</t>
        </is>
      </c>
      <c r="B129" s="5" t="n"/>
      <c r="C129" s="12" t="n">
        <v>1</v>
      </c>
      <c r="D129" s="5" t="inlineStr">
        <is>
          <t>TTS.PF.003.IPE140</t>
        </is>
      </c>
      <c r="E129" s="5" t="inlineStr">
        <is>
          <t>Piastra giunzione montanti esterna 240x70x6 (12 fori Ø 11)</t>
        </is>
      </c>
      <c r="F129" s="5" t="inlineStr">
        <is>
          <t>Carpenteria metallica</t>
        </is>
      </c>
      <c r="G129" s="12" t="n">
        <v>2</v>
      </c>
      <c r="H129" s="12" t="n">
        <v>4</v>
      </c>
      <c r="I129" s="12" t="n">
        <v>8</v>
      </c>
      <c r="J129" s="12" t="n">
        <v>8</v>
      </c>
      <c r="K129" s="12" t="n">
        <v>8</v>
      </c>
      <c r="L129" s="12" t="n">
        <v>16</v>
      </c>
      <c r="M129" s="12" t="n">
        <v>20</v>
      </c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PILASTRO CUSCINETTO</t>
        </is>
      </c>
      <c r="B130" s="5" t="n"/>
      <c r="C130" s="12" t="n">
        <v>2</v>
      </c>
      <c r="D130" s="5" t="inlineStr">
        <is>
          <t>TTS.PF.004.IPE140</t>
        </is>
      </c>
      <c r="E130" s="5" t="inlineStr">
        <is>
          <t>Piastra giunzione montanti interna 240x25x6 (6 fori Ø 11)</t>
        </is>
      </c>
      <c r="F130" s="5" t="inlineStr">
        <is>
          <t>Carpenteria metallica</t>
        </is>
      </c>
      <c r="G130" s="12" t="n">
        <v>4</v>
      </c>
      <c r="H130" s="12" t="n">
        <v>8</v>
      </c>
      <c r="I130" s="12" t="n">
        <v>16</v>
      </c>
      <c r="J130" s="12" t="n">
        <v>16</v>
      </c>
      <c r="K130" s="12" t="n">
        <v>16</v>
      </c>
      <c r="L130" s="12" t="n">
        <v>32</v>
      </c>
      <c r="M130" s="12" t="n">
        <v>40</v>
      </c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PILASTRO CUSCINETTO</t>
        </is>
      </c>
      <c r="B131" s="5" t="n"/>
      <c r="C131" s="12" t="n">
        <v>3</v>
      </c>
      <c r="D131" s="5" t="inlineStr">
        <is>
          <t>10BZM10X40</t>
        </is>
      </c>
      <c r="E131" s="5" t="inlineStr">
        <is>
          <t>Bullone testa esagonale M10X40</t>
        </is>
      </c>
      <c r="F131" s="5" t="inlineStr">
        <is>
          <t>Bulloneria e minuteria</t>
        </is>
      </c>
      <c r="G131" s="12" t="n">
        <v>24</v>
      </c>
      <c r="H131" s="12" t="n">
        <v>48</v>
      </c>
      <c r="I131" s="12" t="n">
        <v>96</v>
      </c>
      <c r="J131" s="12" t="n">
        <v>96</v>
      </c>
      <c r="K131" s="12" t="n">
        <v>96</v>
      </c>
      <c r="L131" s="12" t="n">
        <v>192</v>
      </c>
      <c r="M131" s="12" t="n">
        <v>240</v>
      </c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PILASTRO CUSCINETTO</t>
        </is>
      </c>
      <c r="B132" s="5" t="n"/>
      <c r="C132" s="12" t="n">
        <v>4</v>
      </c>
      <c r="D132" s="5" t="inlineStr">
        <is>
          <t>10ROND10</t>
        </is>
      </c>
      <c r="E132" s="5" t="inlineStr">
        <is>
          <t>Rondella zn da 10</t>
        </is>
      </c>
      <c r="F132" s="5" t="inlineStr">
        <is>
          <t>Bulloneria e minuteria</t>
        </is>
      </c>
      <c r="G132" s="12" t="n">
        <v>24</v>
      </c>
      <c r="H132" s="12" t="n">
        <v>48</v>
      </c>
      <c r="I132" s="12" t="n">
        <v>96</v>
      </c>
      <c r="J132" s="12" t="n">
        <v>96</v>
      </c>
      <c r="K132" s="12" t="n">
        <v>96</v>
      </c>
      <c r="L132" s="12" t="n">
        <v>192</v>
      </c>
      <c r="M132" s="12" t="n">
        <v>240</v>
      </c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PILASTRO CUSCINETTO</t>
        </is>
      </c>
      <c r="B133" s="5" t="n"/>
      <c r="C133" s="12" t="n">
        <v>5</v>
      </c>
      <c r="D133" s="5" t="inlineStr">
        <is>
          <t>10ROND10</t>
        </is>
      </c>
      <c r="E133" s="5" t="inlineStr">
        <is>
          <t>Rondella zn da 10</t>
        </is>
      </c>
      <c r="F133" s="5" t="inlineStr">
        <is>
          <t>Bulloneria e minuteria</t>
        </is>
      </c>
      <c r="G133" s="12" t="n">
        <v>24</v>
      </c>
      <c r="H133" s="12" t="n">
        <v>48</v>
      </c>
      <c r="I133" s="12" t="n">
        <v>96</v>
      </c>
      <c r="J133" s="12" t="n">
        <v>96</v>
      </c>
      <c r="K133" s="12" t="n">
        <v>96</v>
      </c>
      <c r="L133" s="12" t="n">
        <v>192</v>
      </c>
      <c r="M133" s="12" t="n">
        <v>240</v>
      </c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PILASTRO CUSCINETTO</t>
        </is>
      </c>
      <c r="B134" s="5" t="n"/>
      <c r="C134" s="12" t="n">
        <v>6</v>
      </c>
      <c r="D134" s="5" t="inlineStr">
        <is>
          <t>10DAZAM10</t>
        </is>
      </c>
      <c r="E134" s="5" t="inlineStr">
        <is>
          <t>Dado autobloccante M10</t>
        </is>
      </c>
      <c r="F134" s="5" t="inlineStr">
        <is>
          <t>Bulloneria e minuteria</t>
        </is>
      </c>
      <c r="G134" s="12" t="n">
        <v>24</v>
      </c>
      <c r="H134" s="12" t="n">
        <v>48</v>
      </c>
      <c r="I134" s="12" t="n">
        <v>96</v>
      </c>
      <c r="J134" s="12" t="n">
        <v>96</v>
      </c>
      <c r="K134" s="12" t="n">
        <v>96</v>
      </c>
      <c r="L134" s="12" t="n">
        <v>192</v>
      </c>
      <c r="M134" s="12" t="n">
        <v>240</v>
      </c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PILASTRO CUSCINETTO</t>
        </is>
      </c>
      <c r="B135" s="5" t="n"/>
      <c r="C135" s="12" t="n">
        <v>2</v>
      </c>
      <c r="D135" s="5" t="inlineStr">
        <is>
          <t>TTS.PC.002</t>
        </is>
      </c>
      <c r="E135" s="5" t="inlineStr">
        <is>
          <t>Supporto laterale pilastro cuscinetto</t>
        </is>
      </c>
      <c r="F135" s="5" t="inlineStr">
        <is>
          <t>Carpenteria metallica</t>
        </is>
      </c>
      <c r="G135" s="12" t="n">
        <v>2</v>
      </c>
      <c r="H135" s="12" t="n">
        <v>4</v>
      </c>
      <c r="I135" s="12" t="n">
        <v>8</v>
      </c>
      <c r="J135" s="12" t="n">
        <v>8</v>
      </c>
      <c r="K135" s="12" t="n">
        <v>8</v>
      </c>
      <c r="L135" s="12" t="n">
        <v>16</v>
      </c>
      <c r="M135" s="12" t="n">
        <v>20</v>
      </c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PILASTRO CUSCINETTO</t>
        </is>
      </c>
      <c r="B136" s="5" t="n"/>
      <c r="C136" s="12" t="n">
        <v>3</v>
      </c>
      <c r="D136" s="5" t="inlineStr">
        <is>
          <t>10BZ10X40</t>
        </is>
      </c>
      <c r="E136" s="5" t="inlineStr">
        <is>
          <t>Bullone testa esagonale M10X40</t>
        </is>
      </c>
      <c r="F136" s="5" t="inlineStr">
        <is>
          <t>Bulloneria e minuteria</t>
        </is>
      </c>
      <c r="G136" s="12" t="n">
        <v>8</v>
      </c>
      <c r="H136" s="12" t="n">
        <v>16</v>
      </c>
      <c r="I136" s="12" t="n">
        <v>32</v>
      </c>
      <c r="J136" s="12" t="n">
        <v>32</v>
      </c>
      <c r="K136" s="12" t="n">
        <v>32</v>
      </c>
      <c r="L136" s="12" t="n">
        <v>64</v>
      </c>
      <c r="M136" s="12" t="n">
        <v>80</v>
      </c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PILASTRO CUSCINETTO</t>
        </is>
      </c>
      <c r="B137" s="5" t="n"/>
      <c r="C137" s="12" t="n">
        <v>4</v>
      </c>
      <c r="D137" s="5" t="inlineStr">
        <is>
          <t>10ROND10</t>
        </is>
      </c>
      <c r="E137" s="5" t="inlineStr">
        <is>
          <t>Rondella zn da 10</t>
        </is>
      </c>
      <c r="F137" s="5" t="inlineStr">
        <is>
          <t>Bulloneria e minuteria</t>
        </is>
      </c>
      <c r="G137" s="12" t="n">
        <v>8</v>
      </c>
      <c r="H137" s="12" t="n">
        <v>16</v>
      </c>
      <c r="I137" s="12" t="n">
        <v>32</v>
      </c>
      <c r="J137" s="12" t="n">
        <v>32</v>
      </c>
      <c r="K137" s="12" t="n">
        <v>32</v>
      </c>
      <c r="L137" s="12" t="n">
        <v>64</v>
      </c>
      <c r="M137" s="12" t="n">
        <v>80</v>
      </c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PILASTRO CUSCINETTO</t>
        </is>
      </c>
      <c r="B138" s="5" t="n"/>
      <c r="C138" s="12" t="n">
        <v>5</v>
      </c>
      <c r="D138" s="5" t="inlineStr">
        <is>
          <t>10ROND10</t>
        </is>
      </c>
      <c r="E138" s="5" t="inlineStr">
        <is>
          <t>Rondella zn da 10</t>
        </is>
      </c>
      <c r="F138" s="5" t="inlineStr">
        <is>
          <t>Bulloneria e minuteria</t>
        </is>
      </c>
      <c r="G138" s="12" t="n">
        <v>8</v>
      </c>
      <c r="H138" s="12" t="n">
        <v>16</v>
      </c>
      <c r="I138" s="12" t="n">
        <v>32</v>
      </c>
      <c r="J138" s="12" t="n">
        <v>32</v>
      </c>
      <c r="K138" s="12" t="n">
        <v>32</v>
      </c>
      <c r="L138" s="12" t="n">
        <v>64</v>
      </c>
      <c r="M138" s="12" t="n">
        <v>80</v>
      </c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PILASTRO CUSCINETTO</t>
        </is>
      </c>
      <c r="B139" s="5" t="n"/>
      <c r="C139" s="12" t="n">
        <v>6</v>
      </c>
      <c r="D139" s="5" t="inlineStr">
        <is>
          <t>10DAZAM10</t>
        </is>
      </c>
      <c r="E139" s="5" t="inlineStr">
        <is>
          <t>Dado autobloccante M10</t>
        </is>
      </c>
      <c r="F139" s="5" t="inlineStr">
        <is>
          <t>Bulloneria e minuteria</t>
        </is>
      </c>
      <c r="G139" s="12" t="n">
        <v>8</v>
      </c>
      <c r="H139" s="12" t="n">
        <v>16</v>
      </c>
      <c r="I139" s="12" t="n">
        <v>32</v>
      </c>
      <c r="J139" s="12" t="n">
        <v>32</v>
      </c>
      <c r="K139" s="12" t="n">
        <v>32</v>
      </c>
      <c r="L139" s="12" t="n">
        <v>64</v>
      </c>
      <c r="M139" s="12" t="n">
        <v>80</v>
      </c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PILASTRO CUSCINETTO</t>
        </is>
      </c>
      <c r="B140" s="5" t="n"/>
      <c r="C140" s="12" t="n">
        <v>2</v>
      </c>
      <c r="D140" s="5" t="inlineStr">
        <is>
          <t>TTS.PC.002.IPE140</t>
        </is>
      </c>
      <c r="E140" s="5" t="inlineStr">
        <is>
          <t>Supporto laterale testa cuscinetto</t>
        </is>
      </c>
      <c r="F140" s="5" t="inlineStr">
        <is>
          <t>Carpenteria metallica</t>
        </is>
      </c>
      <c r="G140" s="12" t="n">
        <v>2</v>
      </c>
      <c r="H140" s="12" t="n">
        <v>4</v>
      </c>
      <c r="I140" s="12" t="n">
        <v>8</v>
      </c>
      <c r="J140" s="12" t="n">
        <v>8</v>
      </c>
      <c r="K140" s="12" t="n">
        <v>8</v>
      </c>
      <c r="L140" s="12" t="n">
        <v>16</v>
      </c>
      <c r="M140" s="12" t="n">
        <v>20</v>
      </c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PILASTRO CUSCINETTO</t>
        </is>
      </c>
      <c r="B141" s="5" t="n"/>
      <c r="C141" s="12" t="n">
        <v>2</v>
      </c>
      <c r="D141" s="5" t="inlineStr">
        <is>
          <t>TTS.PC.002.IPEA140</t>
        </is>
      </c>
      <c r="E141" s="5" t="inlineStr">
        <is>
          <t>Supporto laterale testa cuscinetto (alleggerita)</t>
        </is>
      </c>
      <c r="F141" s="5" t="inlineStr">
        <is>
          <t>Carpenteria metallica</t>
        </is>
      </c>
      <c r="G141" s="12" t="n">
        <v>0</v>
      </c>
      <c r="H141" s="12" t="n"/>
      <c r="I141" s="12" t="n"/>
      <c r="J141" s="12" t="n"/>
      <c r="K141" s="12" t="n"/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PILASTRO CUSCINETTO</t>
        </is>
      </c>
      <c r="B142" s="5" t="n"/>
      <c r="C142" s="12" t="n">
        <v>3</v>
      </c>
      <c r="D142" s="5" t="inlineStr">
        <is>
          <t>TTS.PC.003.IPE140</t>
        </is>
      </c>
      <c r="E142" s="5" t="inlineStr">
        <is>
          <t>Supporto testa cuscinetto</t>
        </is>
      </c>
      <c r="F142" s="5" t="inlineStr">
        <is>
          <t>Carpenteria metallica</t>
        </is>
      </c>
      <c r="G142" s="12" t="n">
        <v>1</v>
      </c>
      <c r="H142" s="12" t="n">
        <v>2</v>
      </c>
      <c r="I142" s="12" t="n">
        <v>4</v>
      </c>
      <c r="J142" s="12" t="n">
        <v>4</v>
      </c>
      <c r="K142" s="12" t="n">
        <v>4</v>
      </c>
      <c r="L142" s="12" t="n">
        <v>8</v>
      </c>
      <c r="M142" s="12" t="n">
        <v>10</v>
      </c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PILASTRO CUSCINETTO</t>
        </is>
      </c>
      <c r="B143" s="5" t="n"/>
      <c r="C143" s="12" t="n">
        <v>3</v>
      </c>
      <c r="D143" s="5" t="inlineStr">
        <is>
          <t>TTS.PC.003.IPEA140</t>
        </is>
      </c>
      <c r="E143" s="5" t="inlineStr">
        <is>
          <t>Supporto testa cuscinetto (alleggerita)</t>
        </is>
      </c>
      <c r="F143" s="5" t="inlineStr">
        <is>
          <t>Carpenteria metallica</t>
        </is>
      </c>
      <c r="G143" s="12" t="n">
        <v>0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PILASTRO CUSCINETTO</t>
        </is>
      </c>
      <c r="B144" s="5" t="n"/>
      <c r="C144" s="12" t="n">
        <v>4</v>
      </c>
      <c r="D144" s="5" t="inlineStr">
        <is>
          <t>10BZ10X30</t>
        </is>
      </c>
      <c r="E144" s="5" t="inlineStr">
        <is>
          <t>Bullone testa esagonale M10X30</t>
        </is>
      </c>
      <c r="F144" s="5" t="inlineStr">
        <is>
          <t>Bulloneria e minuteria</t>
        </is>
      </c>
      <c r="G144" s="12" t="n">
        <v>4</v>
      </c>
      <c r="H144" s="12" t="n">
        <v>8</v>
      </c>
      <c r="I144" s="12" t="n">
        <v>16</v>
      </c>
      <c r="J144" s="12" t="n">
        <v>16</v>
      </c>
      <c r="K144" s="12" t="n">
        <v>16</v>
      </c>
      <c r="L144" s="12" t="n">
        <v>32</v>
      </c>
      <c r="M144" s="12" t="n">
        <v>40</v>
      </c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PILASTRO CUSCINETTO</t>
        </is>
      </c>
      <c r="B145" s="5" t="n"/>
      <c r="C145" s="12" t="n">
        <v>5</v>
      </c>
      <c r="D145" s="5" t="inlineStr">
        <is>
          <t>10ROND10</t>
        </is>
      </c>
      <c r="E145" s="5" t="inlineStr">
        <is>
          <t>Rondella zn da 10</t>
        </is>
      </c>
      <c r="F145" s="5" t="inlineStr">
        <is>
          <t>Bulloneria e minuteria</t>
        </is>
      </c>
      <c r="G145" s="12" t="n">
        <v>4</v>
      </c>
      <c r="H145" s="12" t="n">
        <v>8</v>
      </c>
      <c r="I145" s="12" t="n">
        <v>16</v>
      </c>
      <c r="J145" s="12" t="n">
        <v>16</v>
      </c>
      <c r="K145" s="12" t="n">
        <v>16</v>
      </c>
      <c r="L145" s="12" t="n">
        <v>32</v>
      </c>
      <c r="M145" s="12" t="n">
        <v>40</v>
      </c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PILASTRO CUSCINETTO</t>
        </is>
      </c>
      <c r="B146" s="5" t="n"/>
      <c r="C146" s="12" t="n">
        <v>6</v>
      </c>
      <c r="D146" s="5" t="inlineStr">
        <is>
          <t>10ROND10</t>
        </is>
      </c>
      <c r="E146" s="5" t="inlineStr">
        <is>
          <t>Rondella zn da 10</t>
        </is>
      </c>
      <c r="F146" s="5" t="inlineStr">
        <is>
          <t>Bulloneria e minuteria</t>
        </is>
      </c>
      <c r="G146" s="12" t="n">
        <v>4</v>
      </c>
      <c r="H146" s="12" t="n">
        <v>8</v>
      </c>
      <c r="I146" s="12" t="n">
        <v>16</v>
      </c>
      <c r="J146" s="12" t="n">
        <v>16</v>
      </c>
      <c r="K146" s="12" t="n">
        <v>16</v>
      </c>
      <c r="L146" s="12" t="n">
        <v>32</v>
      </c>
      <c r="M146" s="12" t="n">
        <v>40</v>
      </c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PILASTRO CUSCINETTO</t>
        </is>
      </c>
      <c r="B147" s="5" t="n"/>
      <c r="C147" s="12" t="n">
        <v>7</v>
      </c>
      <c r="D147" s="5" t="inlineStr">
        <is>
          <t>10DAZAM10</t>
        </is>
      </c>
      <c r="E147" s="5" t="inlineStr">
        <is>
          <t>Dado autobloccante M10</t>
        </is>
      </c>
      <c r="F147" s="5" t="inlineStr">
        <is>
          <t>Bulloneria e minuteria</t>
        </is>
      </c>
      <c r="G147" s="12" t="n">
        <v>4</v>
      </c>
      <c r="H147" s="12" t="n">
        <v>8</v>
      </c>
      <c r="I147" s="12" t="n">
        <v>16</v>
      </c>
      <c r="J147" s="12" t="n">
        <v>16</v>
      </c>
      <c r="K147" s="12" t="n">
        <v>16</v>
      </c>
      <c r="L147" s="12" t="n">
        <v>32</v>
      </c>
      <c r="M147" s="12" t="n">
        <v>40</v>
      </c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PILASTRO CUSCINETTO</t>
        </is>
      </c>
      <c r="B148" s="5" t="n"/>
      <c r="C148" s="12" t="n">
        <v>2</v>
      </c>
      <c r="D148" s="5" t="inlineStr">
        <is>
          <t>ESQM_2_0_120_1</t>
        </is>
      </c>
      <c r="E148" s="5" t="inlineStr">
        <is>
          <t>Cuscinetto asse di rotazione</t>
        </is>
      </c>
      <c r="F148" s="5" t="inlineStr">
        <is>
          <t>Cuscinetti</t>
        </is>
      </c>
      <c r="G148" s="12" t="n">
        <v>1</v>
      </c>
      <c r="H148" s="12" t="n">
        <v>2</v>
      </c>
      <c r="I148" s="12" t="n">
        <v>4</v>
      </c>
      <c r="J148" s="12" t="n">
        <v>4</v>
      </c>
      <c r="K148" s="12" t="n">
        <v>4</v>
      </c>
      <c r="L148" s="12" t="n">
        <v>8</v>
      </c>
      <c r="M148" s="12" t="n">
        <v>10</v>
      </c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PILASTRO CUSCINETTO</t>
        </is>
      </c>
      <c r="B149" s="5" t="n"/>
      <c r="C149" s="12" t="n">
        <v>3</v>
      </c>
      <c r="D149" s="5" t="inlineStr">
        <is>
          <t>10BZ16X140</t>
        </is>
      </c>
      <c r="E149" s="5" t="inlineStr">
        <is>
          <t>Bullone testa esagonale M16x140 mezzo filetto</t>
        </is>
      </c>
      <c r="F149" s="5" t="inlineStr">
        <is>
          <t>Bulloneria e minuteria</t>
        </is>
      </c>
      <c r="G149" s="12" t="n">
        <v>2</v>
      </c>
      <c r="H149" s="12" t="n">
        <v>4</v>
      </c>
      <c r="I149" s="12" t="n">
        <v>8</v>
      </c>
      <c r="J149" s="12" t="n">
        <v>8</v>
      </c>
      <c r="K149" s="12" t="n">
        <v>8</v>
      </c>
      <c r="L149" s="12" t="n">
        <v>16</v>
      </c>
      <c r="M149" s="12" t="n">
        <v>20</v>
      </c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PILASTRO CUSCINETTO</t>
        </is>
      </c>
      <c r="B150" s="5" t="n"/>
      <c r="C150" s="12" t="n">
        <v>4</v>
      </c>
      <c r="D150" s="5" t="inlineStr">
        <is>
          <t>10ROND16</t>
        </is>
      </c>
      <c r="E150" s="5" t="inlineStr">
        <is>
          <t>Rondella zn da 16</t>
        </is>
      </c>
      <c r="F150" s="5" t="inlineStr">
        <is>
          <t>Bulloneria e minuteria</t>
        </is>
      </c>
      <c r="G150" s="12" t="n">
        <v>2</v>
      </c>
      <c r="H150" s="12" t="n">
        <v>4</v>
      </c>
      <c r="I150" s="12" t="n">
        <v>8</v>
      </c>
      <c r="J150" s="12" t="n">
        <v>8</v>
      </c>
      <c r="K150" s="12" t="n">
        <v>8</v>
      </c>
      <c r="L150" s="12" t="n">
        <v>16</v>
      </c>
      <c r="M150" s="12" t="n">
        <v>20</v>
      </c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PILASTRO CUSCINETTO</t>
        </is>
      </c>
      <c r="B151" s="5" t="n"/>
      <c r="C151" s="12" t="n">
        <v>5</v>
      </c>
      <c r="D151" s="5" t="inlineStr">
        <is>
          <t>10ROND16</t>
        </is>
      </c>
      <c r="E151" s="5" t="inlineStr">
        <is>
          <t>Rondella zn da 16</t>
        </is>
      </c>
      <c r="F151" s="5" t="inlineStr">
        <is>
          <t>Bulloneria e minuteria</t>
        </is>
      </c>
      <c r="G151" s="12" t="n">
        <v>2</v>
      </c>
      <c r="H151" s="12" t="n">
        <v>4</v>
      </c>
      <c r="I151" s="12" t="n">
        <v>8</v>
      </c>
      <c r="J151" s="12" t="n">
        <v>8</v>
      </c>
      <c r="K151" s="12" t="n">
        <v>8</v>
      </c>
      <c r="L151" s="12" t="n">
        <v>16</v>
      </c>
      <c r="M151" s="12" t="n">
        <v>20</v>
      </c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PILASTRO CUSCINETTO</t>
        </is>
      </c>
      <c r="B152" s="5" t="n"/>
      <c r="C152" s="12" t="n">
        <v>6</v>
      </c>
      <c r="D152" s="5" t="inlineStr">
        <is>
          <t>10DAZAM16</t>
        </is>
      </c>
      <c r="E152" s="5" t="inlineStr">
        <is>
          <t>Dado autobloccante M16</t>
        </is>
      </c>
      <c r="F152" s="5" t="inlineStr">
        <is>
          <t>Bulloneria e minuteria</t>
        </is>
      </c>
      <c r="G152" s="12" t="n">
        <v>2</v>
      </c>
      <c r="H152" s="12" t="n">
        <v>4</v>
      </c>
      <c r="I152" s="12" t="n">
        <v>8</v>
      </c>
      <c r="J152" s="12" t="n">
        <v>8</v>
      </c>
      <c r="K152" s="12" t="n">
        <v>8</v>
      </c>
      <c r="L152" s="12" t="n">
        <v>16</v>
      </c>
      <c r="M152" s="12" t="n">
        <v>20</v>
      </c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12 MODULI 1303</t>
        </is>
      </c>
      <c r="C153" s="12" t="n"/>
      <c r="D153" s="5" t="inlineStr">
        <is>
          <t>TTS.AR.001.8250</t>
        </is>
      </c>
      <c r="E153" s="5" t="inlineStr">
        <is>
          <t>Asse lato motore 120x120x3 mm. lunghezza mt.8,25</t>
        </is>
      </c>
      <c r="F153" s="5" t="inlineStr">
        <is>
          <t>Carpenteria metallica</t>
        </is>
      </c>
      <c r="G153" s="12" t="n">
        <v>2</v>
      </c>
      <c r="H153" s="12" t="n"/>
      <c r="I153" s="12" t="n"/>
      <c r="J153" s="12" t="n"/>
      <c r="K153" s="12" t="n"/>
      <c r="L153" s="12" t="n"/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12 MODULI 1303</t>
        </is>
      </c>
      <c r="C154" s="12" t="n"/>
      <c r="D154" s="5" t="inlineStr">
        <is>
          <t>TTS.AR.001.8250.25</t>
        </is>
      </c>
      <c r="E154" s="5" t="inlineStr">
        <is>
          <t>Asse lato motore 120x120x2,5 mm. lunghezza mt.8,25</t>
        </is>
      </c>
      <c r="F154" s="5" t="inlineStr">
        <is>
          <t>Carpenteria metallica</t>
        </is>
      </c>
      <c r="G154" s="12" t="n">
        <v>0</v>
      </c>
      <c r="H154" s="12" t="n"/>
      <c r="I154" s="12" t="n"/>
      <c r="J154" s="12" t="n"/>
      <c r="K154" s="12" t="n"/>
      <c r="L154" s="12" t="n"/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18 MODULI 1303</t>
        </is>
      </c>
      <c r="C155" s="12" t="n"/>
      <c r="D155" s="5" t="inlineStr">
        <is>
          <t>TTS.AR.001.7200</t>
        </is>
      </c>
      <c r="E155" s="5" t="inlineStr">
        <is>
          <t>Asse lato motore 120x120x3 mm. lunghezza mt.7,20</t>
        </is>
      </c>
      <c r="F155" s="5" t="inlineStr">
        <is>
          <t>Carpenteria metallica</t>
        </is>
      </c>
      <c r="G155" s="12" t="n">
        <v>2</v>
      </c>
      <c r="H155" s="12" t="n"/>
      <c r="I155" s="12" t="n"/>
      <c r="J155" s="12" t="n"/>
      <c r="K155" s="12" t="n"/>
      <c r="L155" s="12" t="n"/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18 MODULI 1303</t>
        </is>
      </c>
      <c r="C156" s="12" t="n"/>
      <c r="D156" s="5" t="inlineStr">
        <is>
          <t>TTS.AR.001.7200.25</t>
        </is>
      </c>
      <c r="E156" s="5" t="inlineStr">
        <is>
          <t>Asse lato motore 120x120x2,5 mm. lunghezza mt.7,20</t>
        </is>
      </c>
      <c r="F156" s="5" t="inlineStr">
        <is>
          <t>Carpenteria metallica</t>
        </is>
      </c>
      <c r="G156" s="12" t="n">
        <v>0</v>
      </c>
      <c r="H156" s="12" t="n"/>
      <c r="I156" s="12" t="n"/>
      <c r="J156" s="12" t="n"/>
      <c r="K156" s="12" t="n"/>
      <c r="L156" s="12" t="n"/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18 MODULI 1303</t>
        </is>
      </c>
      <c r="C157" s="12" t="n"/>
      <c r="D157" s="5" t="inlineStr">
        <is>
          <t>TTS.AR.002.5000</t>
        </is>
      </c>
      <c r="E157" s="5" t="inlineStr">
        <is>
          <t>Asse esterno 120x120x3 mm. lunghezza mt.5,00</t>
        </is>
      </c>
      <c r="F157" s="5" t="inlineStr">
        <is>
          <t>Carpenteria metallica</t>
        </is>
      </c>
      <c r="G157" s="12" t="n">
        <v>2</v>
      </c>
      <c r="H157" s="12" t="n"/>
      <c r="I157" s="12" t="n"/>
      <c r="J157" s="12" t="n"/>
      <c r="K157" s="12" t="n"/>
      <c r="L157" s="12" t="n"/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18 MODULI 1303</t>
        </is>
      </c>
      <c r="C158" s="12" t="n"/>
      <c r="D158" s="5" t="inlineStr">
        <is>
          <t>TTS.AR.002.5000.25</t>
        </is>
      </c>
      <c r="E158" s="5" t="inlineStr">
        <is>
          <t>Asse esterno 120x120x2,5 mm. lunghezza mt.5,00</t>
        </is>
      </c>
      <c r="F158" s="5" t="inlineStr">
        <is>
          <t>Carpenteria metallica</t>
        </is>
      </c>
      <c r="G158" s="12" t="n">
        <v>0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18 MODULI 1303</t>
        </is>
      </c>
      <c r="C159" s="12" t="n"/>
      <c r="D159" s="5" t="inlineStr">
        <is>
          <t>TTS.AR.201</t>
        </is>
      </c>
      <c r="E159" s="5" t="inlineStr">
        <is>
          <t>Kit giunzione asse di collegamento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18 MODULI 1303</t>
        </is>
      </c>
      <c r="C160" s="12" t="n">
        <v>1</v>
      </c>
      <c r="D160" s="5" t="inlineStr">
        <is>
          <t>TTS.AR.2011</t>
        </is>
      </c>
      <c r="E160" s="5" t="inlineStr">
        <is>
          <t>Gaffa giunzione asse</t>
        </is>
      </c>
      <c r="F160" s="5" t="inlineStr">
        <is>
          <t>Carpenteria metallica</t>
        </is>
      </c>
      <c r="G160" s="12" t="n">
        <v>2</v>
      </c>
      <c r="H160" s="12" t="n"/>
      <c r="I160" s="12" t="n">
        <v>4</v>
      </c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18 MODULI 1303</t>
        </is>
      </c>
      <c r="C161" s="12" t="n">
        <v>2</v>
      </c>
      <c r="D161" s="5" t="inlineStr">
        <is>
          <t>10BZM8X150</t>
        </is>
      </c>
      <c r="E161" s="5" t="inlineStr">
        <is>
          <t>Bullone testa esagonale zn M8X150</t>
        </is>
      </c>
      <c r="F161" s="5" t="inlineStr">
        <is>
          <t>Bulloneria e minuteria</t>
        </is>
      </c>
      <c r="G161" s="12" t="n">
        <v>2</v>
      </c>
      <c r="H161" s="12" t="n"/>
      <c r="I161" s="12" t="n">
        <v>4</v>
      </c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18 MODULI 1303</t>
        </is>
      </c>
      <c r="C162" s="12" t="n">
        <v>3</v>
      </c>
      <c r="D162" s="5" t="inlineStr">
        <is>
          <t>10ROND8</t>
        </is>
      </c>
      <c r="E162" s="5" t="inlineStr">
        <is>
          <t>Rondella zn 8</t>
        </is>
      </c>
      <c r="F162" s="5" t="inlineStr">
        <is>
          <t>Bulloneria e minuteria</t>
        </is>
      </c>
      <c r="G162" s="12" t="n">
        <v>2</v>
      </c>
      <c r="H162" s="12" t="n"/>
      <c r="I162" s="12" t="n">
        <v>4</v>
      </c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18 MODULI 1303</t>
        </is>
      </c>
      <c r="C163" s="12" t="n">
        <v>4</v>
      </c>
      <c r="D163" s="5" t="inlineStr">
        <is>
          <t>10ROND8</t>
        </is>
      </c>
      <c r="E163" s="5" t="inlineStr">
        <is>
          <t>Rondella zn 8</t>
        </is>
      </c>
      <c r="F163" s="5" t="inlineStr">
        <is>
          <t>Bulloneria e minuteria</t>
        </is>
      </c>
      <c r="G163" s="12" t="n">
        <v>2</v>
      </c>
      <c r="H163" s="12" t="n"/>
      <c r="I163" s="12" t="n">
        <v>4</v>
      </c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18 MODULI 1303</t>
        </is>
      </c>
      <c r="C164" s="12" t="n">
        <v>5</v>
      </c>
      <c r="D164" s="5" t="inlineStr">
        <is>
          <t>10DAZAM8</t>
        </is>
      </c>
      <c r="E164" s="5" t="inlineStr">
        <is>
          <t>Dado autobloccante M8</t>
        </is>
      </c>
      <c r="F164" s="5" t="inlineStr">
        <is>
          <t>Bulloneria e minuteria</t>
        </is>
      </c>
      <c r="G164" s="12" t="n">
        <v>2</v>
      </c>
      <c r="H164" s="12" t="n"/>
      <c r="I164" s="12" t="n">
        <v>4</v>
      </c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18 MODULI 1303</t>
        </is>
      </c>
      <c r="C165" s="12" t="n">
        <v>6</v>
      </c>
      <c r="D165" s="5" t="inlineStr">
        <is>
          <t>10BZM10X30</t>
        </is>
      </c>
      <c r="E165" s="5" t="inlineStr">
        <is>
          <t>Bullone testa esagonale zn M10X30</t>
        </is>
      </c>
      <c r="F165" s="5" t="inlineStr">
        <is>
          <t>Bulloneria e minuteria</t>
        </is>
      </c>
      <c r="G165" s="12" t="n">
        <v>8</v>
      </c>
      <c r="H165" s="12" t="n"/>
      <c r="I165" s="12" t="n">
        <v>16</v>
      </c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18 MODULI 1303</t>
        </is>
      </c>
      <c r="C166" s="12" t="n">
        <v>7</v>
      </c>
      <c r="D166" s="5" t="inlineStr">
        <is>
          <t>10ROND10</t>
        </is>
      </c>
      <c r="E166" s="5" t="inlineStr">
        <is>
          <t>Rondella zn 10</t>
        </is>
      </c>
      <c r="F166" s="5" t="inlineStr">
        <is>
          <t>Bulloneria e minuteria</t>
        </is>
      </c>
      <c r="G166" s="12" t="n">
        <v>8</v>
      </c>
      <c r="H166" s="12" t="n"/>
      <c r="I166" s="12" t="n">
        <v>16</v>
      </c>
      <c r="J166" s="12" t="n"/>
      <c r="K166" s="12" t="n"/>
      <c r="L166" s="12" t="n"/>
      <c r="M166" s="12" t="n"/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18 MODULI 1303</t>
        </is>
      </c>
      <c r="C167" s="12" t="n">
        <v>8</v>
      </c>
      <c r="D167" s="5" t="inlineStr">
        <is>
          <t>10ROND10</t>
        </is>
      </c>
      <c r="E167" s="5" t="inlineStr">
        <is>
          <t>Rondella zn 10</t>
        </is>
      </c>
      <c r="F167" s="5" t="inlineStr">
        <is>
          <t>Bulloneria e minuteria</t>
        </is>
      </c>
      <c r="G167" s="12" t="n">
        <v>8</v>
      </c>
      <c r="H167" s="12" t="n"/>
      <c r="I167" s="12" t="n">
        <v>16</v>
      </c>
      <c r="J167" s="12" t="n"/>
      <c r="K167" s="12" t="n"/>
      <c r="L167" s="12" t="n"/>
      <c r="M167" s="12" t="n"/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18 MODULI 1303</t>
        </is>
      </c>
      <c r="C168" s="12" t="n">
        <v>9</v>
      </c>
      <c r="D168" s="5" t="inlineStr">
        <is>
          <t>10DAZAM10</t>
        </is>
      </c>
      <c r="E168" s="5" t="inlineStr">
        <is>
          <t>Dado autobloccante M10</t>
        </is>
      </c>
      <c r="F168" s="5" t="inlineStr">
        <is>
          <t>Bulloneria e minuteria</t>
        </is>
      </c>
      <c r="G168" s="12" t="n">
        <v>8</v>
      </c>
      <c r="H168" s="12" t="n"/>
      <c r="I168" s="12" t="n">
        <v>16</v>
      </c>
      <c r="J168" s="12" t="n"/>
      <c r="K168" s="12" t="n"/>
      <c r="L168" s="12" t="n"/>
      <c r="M168" s="12" t="n"/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20 MODULI 1303</t>
        </is>
      </c>
      <c r="C169" s="12" t="n"/>
      <c r="D169" s="5" t="inlineStr">
        <is>
          <t>TTS.AR.001.7200</t>
        </is>
      </c>
      <c r="E169" s="5" t="inlineStr">
        <is>
          <t>Asse lato motore 120x120x3 mm. lunghezza mt.7,20</t>
        </is>
      </c>
      <c r="F169" s="5" t="inlineStr">
        <is>
          <t>Carpenteria metallica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/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20 MODULI 1303</t>
        </is>
      </c>
      <c r="C170" s="12" t="n"/>
      <c r="D170" s="5" t="inlineStr">
        <is>
          <t>TTS.AR.002.6300</t>
        </is>
      </c>
      <c r="E170" s="5" t="inlineStr">
        <is>
          <t>Asse esterno 120x120x3 mm. lunghezza mt.6,30</t>
        </is>
      </c>
      <c r="F170" s="5" t="inlineStr">
        <is>
          <t>Carpenteria metallica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/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20 MODULI 1303</t>
        </is>
      </c>
      <c r="C171" s="12" t="n"/>
      <c r="D171" s="5" t="inlineStr">
        <is>
          <t>TTS.AR.002.6300.25</t>
        </is>
      </c>
      <c r="E171" s="5" t="inlineStr">
        <is>
          <t>Asse esterno 120x120x2,5 mm. lunghezza mt.6,30</t>
        </is>
      </c>
      <c r="F171" s="5" t="inlineStr">
        <is>
          <t>Carpenteria metallica</t>
        </is>
      </c>
      <c r="G171" s="12" t="n">
        <v>0</v>
      </c>
      <c r="H171" s="12" t="n"/>
      <c r="I171" s="12" t="n"/>
      <c r="J171" s="12" t="n"/>
      <c r="K171" s="12" t="n"/>
      <c r="L171" s="12" t="n"/>
      <c r="M171" s="12" t="n"/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20 MODULI 1303</t>
        </is>
      </c>
      <c r="C172" s="12" t="n"/>
      <c r="D172" s="5" t="inlineStr">
        <is>
          <t>TTS.AR.201</t>
        </is>
      </c>
      <c r="E172" s="5" t="inlineStr">
        <is>
          <t>Kit giunzione asse di collegamento</t>
        </is>
      </c>
      <c r="F172" s="5" t="inlineStr">
        <is>
          <t>Carpenteria metallica</t>
        </is>
      </c>
      <c r="G172" s="12" t="n">
        <v>2</v>
      </c>
      <c r="H172" s="12" t="n"/>
      <c r="I172" s="12" t="n"/>
      <c r="J172" s="12" t="n"/>
      <c r="K172" s="12" t="n"/>
      <c r="L172" s="12" t="n"/>
      <c r="M172" s="12" t="n"/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20 MODULI 1303</t>
        </is>
      </c>
      <c r="C173" s="12" t="n">
        <v>1</v>
      </c>
      <c r="D173" s="5" t="inlineStr">
        <is>
          <t>TTS.AR.2011</t>
        </is>
      </c>
      <c r="E173" s="5" t="inlineStr">
        <is>
          <t>Gaffa giunzione asse</t>
        </is>
      </c>
      <c r="F173" s="5" t="inlineStr">
        <is>
          <t>Carpenteria metallica</t>
        </is>
      </c>
      <c r="G173" s="12" t="n">
        <v>2</v>
      </c>
      <c r="H173" s="12" t="n"/>
      <c r="I173" s="12" t="n"/>
      <c r="J173" s="12" t="n">
        <v>4</v>
      </c>
      <c r="K173" s="12" t="n"/>
      <c r="L173" s="12" t="n"/>
      <c r="M173" s="12" t="n"/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20 MODULI 1303</t>
        </is>
      </c>
      <c r="C174" s="12" t="n">
        <v>2</v>
      </c>
      <c r="D174" s="5" t="inlineStr">
        <is>
          <t>10BZM8X150</t>
        </is>
      </c>
      <c r="E174" s="5" t="inlineStr">
        <is>
          <t>Bullone testa esagonale zn M8X150</t>
        </is>
      </c>
      <c r="F174" s="5" t="inlineStr">
        <is>
          <t>Bulloneria e minuteria</t>
        </is>
      </c>
      <c r="G174" s="12" t="n">
        <v>2</v>
      </c>
      <c r="H174" s="12" t="n"/>
      <c r="I174" s="12" t="n"/>
      <c r="J174" s="12" t="n">
        <v>4</v>
      </c>
      <c r="K174" s="12" t="n"/>
      <c r="L174" s="12" t="n"/>
      <c r="M174" s="12" t="n"/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ASSI DI ROTAZIONE 1303</t>
        </is>
      </c>
      <c r="B175" s="5" t="inlineStr">
        <is>
          <t>20 MODULI 1303</t>
        </is>
      </c>
      <c r="C175" s="12" t="n">
        <v>3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12" t="n">
        <v>2</v>
      </c>
      <c r="H175" s="12" t="n"/>
      <c r="I175" s="12" t="n"/>
      <c r="J175" s="12" t="n">
        <v>4</v>
      </c>
      <c r="K175" s="12" t="n"/>
      <c r="L175" s="12" t="n"/>
      <c r="M175" s="12" t="n"/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ASSI DI ROTAZIONE 1303</t>
        </is>
      </c>
      <c r="B176" s="5" t="inlineStr">
        <is>
          <t>20 MODULI 1303</t>
        </is>
      </c>
      <c r="C176" s="12" t="n">
        <v>4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12" t="n">
        <v>2</v>
      </c>
      <c r="H176" s="12" t="n"/>
      <c r="I176" s="12" t="n"/>
      <c r="J176" s="12" t="n">
        <v>4</v>
      </c>
      <c r="K176" s="12" t="n"/>
      <c r="L176" s="12" t="n"/>
      <c r="M176" s="12" t="n"/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ASSI DI ROTAZIONE 1303</t>
        </is>
      </c>
      <c r="B177" s="5" t="inlineStr">
        <is>
          <t>20 MODULI 1303</t>
        </is>
      </c>
      <c r="C177" s="12" t="n">
        <v>5</v>
      </c>
      <c r="D177" s="5" t="inlineStr">
        <is>
          <t>10DAZAM8</t>
        </is>
      </c>
      <c r="E177" s="5" t="inlineStr">
        <is>
          <t>Dado autobloccante M8</t>
        </is>
      </c>
      <c r="F177" s="5" t="inlineStr">
        <is>
          <t>Bulloneria e minuteria</t>
        </is>
      </c>
      <c r="G177" s="12" t="n">
        <v>2</v>
      </c>
      <c r="H177" s="12" t="n"/>
      <c r="I177" s="12" t="n"/>
      <c r="J177" s="12" t="n">
        <v>4</v>
      </c>
      <c r="K177" s="12" t="n"/>
      <c r="L177" s="12" t="n"/>
      <c r="M177" s="12" t="n"/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ASSI DI ROTAZIONE 1303</t>
        </is>
      </c>
      <c r="B178" s="5" t="inlineStr">
        <is>
          <t>20 MODULI 1303</t>
        </is>
      </c>
      <c r="C178" s="12" t="n">
        <v>6</v>
      </c>
      <c r="D178" s="5" t="inlineStr">
        <is>
          <t>10BZM10X30</t>
        </is>
      </c>
      <c r="E178" s="5" t="inlineStr">
        <is>
          <t>Bullone testa esagonale zn M10X30</t>
        </is>
      </c>
      <c r="F178" s="5" t="inlineStr">
        <is>
          <t>Bulloneria e minuteria</t>
        </is>
      </c>
      <c r="G178" s="12" t="n">
        <v>8</v>
      </c>
      <c r="H178" s="12" t="n"/>
      <c r="I178" s="12" t="n"/>
      <c r="J178" s="12" t="n">
        <v>16</v>
      </c>
      <c r="K178" s="12" t="n"/>
      <c r="L178" s="12" t="n"/>
      <c r="M178" s="12" t="n"/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ASSI DI ROTAZIONE 1303</t>
        </is>
      </c>
      <c r="B179" s="5" t="inlineStr">
        <is>
          <t>20 MODULI 1303</t>
        </is>
      </c>
      <c r="C179" s="12" t="n">
        <v>7</v>
      </c>
      <c r="D179" s="5" t="inlineStr">
        <is>
          <t>10ROND10</t>
        </is>
      </c>
      <c r="E179" s="5" t="inlineStr">
        <is>
          <t>Rondella zn 10</t>
        </is>
      </c>
      <c r="F179" s="5" t="inlineStr">
        <is>
          <t>Bulloneria e minuteria</t>
        </is>
      </c>
      <c r="G179" s="12" t="n">
        <v>8</v>
      </c>
      <c r="H179" s="12" t="n"/>
      <c r="I179" s="12" t="n"/>
      <c r="J179" s="12" t="n">
        <v>16</v>
      </c>
      <c r="K179" s="12" t="n"/>
      <c r="L179" s="12" t="n"/>
      <c r="M179" s="12" t="n"/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ASSI DI ROTAZIONE 1303</t>
        </is>
      </c>
      <c r="B180" s="5" t="inlineStr">
        <is>
          <t>20 MODULI 1303</t>
        </is>
      </c>
      <c r="C180" s="12" t="n">
        <v>8</v>
      </c>
      <c r="D180" s="5" t="inlineStr">
        <is>
          <t>10ROND10</t>
        </is>
      </c>
      <c r="E180" s="5" t="inlineStr">
        <is>
          <t>Rondella zn 10</t>
        </is>
      </c>
      <c r="F180" s="5" t="inlineStr">
        <is>
          <t>Bulloneria e minuteria</t>
        </is>
      </c>
      <c r="G180" s="12" t="n">
        <v>8</v>
      </c>
      <c r="H180" s="12" t="n"/>
      <c r="I180" s="12" t="n"/>
      <c r="J180" s="12" t="n">
        <v>16</v>
      </c>
      <c r="K180" s="12" t="n"/>
      <c r="L180" s="12" t="n"/>
      <c r="M180" s="12" t="n"/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ASSI DI ROTAZIONE 1303</t>
        </is>
      </c>
      <c r="B181" s="5" t="inlineStr">
        <is>
          <t>20 MODULI 1303</t>
        </is>
      </c>
      <c r="C181" s="12" t="n">
        <v>9</v>
      </c>
      <c r="D181" s="5" t="inlineStr">
        <is>
          <t>10DAZAM10</t>
        </is>
      </c>
      <c r="E181" s="5" t="inlineStr">
        <is>
          <t>Dado autobloccante M10</t>
        </is>
      </c>
      <c r="F181" s="5" t="inlineStr">
        <is>
          <t>Bulloneria e minuteria</t>
        </is>
      </c>
      <c r="G181" s="12" t="n">
        <v>8</v>
      </c>
      <c r="H181" s="12" t="n"/>
      <c r="I181" s="12" t="n"/>
      <c r="J181" s="12" t="n">
        <v>16</v>
      </c>
      <c r="K181" s="12" t="n"/>
      <c r="L181" s="12" t="n"/>
      <c r="M181" s="12" t="n"/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ASSI DI ROTAZIONE 1303</t>
        </is>
      </c>
      <c r="B182" s="5" t="inlineStr">
        <is>
          <t>22 MODULI 1303</t>
        </is>
      </c>
      <c r="C182" s="12" t="n"/>
      <c r="D182" s="5" t="inlineStr">
        <is>
          <t>TTS.AR.001.8700</t>
        </is>
      </c>
      <c r="E182" s="5" t="inlineStr">
        <is>
          <t>Asse lato motore 120x120x3 mm. lunghezza mt.8,70</t>
        </is>
      </c>
      <c r="F182" s="5" t="inlineStr">
        <is>
          <t>Carpenteria metallica</t>
        </is>
      </c>
      <c r="G182" s="12" t="n">
        <v>2</v>
      </c>
      <c r="H182" s="12" t="n"/>
      <c r="I182" s="12" t="n"/>
      <c r="J182" s="12" t="n"/>
      <c r="K182" s="12" t="n"/>
      <c r="L182" s="12" t="n"/>
      <c r="M182" s="12" t="n"/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ASSI DI ROTAZIONE 1303</t>
        </is>
      </c>
      <c r="B183" s="5" t="inlineStr">
        <is>
          <t>22 MODULI 1303</t>
        </is>
      </c>
      <c r="C183" s="12" t="n"/>
      <c r="D183" s="5" t="inlineStr">
        <is>
          <t>TTS.AR.001.8700.25</t>
        </is>
      </c>
      <c r="E183" s="5" t="inlineStr">
        <is>
          <t>Asse lato motore 120x120x2,5 mm. lunghezza mt.8,70</t>
        </is>
      </c>
      <c r="F183" s="5" t="inlineStr">
        <is>
          <t>Carpenteria metallica</t>
        </is>
      </c>
      <c r="G183" s="12" t="n">
        <v>0</v>
      </c>
      <c r="H183" s="12" t="n"/>
      <c r="I183" s="12" t="n"/>
      <c r="J183" s="12" t="n"/>
      <c r="K183" s="12" t="n"/>
      <c r="L183" s="12" t="n"/>
      <c r="M183" s="12" t="n"/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ASSI DI ROTAZIONE 1303</t>
        </is>
      </c>
      <c r="B184" s="5" t="inlineStr">
        <is>
          <t>22 MODULI 1303</t>
        </is>
      </c>
      <c r="C184" s="12" t="n"/>
      <c r="D184" s="5" t="inlineStr">
        <is>
          <t>TTS.AR.002.6150</t>
        </is>
      </c>
      <c r="E184" s="5" t="inlineStr">
        <is>
          <t>Asse esterno 120x120x3 mm. lunghezza mt.6,15</t>
        </is>
      </c>
      <c r="F184" s="5" t="inlineStr">
        <is>
          <t>Carpenteria metallica</t>
        </is>
      </c>
      <c r="G184" s="12" t="n">
        <v>2</v>
      </c>
      <c r="H184" s="12" t="n"/>
      <c r="I184" s="12" t="n"/>
      <c r="J184" s="12" t="n"/>
      <c r="K184" s="12" t="n"/>
      <c r="L184" s="12" t="n"/>
      <c r="M184" s="12" t="n"/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ASSI DI ROTAZIONE 1303</t>
        </is>
      </c>
      <c r="B185" s="5" t="inlineStr">
        <is>
          <t>22 MODULI 1303</t>
        </is>
      </c>
      <c r="C185" s="12" t="n"/>
      <c r="D185" s="5" t="inlineStr">
        <is>
          <t>TTS.AR.002.6150.25</t>
        </is>
      </c>
      <c r="E185" s="5" t="inlineStr">
        <is>
          <t>Asse esterno 120x120x2,5 mm. lunghezza mt.6,15</t>
        </is>
      </c>
      <c r="F185" s="5" t="inlineStr">
        <is>
          <t>Carpenteria metallica</t>
        </is>
      </c>
      <c r="G185" s="12" t="n">
        <v>0</v>
      </c>
      <c r="H185" s="12" t="n"/>
      <c r="I185" s="12" t="n"/>
      <c r="J185" s="12" t="n"/>
      <c r="K185" s="12" t="n"/>
      <c r="L185" s="12" t="n"/>
      <c r="M185" s="12" t="n"/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ASSI DI ROTAZIONE 1303</t>
        </is>
      </c>
      <c r="B186" s="5" t="inlineStr">
        <is>
          <t>22 MODULI 1303</t>
        </is>
      </c>
      <c r="C186" s="12" t="n"/>
      <c r="D186" s="5" t="inlineStr">
        <is>
          <t>TTS.AR.201</t>
        </is>
      </c>
      <c r="E186" s="5" t="inlineStr">
        <is>
          <t>Kit giunzione asse di collegamento</t>
        </is>
      </c>
      <c r="F186" s="5" t="inlineStr">
        <is>
          <t>Carpenteria metallica</t>
        </is>
      </c>
      <c r="G186" s="12" t="n">
        <v>2</v>
      </c>
      <c r="H186" s="12" t="n"/>
      <c r="I186" s="12" t="n"/>
      <c r="J186" s="12" t="n"/>
      <c r="K186" s="12" t="n"/>
      <c r="L186" s="12" t="n"/>
      <c r="M186" s="12" t="n"/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ASSI DI ROTAZIONE 1303</t>
        </is>
      </c>
      <c r="B187" s="5" t="inlineStr">
        <is>
          <t>22 MODULI 1303</t>
        </is>
      </c>
      <c r="C187" s="12" t="n">
        <v>1</v>
      </c>
      <c r="D187" s="5" t="inlineStr">
        <is>
          <t>TTS.AR.2011</t>
        </is>
      </c>
      <c r="E187" s="5" t="inlineStr">
        <is>
          <t>Gaffa giunzione asse</t>
        </is>
      </c>
      <c r="F187" s="5" t="inlineStr">
        <is>
          <t>Carpenteria metallica</t>
        </is>
      </c>
      <c r="G187" s="12" t="n">
        <v>2</v>
      </c>
      <c r="H187" s="12" t="n"/>
      <c r="I187" s="12" t="n"/>
      <c r="J187" s="12" t="n"/>
      <c r="K187" s="12" t="n">
        <v>4</v>
      </c>
      <c r="L187" s="12" t="n"/>
      <c r="M187" s="12" t="n"/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ASSI DI ROTAZIONE 1303</t>
        </is>
      </c>
      <c r="B188" s="5" t="inlineStr">
        <is>
          <t>22 MODULI 1303</t>
        </is>
      </c>
      <c r="C188" s="12" t="n">
        <v>2</v>
      </c>
      <c r="D188" s="5" t="inlineStr">
        <is>
          <t>10BZM8X150</t>
        </is>
      </c>
      <c r="E188" s="5" t="inlineStr">
        <is>
          <t>Bullone testa esagonale zn M8X150</t>
        </is>
      </c>
      <c r="F188" s="5" t="inlineStr">
        <is>
          <t>Bulloneria e minuteria</t>
        </is>
      </c>
      <c r="G188" s="12" t="n">
        <v>2</v>
      </c>
      <c r="H188" s="12" t="n"/>
      <c r="I188" s="12" t="n"/>
      <c r="J188" s="12" t="n"/>
      <c r="K188" s="12" t="n">
        <v>4</v>
      </c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ASSI DI ROTAZIONE 1303</t>
        </is>
      </c>
      <c r="B189" s="5" t="inlineStr">
        <is>
          <t>22 MODULI 1303</t>
        </is>
      </c>
      <c r="C189" s="12" t="n">
        <v>3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2</v>
      </c>
      <c r="H189" s="12" t="n"/>
      <c r="I189" s="12" t="n"/>
      <c r="J189" s="12" t="n"/>
      <c r="K189" s="12" t="n">
        <v>4</v>
      </c>
      <c r="L189" s="12" t="n"/>
      <c r="M189" s="12" t="n"/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ASSI DI ROTAZIONE 1303</t>
        </is>
      </c>
      <c r="B190" s="5" t="inlineStr">
        <is>
          <t>22 MODULI 1303</t>
        </is>
      </c>
      <c r="C190" s="12" t="n">
        <v>4</v>
      </c>
      <c r="D190" s="5" t="inlineStr">
        <is>
          <t>10ROND8</t>
        </is>
      </c>
      <c r="E190" s="5" t="inlineStr">
        <is>
          <t>Rondella zn 8</t>
        </is>
      </c>
      <c r="F190" s="5" t="inlineStr">
        <is>
          <t>Bulloneria e minuteria</t>
        </is>
      </c>
      <c r="G190" s="12" t="n">
        <v>2</v>
      </c>
      <c r="H190" s="12" t="n"/>
      <c r="I190" s="12" t="n"/>
      <c r="J190" s="12" t="n"/>
      <c r="K190" s="12" t="n">
        <v>4</v>
      </c>
      <c r="L190" s="12" t="n"/>
      <c r="M190" s="12" t="n"/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ASSI DI ROTAZIONE 1303</t>
        </is>
      </c>
      <c r="B191" s="5" t="inlineStr">
        <is>
          <t>22 MODULI 1303</t>
        </is>
      </c>
      <c r="C191" s="12" t="n">
        <v>5</v>
      </c>
      <c r="D191" s="5" t="inlineStr">
        <is>
          <t>10DAZAM8</t>
        </is>
      </c>
      <c r="E191" s="5" t="inlineStr">
        <is>
          <t>Dado autobloccante M8</t>
        </is>
      </c>
      <c r="F191" s="5" t="inlineStr">
        <is>
          <t>Bulloneria e minuteria</t>
        </is>
      </c>
      <c r="G191" s="12" t="n">
        <v>2</v>
      </c>
      <c r="H191" s="12" t="n"/>
      <c r="I191" s="12" t="n"/>
      <c r="J191" s="12" t="n"/>
      <c r="K191" s="12" t="n">
        <v>4</v>
      </c>
      <c r="L191" s="12" t="n"/>
      <c r="M191" s="12" t="n"/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ASSI DI ROTAZIONE 1303</t>
        </is>
      </c>
      <c r="B192" s="5" t="inlineStr">
        <is>
          <t>22 MODULI 1303</t>
        </is>
      </c>
      <c r="C192" s="12" t="n">
        <v>6</v>
      </c>
      <c r="D192" s="5" t="inlineStr">
        <is>
          <t>10BZM10X30</t>
        </is>
      </c>
      <c r="E192" s="5" t="inlineStr">
        <is>
          <t>Bullone testa esagonale zn M10X30</t>
        </is>
      </c>
      <c r="F192" s="5" t="inlineStr">
        <is>
          <t>Bulloneria e minuteria</t>
        </is>
      </c>
      <c r="G192" s="12" t="n">
        <v>8</v>
      </c>
      <c r="H192" s="12" t="n"/>
      <c r="I192" s="12" t="n"/>
      <c r="J192" s="12" t="n"/>
      <c r="K192" s="12" t="n">
        <v>16</v>
      </c>
      <c r="L192" s="12" t="n"/>
      <c r="M192" s="12" t="n"/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ASSI DI ROTAZIONE 1303</t>
        </is>
      </c>
      <c r="B193" s="5" t="inlineStr">
        <is>
          <t>22 MODULI 1303</t>
        </is>
      </c>
      <c r="C193" s="12" t="n">
        <v>7</v>
      </c>
      <c r="D193" s="5" t="inlineStr">
        <is>
          <t>10ROND10</t>
        </is>
      </c>
      <c r="E193" s="5" t="inlineStr">
        <is>
          <t>Rondella zn 10</t>
        </is>
      </c>
      <c r="F193" s="5" t="inlineStr">
        <is>
          <t>Bulloneria e minuteria</t>
        </is>
      </c>
      <c r="G193" s="12" t="n">
        <v>8</v>
      </c>
      <c r="H193" s="12" t="n"/>
      <c r="I193" s="12" t="n"/>
      <c r="J193" s="12" t="n"/>
      <c r="K193" s="12" t="n">
        <v>16</v>
      </c>
      <c r="L193" s="12" t="n"/>
      <c r="M193" s="12" t="n"/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ASSI DI ROTAZIONE 1303</t>
        </is>
      </c>
      <c r="B194" s="5" t="inlineStr">
        <is>
          <t>22 MODULI 1303</t>
        </is>
      </c>
      <c r="C194" s="12" t="n">
        <v>8</v>
      </c>
      <c r="D194" s="5" t="inlineStr">
        <is>
          <t>10ROND10</t>
        </is>
      </c>
      <c r="E194" s="5" t="inlineStr">
        <is>
          <t>Rondella zn 10</t>
        </is>
      </c>
      <c r="F194" s="5" t="inlineStr">
        <is>
          <t>Bulloneria e minuteria</t>
        </is>
      </c>
      <c r="G194" s="12" t="n">
        <v>8</v>
      </c>
      <c r="H194" s="12" t="n"/>
      <c r="I194" s="12" t="n"/>
      <c r="J194" s="12" t="n"/>
      <c r="K194" s="12" t="n">
        <v>16</v>
      </c>
      <c r="L194" s="12" t="n"/>
      <c r="M194" s="12" t="n"/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ASSI DI ROTAZIONE 1303</t>
        </is>
      </c>
      <c r="B195" s="5" t="inlineStr">
        <is>
          <t>22 MODULI 1303</t>
        </is>
      </c>
      <c r="C195" s="12" t="n">
        <v>9</v>
      </c>
      <c r="D195" s="5" t="inlineStr">
        <is>
          <t>10DAZAM10</t>
        </is>
      </c>
      <c r="E195" s="5" t="inlineStr">
        <is>
          <t>Dado autobloccante M10</t>
        </is>
      </c>
      <c r="F195" s="5" t="inlineStr">
        <is>
          <t>Bulloneria e minuteria</t>
        </is>
      </c>
      <c r="G195" s="12" t="n">
        <v>8</v>
      </c>
      <c r="H195" s="12" t="n"/>
      <c r="I195" s="12" t="n"/>
      <c r="J195" s="12" t="n"/>
      <c r="K195" s="12" t="n">
        <v>16</v>
      </c>
      <c r="L195" s="12" t="n"/>
      <c r="M195" s="12" t="n"/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ASSI DI ROTAZIONE 1303</t>
        </is>
      </c>
      <c r="B196" s="5" t="inlineStr">
        <is>
          <t>36 MODULI 1303</t>
        </is>
      </c>
      <c r="C196" s="12" t="n"/>
      <c r="D196" s="5" t="inlineStr">
        <is>
          <t>TTS.AR.001.8700</t>
        </is>
      </c>
      <c r="E196" s="5" t="inlineStr">
        <is>
          <t>Asse lato motore 120x120x3 mm. lunghezza mt.8,70</t>
        </is>
      </c>
      <c r="F196" s="5" t="inlineStr">
        <is>
          <t>Carpenteria metallica</t>
        </is>
      </c>
      <c r="G196" s="12" t="n">
        <v>2</v>
      </c>
      <c r="H196" s="12" t="n"/>
      <c r="I196" s="12" t="n"/>
      <c r="J196" s="12" t="n"/>
      <c r="K196" s="12" t="n"/>
      <c r="L196" s="12" t="n"/>
      <c r="M196" s="12" t="n"/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ASSI DI ROTAZIONE 1303</t>
        </is>
      </c>
      <c r="B197" s="5" t="inlineStr">
        <is>
          <t>36 MODULI 1303</t>
        </is>
      </c>
      <c r="C197" s="12" t="n"/>
      <c r="D197" s="5" t="inlineStr">
        <is>
          <t>TTS.AR.002.6756</t>
        </is>
      </c>
      <c r="E197" s="5" t="inlineStr">
        <is>
          <t>Asse esterno 120x120x3 mm. lunghezza mt.6,756</t>
        </is>
      </c>
      <c r="F197" s="5" t="inlineStr">
        <is>
          <t>Carpenteria metallica</t>
        </is>
      </c>
      <c r="G197" s="12" t="n">
        <v>2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ASSI DI ROTAZIONE 1303</t>
        </is>
      </c>
      <c r="B198" s="5" t="inlineStr">
        <is>
          <t>36 MODULI 1303</t>
        </is>
      </c>
      <c r="C198" s="12" t="n"/>
      <c r="D198" s="5" t="inlineStr">
        <is>
          <t>TTS.AR.002.6756.25</t>
        </is>
      </c>
      <c r="E198" s="5" t="inlineStr">
        <is>
          <t>Asse esterno 120x120x2,5 mm. lunghezza mt.6,756</t>
        </is>
      </c>
      <c r="F198" s="5" t="inlineStr">
        <is>
          <t>Carpenteria metallica</t>
        </is>
      </c>
      <c r="G198" s="12" t="n">
        <v>0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ASSI DI ROTAZIONE 1303</t>
        </is>
      </c>
      <c r="B199" s="5" t="inlineStr">
        <is>
          <t>36 MODULI 1303</t>
        </is>
      </c>
      <c r="C199" s="12" t="n"/>
      <c r="D199" s="5" t="inlineStr">
        <is>
          <t>TTS.AR.002.8645</t>
        </is>
      </c>
      <c r="E199" s="5" t="inlineStr">
        <is>
          <t>Asse esterno 120x120x3 mm. lunghezza mt.8,645</t>
        </is>
      </c>
      <c r="F199" s="5" t="inlineStr">
        <is>
          <t>Carpenteria metallica</t>
        </is>
      </c>
      <c r="G199" s="12" t="n">
        <v>2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ASSI DI ROTAZIONE 1303</t>
        </is>
      </c>
      <c r="B200" s="5" t="inlineStr">
        <is>
          <t>36 MODULI 1303</t>
        </is>
      </c>
      <c r="C200" s="12" t="n"/>
      <c r="D200" s="5" t="inlineStr">
        <is>
          <t>TTS.AR.002.8645.25</t>
        </is>
      </c>
      <c r="E200" s="5" t="inlineStr">
        <is>
          <t>Asse esterno 120x120x2,5 mm. lunghezza mt.8,645</t>
        </is>
      </c>
      <c r="F200" s="5" t="inlineStr">
        <is>
          <t>Carpenteria metallica</t>
        </is>
      </c>
      <c r="G200" s="12" t="n">
        <v>0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ASSI DI ROTAZIONE 1303</t>
        </is>
      </c>
      <c r="B201" s="5" t="inlineStr">
        <is>
          <t>36 MODULI 1303</t>
        </is>
      </c>
      <c r="C201" s="12" t="n"/>
      <c r="D201" s="5" t="inlineStr">
        <is>
          <t>TTS.AR.201</t>
        </is>
      </c>
      <c r="E201" s="5" t="inlineStr">
        <is>
          <t>Kit giunzione asse di collegamento</t>
        </is>
      </c>
      <c r="F201" s="5" t="inlineStr">
        <is>
          <t>Carpenteria metallica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ASSI DI ROTAZIONE 1303</t>
        </is>
      </c>
      <c r="B202" s="5" t="inlineStr">
        <is>
          <t>36 MODULI 1303</t>
        </is>
      </c>
      <c r="C202" s="12" t="n">
        <v>1</v>
      </c>
      <c r="D202" s="5" t="inlineStr">
        <is>
          <t>TTS.AR.2011</t>
        </is>
      </c>
      <c r="E202" s="5" t="inlineStr">
        <is>
          <t>Gaffa giunzione asse</t>
        </is>
      </c>
      <c r="F202" s="5" t="inlineStr">
        <is>
          <t>Carpenteria metallica</t>
        </is>
      </c>
      <c r="G202" s="12" t="n">
        <v>2</v>
      </c>
      <c r="H202" s="12" t="n"/>
      <c r="I202" s="12" t="n"/>
      <c r="J202" s="12" t="n"/>
      <c r="K202" s="12" t="n"/>
      <c r="L202" s="12" t="n">
        <v>8</v>
      </c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ASSI DI ROTAZIONE 1303</t>
        </is>
      </c>
      <c r="B203" s="5" t="inlineStr">
        <is>
          <t>36 MODULI 1303</t>
        </is>
      </c>
      <c r="C203" s="12" t="n">
        <v>2</v>
      </c>
      <c r="D203" s="5" t="inlineStr">
        <is>
          <t>10BZM8X150</t>
        </is>
      </c>
      <c r="E203" s="5" t="inlineStr">
        <is>
          <t>Bullone testa esagonale zn M8X150</t>
        </is>
      </c>
      <c r="F203" s="5" t="inlineStr">
        <is>
          <t>Bulloneria e minuteria</t>
        </is>
      </c>
      <c r="G203" s="12" t="n">
        <v>2</v>
      </c>
      <c r="H203" s="12" t="n"/>
      <c r="I203" s="12" t="n"/>
      <c r="J203" s="12" t="n"/>
      <c r="K203" s="12" t="n"/>
      <c r="L203" s="12" t="n">
        <v>8</v>
      </c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ASSI DI ROTAZIONE 1303</t>
        </is>
      </c>
      <c r="B204" s="5" t="inlineStr">
        <is>
          <t>36 MODULI 1303</t>
        </is>
      </c>
      <c r="C204" s="12" t="n">
        <v>3</v>
      </c>
      <c r="D204" s="5" t="inlineStr">
        <is>
          <t>10ROND8</t>
        </is>
      </c>
      <c r="E204" s="5" t="inlineStr">
        <is>
          <t>Rondella zn 8</t>
        </is>
      </c>
      <c r="F204" s="5" t="inlineStr">
        <is>
          <t>Bulloneria e minuteria</t>
        </is>
      </c>
      <c r="G204" s="12" t="n">
        <v>2</v>
      </c>
      <c r="H204" s="12" t="n"/>
      <c r="I204" s="12" t="n"/>
      <c r="J204" s="12" t="n"/>
      <c r="K204" s="12" t="n"/>
      <c r="L204" s="12" t="n">
        <v>8</v>
      </c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ASSI DI ROTAZIONE 1303</t>
        </is>
      </c>
      <c r="B205" s="5" t="inlineStr">
        <is>
          <t>36 MODULI 1303</t>
        </is>
      </c>
      <c r="C205" s="12" t="n">
        <v>4</v>
      </c>
      <c r="D205" s="5" t="inlineStr">
        <is>
          <t>10ROND8</t>
        </is>
      </c>
      <c r="E205" s="5" t="inlineStr">
        <is>
          <t>Rondella zn 8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>
        <v>8</v>
      </c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ASSI DI ROTAZIONE 1303</t>
        </is>
      </c>
      <c r="B206" s="5" t="inlineStr">
        <is>
          <t>36 MODULI 1303</t>
        </is>
      </c>
      <c r="C206" s="12" t="n">
        <v>5</v>
      </c>
      <c r="D206" s="5" t="inlineStr">
        <is>
          <t>10DAZAM8</t>
        </is>
      </c>
      <c r="E206" s="5" t="inlineStr">
        <is>
          <t>Dado autobloccante M8</t>
        </is>
      </c>
      <c r="F206" s="5" t="inlineStr">
        <is>
          <t>Bulloneria e minuteria</t>
        </is>
      </c>
      <c r="G206" s="12" t="n">
        <v>2</v>
      </c>
      <c r="H206" s="12" t="n"/>
      <c r="I206" s="12" t="n"/>
      <c r="J206" s="12" t="n"/>
      <c r="K206" s="12" t="n"/>
      <c r="L206" s="12" t="n">
        <v>8</v>
      </c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ASSI DI ROTAZIONE 1303</t>
        </is>
      </c>
      <c r="B207" s="5" t="inlineStr">
        <is>
          <t>36 MODULI 1303</t>
        </is>
      </c>
      <c r="C207" s="12" t="n">
        <v>6</v>
      </c>
      <c r="D207" s="5" t="inlineStr">
        <is>
          <t>10BZM10X30</t>
        </is>
      </c>
      <c r="E207" s="5" t="inlineStr">
        <is>
          <t>Bullone testa esagonale zn M10X30</t>
        </is>
      </c>
      <c r="F207" s="5" t="inlineStr">
        <is>
          <t>Bulloneria e minuteria</t>
        </is>
      </c>
      <c r="G207" s="12" t="n">
        <v>8</v>
      </c>
      <c r="H207" s="12" t="n"/>
      <c r="I207" s="12" t="n"/>
      <c r="J207" s="12" t="n"/>
      <c r="K207" s="12" t="n"/>
      <c r="L207" s="12" t="n">
        <v>32</v>
      </c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ASSI DI ROTAZIONE 1303</t>
        </is>
      </c>
      <c r="B208" s="5" t="inlineStr">
        <is>
          <t>36 MODULI 1303</t>
        </is>
      </c>
      <c r="C208" s="12" t="n">
        <v>7</v>
      </c>
      <c r="D208" s="5" t="inlineStr">
        <is>
          <t>10ROND10</t>
        </is>
      </c>
      <c r="E208" s="5" t="inlineStr">
        <is>
          <t>Rondella zn 10</t>
        </is>
      </c>
      <c r="F208" s="5" t="inlineStr">
        <is>
          <t>Bulloneria e minuteria</t>
        </is>
      </c>
      <c r="G208" s="12" t="n">
        <v>8</v>
      </c>
      <c r="H208" s="12" t="n"/>
      <c r="I208" s="12" t="n"/>
      <c r="J208" s="12" t="n"/>
      <c r="K208" s="12" t="n"/>
      <c r="L208" s="12" t="n">
        <v>32</v>
      </c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ASSI DI ROTAZIONE 1303</t>
        </is>
      </c>
      <c r="B209" s="5" t="inlineStr">
        <is>
          <t>36 MODULI 1303</t>
        </is>
      </c>
      <c r="C209" s="12" t="n">
        <v>8</v>
      </c>
      <c r="D209" s="5" t="inlineStr">
        <is>
          <t>10ROND10</t>
        </is>
      </c>
      <c r="E209" s="5" t="inlineStr">
        <is>
          <t>Rondella zn 10</t>
        </is>
      </c>
      <c r="F209" s="5" t="inlineStr">
        <is>
          <t>Bulloneria e minuteria</t>
        </is>
      </c>
      <c r="G209" s="12" t="n">
        <v>8</v>
      </c>
      <c r="H209" s="12" t="n"/>
      <c r="I209" s="12" t="n"/>
      <c r="J209" s="12" t="n"/>
      <c r="K209" s="12" t="n"/>
      <c r="L209" s="12" t="n">
        <v>32</v>
      </c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ASSI DI ROTAZIONE 1303</t>
        </is>
      </c>
      <c r="B210" s="5" t="inlineStr">
        <is>
          <t>36 MODULI 1303</t>
        </is>
      </c>
      <c r="C210" s="12" t="n">
        <v>9</v>
      </c>
      <c r="D210" s="5" t="inlineStr">
        <is>
          <t>10DAZAM10</t>
        </is>
      </c>
      <c r="E210" s="5" t="inlineStr">
        <is>
          <t>Dado autobloccante M10</t>
        </is>
      </c>
      <c r="F210" s="5" t="inlineStr">
        <is>
          <t>Bulloneria e minuteria</t>
        </is>
      </c>
      <c r="G210" s="12" t="n">
        <v>8</v>
      </c>
      <c r="H210" s="12" t="n"/>
      <c r="I210" s="12" t="n"/>
      <c r="J210" s="12" t="n"/>
      <c r="K210" s="12" t="n"/>
      <c r="L210" s="12" t="n">
        <v>32</v>
      </c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ASSI DI ROTAZIONE 1303</t>
        </is>
      </c>
      <c r="B211" s="5" t="inlineStr">
        <is>
          <t>40 MODULI 1303</t>
        </is>
      </c>
      <c r="C211" s="12" t="n"/>
      <c r="D211" s="5" t="inlineStr">
        <is>
          <t>TTS.AR.001.8700</t>
        </is>
      </c>
      <c r="E211" s="5" t="inlineStr">
        <is>
          <t>Asse lato motore 120x120x3 mm. lunghezza mt.8,70</t>
        </is>
      </c>
      <c r="F211" s="5" t="inlineStr">
        <is>
          <t>Carpenteria metallica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ASSI DI ROTAZIONE 1303</t>
        </is>
      </c>
      <c r="B212" s="5" t="inlineStr">
        <is>
          <t>40 MODULI 1303</t>
        </is>
      </c>
      <c r="C212" s="12" t="n"/>
      <c r="D212" s="5" t="inlineStr">
        <is>
          <t>TTS.AR.002.8250</t>
        </is>
      </c>
      <c r="E212" s="5" t="inlineStr">
        <is>
          <t>Primo asse centrale 120x120x3 mm. lunghezza mt.8,25</t>
        </is>
      </c>
      <c r="F212" s="5" t="inlineStr">
        <is>
          <t>Carpenteria metallica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ASSI DI ROTAZIONE 1303</t>
        </is>
      </c>
      <c r="B213" s="5" t="inlineStr">
        <is>
          <t>40 MODULI 1303</t>
        </is>
      </c>
      <c r="C213" s="12" t="n"/>
      <c r="D213" s="5" t="inlineStr">
        <is>
          <t>TTS.AR.002.8250.25</t>
        </is>
      </c>
      <c r="E213" s="5" t="inlineStr">
        <is>
          <t>Primo asse centrale 120x120x2,5 mm. lunghezza mt.8,25</t>
        </is>
      </c>
      <c r="F213" s="5" t="inlineStr">
        <is>
          <t>Carpenteria metallica</t>
        </is>
      </c>
      <c r="G213" s="12" t="n">
        <v>0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ASSI DI ROTAZIONE 1303</t>
        </is>
      </c>
      <c r="B214" s="5" t="inlineStr">
        <is>
          <t>40 MODULI 1303</t>
        </is>
      </c>
      <c r="C214" s="12" t="n"/>
      <c r="D214" s="5" t="inlineStr">
        <is>
          <t>TTS.AR.003.5000</t>
        </is>
      </c>
      <c r="E214" s="5" t="inlineStr">
        <is>
          <t>Secondo asse centrale 120x120x3 mm. lunghezza mt.5,000</t>
        </is>
      </c>
      <c r="F214" s="5" t="inlineStr">
        <is>
          <t>Carpenteria metallica</t>
        </is>
      </c>
      <c r="G214" s="12" t="n">
        <v>2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ASSI DI ROTAZIONE 1303</t>
        </is>
      </c>
      <c r="B215" s="5" t="inlineStr">
        <is>
          <t>40 MODULI 1303</t>
        </is>
      </c>
      <c r="C215" s="12" t="n"/>
      <c r="D215" s="5" t="inlineStr">
        <is>
          <t>TTS.AR.003.5000.25</t>
        </is>
      </c>
      <c r="E215" s="5" t="inlineStr">
        <is>
          <t>Secondo asse centrale 120x120x2,5 mm. lunghezza mt.5,000</t>
        </is>
      </c>
      <c r="F215" s="5" t="inlineStr">
        <is>
          <t>Carpenteria metallica</t>
        </is>
      </c>
      <c r="G215" s="12" t="n">
        <v>0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ASSI DI ROTAZIONE 1303</t>
        </is>
      </c>
      <c r="B216" s="5" t="inlineStr">
        <is>
          <t>40 MODULI 1303</t>
        </is>
      </c>
      <c r="C216" s="12" t="n"/>
      <c r="D216" s="5" t="inlineStr">
        <is>
          <t>TTS.AR.004.4800</t>
        </is>
      </c>
      <c r="E216" s="5" t="inlineStr">
        <is>
          <t>Asse esterno 120x120x3 mm. lunghezza mt.4,800</t>
        </is>
      </c>
      <c r="F216" s="5" t="inlineStr">
        <is>
          <t>Carpenteria metallica</t>
        </is>
      </c>
      <c r="G216" s="12" t="n">
        <v>2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ASSI DI ROTAZIONE 1303</t>
        </is>
      </c>
      <c r="B217" s="5" t="inlineStr">
        <is>
          <t>40 MODULI 1303</t>
        </is>
      </c>
      <c r="C217" s="12" t="n"/>
      <c r="D217" s="5" t="inlineStr">
        <is>
          <t>TTS.AR.004.4800.25</t>
        </is>
      </c>
      <c r="E217" s="5" t="inlineStr">
        <is>
          <t>Asse esterno 120x120x2,5 mm. lunghezza mt.4,800</t>
        </is>
      </c>
      <c r="F217" s="5" t="inlineStr">
        <is>
          <t>Carpenteria metallica</t>
        </is>
      </c>
      <c r="G217" s="12" t="n">
        <v>0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ASSI DI ROTAZIONE 1303</t>
        </is>
      </c>
      <c r="B218" s="5" t="inlineStr">
        <is>
          <t>40 MODULI 1303</t>
        </is>
      </c>
      <c r="C218" s="12" t="n"/>
      <c r="D218" s="5" t="inlineStr">
        <is>
          <t>TTS.AR.201</t>
        </is>
      </c>
      <c r="E218" s="5" t="inlineStr">
        <is>
          <t>Kit giunzione asse di collegamento</t>
        </is>
      </c>
      <c r="F218" s="5" t="inlineStr">
        <is>
          <t>Carpenteria metallica</t>
        </is>
      </c>
      <c r="G218" s="12" t="n">
        <v>6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ASSI DI ROTAZIONE 1303</t>
        </is>
      </c>
      <c r="B219" s="5" t="inlineStr">
        <is>
          <t>40 MODULI 1303</t>
        </is>
      </c>
      <c r="C219" s="12" t="n">
        <v>1</v>
      </c>
      <c r="D219" s="5" t="inlineStr">
        <is>
          <t>TTS.AR.2011</t>
        </is>
      </c>
      <c r="E219" s="5" t="inlineStr">
        <is>
          <t>Gaffa giunzione asse</t>
        </is>
      </c>
      <c r="F219" s="5" t="inlineStr">
        <is>
          <t>Carpenteria metallica</t>
        </is>
      </c>
      <c r="G219" s="12" t="n">
        <v>2</v>
      </c>
      <c r="H219" s="12" t="n"/>
      <c r="I219" s="12" t="n"/>
      <c r="J219" s="12" t="n"/>
      <c r="K219" s="12" t="n"/>
      <c r="L219" s="12" t="n"/>
      <c r="M219" s="12" t="n">
        <v>12</v>
      </c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ASSI DI ROTAZIONE 1303</t>
        </is>
      </c>
      <c r="B220" s="5" t="inlineStr">
        <is>
          <t>40 MODULI 1303</t>
        </is>
      </c>
      <c r="C220" s="12" t="n">
        <v>2</v>
      </c>
      <c r="D220" s="5" t="inlineStr">
        <is>
          <t>10BZM8X150</t>
        </is>
      </c>
      <c r="E220" s="5" t="inlineStr">
        <is>
          <t>Bullone testa esagonale zn M8X150</t>
        </is>
      </c>
      <c r="F220" s="5" t="inlineStr">
        <is>
          <t>Bulloneria e minuteria</t>
        </is>
      </c>
      <c r="G220" s="12" t="n">
        <v>2</v>
      </c>
      <c r="H220" s="12" t="n"/>
      <c r="I220" s="12" t="n"/>
      <c r="J220" s="12" t="n"/>
      <c r="K220" s="12" t="n"/>
      <c r="L220" s="12" t="n"/>
      <c r="M220" s="12" t="n">
        <v>12</v>
      </c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ASSI DI ROTAZIONE 1303</t>
        </is>
      </c>
      <c r="B221" s="5" t="inlineStr">
        <is>
          <t>40 MODULI 1303</t>
        </is>
      </c>
      <c r="C221" s="12" t="n">
        <v>3</v>
      </c>
      <c r="D221" s="5" t="inlineStr">
        <is>
          <t>10ROND8</t>
        </is>
      </c>
      <c r="E221" s="5" t="inlineStr">
        <is>
          <t>Rondella zn 8</t>
        </is>
      </c>
      <c r="F221" s="5" t="inlineStr">
        <is>
          <t>Bulloneria e minuteria</t>
        </is>
      </c>
      <c r="G221" s="12" t="n">
        <v>2</v>
      </c>
      <c r="H221" s="12" t="n"/>
      <c r="I221" s="12" t="n"/>
      <c r="J221" s="12" t="n"/>
      <c r="K221" s="12" t="n"/>
      <c r="L221" s="12" t="n"/>
      <c r="M221" s="12" t="n">
        <v>12</v>
      </c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ASSI DI ROTAZIONE 1303</t>
        </is>
      </c>
      <c r="B222" s="5" t="inlineStr">
        <is>
          <t>40 MODULI 1303</t>
        </is>
      </c>
      <c r="C222" s="12" t="n">
        <v>4</v>
      </c>
      <c r="D222" s="5" t="inlineStr">
        <is>
          <t>10ROND8</t>
        </is>
      </c>
      <c r="E222" s="5" t="inlineStr">
        <is>
          <t>Rondella zn 8</t>
        </is>
      </c>
      <c r="F222" s="5" t="inlineStr">
        <is>
          <t>Bulloneria e minuteria</t>
        </is>
      </c>
      <c r="G222" s="12" t="n">
        <v>2</v>
      </c>
      <c r="H222" s="12" t="n"/>
      <c r="I222" s="12" t="n"/>
      <c r="J222" s="12" t="n"/>
      <c r="K222" s="12" t="n"/>
      <c r="L222" s="12" t="n"/>
      <c r="M222" s="12" t="n">
        <v>12</v>
      </c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ASSI DI ROTAZIONE 1303</t>
        </is>
      </c>
      <c r="B223" s="5" t="inlineStr">
        <is>
          <t>40 MODULI 1303</t>
        </is>
      </c>
      <c r="C223" s="12" t="n">
        <v>5</v>
      </c>
      <c r="D223" s="5" t="inlineStr">
        <is>
          <t>10DAZAM8</t>
        </is>
      </c>
      <c r="E223" s="5" t="inlineStr">
        <is>
          <t>Dado autobloccante M8</t>
        </is>
      </c>
      <c r="F223" s="5" t="inlineStr">
        <is>
          <t>Bulloneria e minuteria</t>
        </is>
      </c>
      <c r="G223" s="12" t="n">
        <v>2</v>
      </c>
      <c r="H223" s="12" t="n"/>
      <c r="I223" s="12" t="n"/>
      <c r="J223" s="12" t="n"/>
      <c r="K223" s="12" t="n"/>
      <c r="L223" s="12" t="n"/>
      <c r="M223" s="12" t="n">
        <v>12</v>
      </c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ASSI DI ROTAZIONE 1303</t>
        </is>
      </c>
      <c r="B224" s="5" t="inlineStr">
        <is>
          <t>40 MODULI 1303</t>
        </is>
      </c>
      <c r="C224" s="12" t="n">
        <v>6</v>
      </c>
      <c r="D224" s="5" t="inlineStr">
        <is>
          <t>10BZM10X30</t>
        </is>
      </c>
      <c r="E224" s="5" t="inlineStr">
        <is>
          <t>Bullone testa esagonale zn M10X30</t>
        </is>
      </c>
      <c r="F224" s="5" t="inlineStr">
        <is>
          <t>Bulloneria e minuteria</t>
        </is>
      </c>
      <c r="G224" s="12" t="n">
        <v>8</v>
      </c>
      <c r="H224" s="12" t="n"/>
      <c r="I224" s="12" t="n"/>
      <c r="J224" s="12" t="n"/>
      <c r="K224" s="12" t="n"/>
      <c r="L224" s="12" t="n"/>
      <c r="M224" s="12" t="n">
        <v>16</v>
      </c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ASSI DI ROTAZIONE 1303</t>
        </is>
      </c>
      <c r="B225" s="5" t="inlineStr">
        <is>
          <t>40 MODULI 1303</t>
        </is>
      </c>
      <c r="C225" s="12" t="n">
        <v>7</v>
      </c>
      <c r="D225" s="5" t="inlineStr">
        <is>
          <t>10ROND10</t>
        </is>
      </c>
      <c r="E225" s="5" t="inlineStr">
        <is>
          <t>Rondella zn 10</t>
        </is>
      </c>
      <c r="F225" s="5" t="inlineStr">
        <is>
          <t>Bulloneria e minuteria</t>
        </is>
      </c>
      <c r="G225" s="12" t="n">
        <v>8</v>
      </c>
      <c r="H225" s="12" t="n"/>
      <c r="I225" s="12" t="n"/>
      <c r="J225" s="12" t="n"/>
      <c r="K225" s="12" t="n"/>
      <c r="L225" s="12" t="n"/>
      <c r="M225" s="12" t="n">
        <v>16</v>
      </c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ASSI DI ROTAZIONE 1303</t>
        </is>
      </c>
      <c r="B226" s="5" t="inlineStr">
        <is>
          <t>40 MODULI 1303</t>
        </is>
      </c>
      <c r="C226" s="12" t="n">
        <v>8</v>
      </c>
      <c r="D226" s="5" t="inlineStr">
        <is>
          <t>10ROND10</t>
        </is>
      </c>
      <c r="E226" s="5" t="inlineStr">
        <is>
          <t>Rondella zn 10</t>
        </is>
      </c>
      <c r="F226" s="5" t="inlineStr">
        <is>
          <t>Bulloneria e minuteria</t>
        </is>
      </c>
      <c r="G226" s="12" t="n">
        <v>8</v>
      </c>
      <c r="H226" s="12" t="n"/>
      <c r="I226" s="12" t="n"/>
      <c r="J226" s="12" t="n"/>
      <c r="K226" s="12" t="n"/>
      <c r="L226" s="12" t="n"/>
      <c r="M226" s="12" t="n">
        <v>16</v>
      </c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ASSI DI ROTAZIONE 1303</t>
        </is>
      </c>
      <c r="B227" s="5" t="inlineStr">
        <is>
          <t>40 MODULI 1303</t>
        </is>
      </c>
      <c r="C227" s="12" t="n">
        <v>9</v>
      </c>
      <c r="D227" s="5" t="inlineStr">
        <is>
          <t>10DAZAM10</t>
        </is>
      </c>
      <c r="E227" s="5" t="inlineStr">
        <is>
          <t>Dado autobloccante M10</t>
        </is>
      </c>
      <c r="F227" s="5" t="inlineStr">
        <is>
          <t>Bulloneria e minuteria</t>
        </is>
      </c>
      <c r="G227" s="12" t="n">
        <v>8</v>
      </c>
      <c r="H227" s="12" t="n"/>
      <c r="I227" s="12" t="n"/>
      <c r="J227" s="12" t="n"/>
      <c r="K227" s="12" t="n"/>
      <c r="L227" s="12" t="n"/>
      <c r="M227" s="12" t="n">
        <v>16</v>
      </c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OMEGA+pannelli</t>
        </is>
      </c>
      <c r="B228" s="5" t="n"/>
      <c r="C228" s="12" t="n">
        <v>1</v>
      </c>
      <c r="D228" s="5" t="inlineStr">
        <is>
          <t>10BZM8X25</t>
        </is>
      </c>
      <c r="E228" s="5" t="inlineStr">
        <is>
          <t>Bullone testa esagonale zn M8X25</t>
        </is>
      </c>
      <c r="F228" s="5" t="inlineStr">
        <is>
          <t>Bulloneria e minuteria</t>
        </is>
      </c>
      <c r="G228" s="12" t="n">
        <v>4</v>
      </c>
      <c r="H228" s="12" t="n">
        <v>56</v>
      </c>
      <c r="I228" s="12" t="n">
        <v>80</v>
      </c>
      <c r="J228" s="12" t="n">
        <v>88</v>
      </c>
      <c r="K228" s="12" t="n">
        <v>96</v>
      </c>
      <c r="L228" s="12" t="n">
        <v>152</v>
      </c>
      <c r="M228" s="12" t="n">
        <v>168</v>
      </c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OMEGA+pannelli</t>
        </is>
      </c>
      <c r="B229" s="5" t="n"/>
      <c r="C229" s="12" t="n">
        <v>2</v>
      </c>
      <c r="D229" s="5" t="inlineStr">
        <is>
          <t>TTS.AR.3011</t>
        </is>
      </c>
      <c r="E229" s="5" t="inlineStr">
        <is>
          <t>Supporto a L superiore omega</t>
        </is>
      </c>
      <c r="F229" s="5" t="inlineStr">
        <is>
          <t>Carpenteria metallica</t>
        </is>
      </c>
      <c r="G229" s="12" t="n">
        <v>2</v>
      </c>
      <c r="H229" s="12" t="n">
        <v>28</v>
      </c>
      <c r="I229" s="12" t="n">
        <v>40</v>
      </c>
      <c r="J229" s="12" t="n">
        <v>44</v>
      </c>
      <c r="K229" s="12" t="n">
        <v>48</v>
      </c>
      <c r="L229" s="12" t="n">
        <v>76</v>
      </c>
      <c r="M229" s="12" t="n">
        <v>84</v>
      </c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OMEGA+pannelli</t>
        </is>
      </c>
      <c r="B230" s="5" t="n"/>
      <c r="C230" s="12" t="n">
        <v>3</v>
      </c>
      <c r="D230" s="5" t="inlineStr">
        <is>
          <t>TTS.AR.3012</t>
        </is>
      </c>
      <c r="E230" s="5" t="inlineStr">
        <is>
          <t>Supporto a V inferiore omega</t>
        </is>
      </c>
      <c r="F230" s="5" t="inlineStr">
        <is>
          <t>Carpenteria metallica</t>
        </is>
      </c>
      <c r="G230" s="12" t="n">
        <v>2</v>
      </c>
      <c r="H230" s="12" t="n">
        <v>56</v>
      </c>
      <c r="I230" s="12" t="n">
        <v>40</v>
      </c>
      <c r="J230" s="12" t="n">
        <v>44</v>
      </c>
      <c r="K230" s="12" t="n">
        <v>48</v>
      </c>
      <c r="L230" s="12" t="n">
        <v>76</v>
      </c>
      <c r="M230" s="12" t="n">
        <v>84</v>
      </c>
      <c r="N230" s="12" t="n"/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OMEGA+pannelli</t>
        </is>
      </c>
      <c r="B231" s="5" t="n"/>
      <c r="C231" s="12" t="n">
        <v>4</v>
      </c>
      <c r="D231" s="5" t="inlineStr">
        <is>
          <t>10ROND8</t>
        </is>
      </c>
      <c r="E231" s="5" t="inlineStr">
        <is>
          <t>Rondella zn 8</t>
        </is>
      </c>
      <c r="F231" s="5" t="inlineStr">
        <is>
          <t>Bulloneria e minuteria</t>
        </is>
      </c>
      <c r="G231" s="12" t="n">
        <v>4</v>
      </c>
      <c r="H231" s="12" t="n">
        <v>56</v>
      </c>
      <c r="I231" s="12" t="n">
        <v>80</v>
      </c>
      <c r="J231" s="12" t="n">
        <v>88</v>
      </c>
      <c r="K231" s="12" t="n">
        <v>96</v>
      </c>
      <c r="L231" s="12" t="n">
        <v>152</v>
      </c>
      <c r="M231" s="12" t="n">
        <v>168</v>
      </c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OMEGA+pannelli</t>
        </is>
      </c>
      <c r="B232" s="5" t="n"/>
      <c r="C232" s="12" t="n">
        <v>5</v>
      </c>
      <c r="D232" s="5" t="inlineStr">
        <is>
          <t>10DAZAM8</t>
        </is>
      </c>
      <c r="E232" s="5" t="inlineStr">
        <is>
          <t>Dado autobloccante M8</t>
        </is>
      </c>
      <c r="F232" s="5" t="inlineStr">
        <is>
          <t>Bulloneria e minuteria</t>
        </is>
      </c>
      <c r="G232" s="12" t="n">
        <v>4</v>
      </c>
      <c r="H232" s="12" t="n">
        <v>56</v>
      </c>
      <c r="I232" s="12" t="n">
        <v>80</v>
      </c>
      <c r="J232" s="12" t="n">
        <v>88</v>
      </c>
      <c r="K232" s="12" t="n">
        <v>96</v>
      </c>
      <c r="L232" s="12" t="n">
        <v>152</v>
      </c>
      <c r="M232" s="12" t="n">
        <v>168</v>
      </c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OMEGA+pannelli</t>
        </is>
      </c>
      <c r="B233" s="5" t="n"/>
      <c r="C233" s="12" t="n">
        <v>6</v>
      </c>
      <c r="D233" s="5" t="inlineStr">
        <is>
          <t>10BZM10X160</t>
        </is>
      </c>
      <c r="E233" s="5" t="inlineStr">
        <is>
          <t>Bullone testa esagonale zn M10X160</t>
        </is>
      </c>
      <c r="F233" s="5" t="inlineStr">
        <is>
          <t>Bulloneria e minuteria</t>
        </is>
      </c>
      <c r="G233" s="12" t="n">
        <v>4</v>
      </c>
      <c r="H233" s="12" t="n">
        <v>56</v>
      </c>
      <c r="I233" s="12" t="n">
        <v>80</v>
      </c>
      <c r="J233" s="12" t="n">
        <v>88</v>
      </c>
      <c r="K233" s="12" t="n">
        <v>96</v>
      </c>
      <c r="L233" s="12" t="n">
        <v>152</v>
      </c>
      <c r="M233" s="12" t="n">
        <v>168</v>
      </c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OMEGA+pannelli</t>
        </is>
      </c>
      <c r="B234" s="5" t="n"/>
      <c r="C234" s="12" t="n">
        <v>7</v>
      </c>
      <c r="D234" s="5" t="inlineStr">
        <is>
          <t>10ROND10</t>
        </is>
      </c>
      <c r="E234" s="5" t="inlineStr">
        <is>
          <t>Rondella zn 10</t>
        </is>
      </c>
      <c r="F234" s="5" t="inlineStr">
        <is>
          <t>Bulloneria e minuteria</t>
        </is>
      </c>
      <c r="G234" s="12" t="n">
        <v>4</v>
      </c>
      <c r="H234" s="12" t="n">
        <v>56</v>
      </c>
      <c r="I234" s="12" t="n">
        <v>80</v>
      </c>
      <c r="J234" s="12" t="n">
        <v>88</v>
      </c>
      <c r="K234" s="12" t="n">
        <v>96</v>
      </c>
      <c r="L234" s="12" t="n">
        <v>152</v>
      </c>
      <c r="M234" s="12" t="n">
        <v>168</v>
      </c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OMEGA+pannelli</t>
        </is>
      </c>
      <c r="B235" s="5" t="n"/>
      <c r="C235" s="12" t="n">
        <v>8</v>
      </c>
      <c r="D235" s="5" t="inlineStr">
        <is>
          <t>10DAZAM8</t>
        </is>
      </c>
      <c r="E235" s="5" t="inlineStr">
        <is>
          <t>Dado autobloccante M8</t>
        </is>
      </c>
      <c r="F235" s="5" t="inlineStr">
        <is>
          <t>Bulloneria e minuteria</t>
        </is>
      </c>
      <c r="G235" s="12" t="n">
        <v>4</v>
      </c>
      <c r="H235" s="12" t="n">
        <v>56</v>
      </c>
      <c r="I235" s="12" t="n">
        <v>80</v>
      </c>
      <c r="J235" s="12" t="n">
        <v>88</v>
      </c>
      <c r="K235" s="12" t="n">
        <v>96</v>
      </c>
      <c r="L235" s="12" t="n">
        <v>152</v>
      </c>
      <c r="M235" s="12" t="n">
        <v>168</v>
      </c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OMEGA+pannelli</t>
        </is>
      </c>
      <c r="B236" s="5" t="n"/>
      <c r="C236" s="12" t="n">
        <v>9</v>
      </c>
      <c r="D236" s="5" t="inlineStr">
        <is>
          <t>10BZM6X150</t>
        </is>
      </c>
      <c r="E236" s="5" t="inlineStr">
        <is>
          <t>Bullone testa esagonale zn M6X150</t>
        </is>
      </c>
      <c r="F236" s="5" t="inlineStr">
        <is>
          <t>Bulloneria e minuteria</t>
        </is>
      </c>
      <c r="G236" s="12" t="n">
        <v>2</v>
      </c>
      <c r="H236" s="12" t="n">
        <v>28</v>
      </c>
      <c r="I236" s="12" t="n">
        <v>40</v>
      </c>
      <c r="J236" s="12" t="n">
        <v>44</v>
      </c>
      <c r="K236" s="12" t="n">
        <v>48</v>
      </c>
      <c r="L236" s="12" t="n">
        <v>76</v>
      </c>
      <c r="M236" s="12" t="n">
        <v>336</v>
      </c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OMEGA+pannelli</t>
        </is>
      </c>
      <c r="B237" s="5" t="n"/>
      <c r="C237" s="12" t="n">
        <v>10</v>
      </c>
      <c r="D237" s="5" t="inlineStr">
        <is>
          <t>TTS.AR.3013</t>
        </is>
      </c>
      <c r="E237" s="5" t="inlineStr">
        <is>
          <t>Gaffa sotto omega</t>
        </is>
      </c>
      <c r="F237" s="5" t="inlineStr">
        <is>
          <t>Carpenteria metallica</t>
        </is>
      </c>
      <c r="G237" s="12" t="n">
        <v>1</v>
      </c>
      <c r="H237" s="12" t="n">
        <v>14</v>
      </c>
      <c r="I237" s="12" t="n">
        <v>20</v>
      </c>
      <c r="J237" s="12" t="n">
        <v>22</v>
      </c>
      <c r="K237" s="12" t="n">
        <v>24</v>
      </c>
      <c r="L237" s="12" t="n">
        <v>38</v>
      </c>
      <c r="M237" s="12" t="n">
        <v>42</v>
      </c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OMEGA+pannelli</t>
        </is>
      </c>
      <c r="B238" s="5" t="n"/>
      <c r="C238" s="12" t="n">
        <v>11</v>
      </c>
      <c r="D238" s="5" t="inlineStr">
        <is>
          <t>10ROND6</t>
        </is>
      </c>
      <c r="E238" s="5" t="inlineStr">
        <is>
          <t>Rondella zn 6</t>
        </is>
      </c>
      <c r="F238" s="5" t="inlineStr">
        <is>
          <t>Bulloneria e minuteria</t>
        </is>
      </c>
      <c r="G238" s="12" t="n">
        <v>2</v>
      </c>
      <c r="H238" s="12" t="n">
        <v>28</v>
      </c>
      <c r="I238" s="12" t="n">
        <v>40</v>
      </c>
      <c r="J238" s="12" t="n">
        <v>44</v>
      </c>
      <c r="K238" s="12" t="n">
        <v>48</v>
      </c>
      <c r="L238" s="12" t="n">
        <v>76</v>
      </c>
      <c r="M238" s="12" t="n">
        <v>84</v>
      </c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OMEGA+pannelli</t>
        </is>
      </c>
      <c r="B239" s="5" t="n"/>
      <c r="C239" s="12" t="n">
        <v>12</v>
      </c>
      <c r="D239" s="5" t="inlineStr">
        <is>
          <t>10DAZAM6</t>
        </is>
      </c>
      <c r="E239" s="5" t="inlineStr">
        <is>
          <t>Dado autobloccante M6</t>
        </is>
      </c>
      <c r="F239" s="5" t="inlineStr">
        <is>
          <t>Bulloneria e minuteria</t>
        </is>
      </c>
      <c r="G239" s="12" t="n">
        <v>2</v>
      </c>
      <c r="H239" s="12" t="n">
        <v>28</v>
      </c>
      <c r="I239" s="12" t="n">
        <v>40</v>
      </c>
      <c r="J239" s="12" t="n">
        <v>44</v>
      </c>
      <c r="K239" s="12" t="n">
        <v>48</v>
      </c>
      <c r="L239" s="12" t="n">
        <v>76</v>
      </c>
      <c r="M239" s="12" t="n">
        <v>84</v>
      </c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OMEGA+pannelli</t>
        </is>
      </c>
      <c r="B240" s="5" t="n"/>
      <c r="C240" s="12" t="n">
        <v>13</v>
      </c>
      <c r="D240" s="5" t="inlineStr">
        <is>
          <t>TTS.AR.3014</t>
        </is>
      </c>
      <c r="E240" s="5" t="inlineStr">
        <is>
          <t>Omega supporto pannello</t>
        </is>
      </c>
      <c r="F240" s="5" t="inlineStr">
        <is>
          <t>Carpenteria metallica</t>
        </is>
      </c>
      <c r="G240" s="12" t="n">
        <v>1</v>
      </c>
      <c r="H240" s="12" t="n">
        <v>14</v>
      </c>
      <c r="I240" s="12" t="n">
        <v>40</v>
      </c>
      <c r="J240" s="12" t="n">
        <v>22</v>
      </c>
      <c r="K240" s="12" t="n">
        <v>48</v>
      </c>
      <c r="L240" s="12" t="n">
        <v>38</v>
      </c>
      <c r="M240" s="12" t="n">
        <v>42</v>
      </c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OMEGA+pannelli</t>
        </is>
      </c>
      <c r="B241" s="5" t="n"/>
      <c r="C241" s="12" t="n">
        <v>13</v>
      </c>
      <c r="D241" s="5" t="inlineStr">
        <is>
          <t>TTS.AR.3014.18</t>
        </is>
      </c>
      <c r="E241" s="5" t="inlineStr">
        <is>
          <t>Omega supporto pannello mm1,8</t>
        </is>
      </c>
      <c r="F241" s="5" t="inlineStr">
        <is>
          <t>Carpenteria metallica</t>
        </is>
      </c>
      <c r="G241" s="12" t="n">
        <v>0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OMEGA+pannelli</t>
        </is>
      </c>
      <c r="B242" s="5" t="n"/>
      <c r="C242" s="12" t="n">
        <v>14</v>
      </c>
      <c r="D242" s="5" t="inlineStr">
        <is>
          <t>10ROND8</t>
        </is>
      </c>
      <c r="E242" s="5" t="inlineStr">
        <is>
          <t>Rondella zn 8</t>
        </is>
      </c>
      <c r="F242" s="5" t="inlineStr">
        <is>
          <t>Bulloneria e minuteria</t>
        </is>
      </c>
      <c r="G242" s="12" t="n">
        <v>4</v>
      </c>
      <c r="H242" s="12" t="n">
        <v>56</v>
      </c>
      <c r="I242" s="12" t="n">
        <v>80</v>
      </c>
      <c r="J242" s="12" t="n">
        <v>88</v>
      </c>
      <c r="K242" s="12" t="n">
        <v>96</v>
      </c>
      <c r="L242" s="12" t="n">
        <v>152</v>
      </c>
      <c r="M242" s="12" t="n">
        <v>168</v>
      </c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OMEGA+pannelli</t>
        </is>
      </c>
      <c r="B243" s="5" t="n"/>
      <c r="C243" s="12" t="n">
        <v>15</v>
      </c>
      <c r="D243" s="5" t="inlineStr">
        <is>
          <t>10ROND10</t>
        </is>
      </c>
      <c r="E243" s="5" t="inlineStr">
        <is>
          <t>Rondella zn 10</t>
        </is>
      </c>
      <c r="F243" s="5" t="inlineStr">
        <is>
          <t>Bulloneria e minuteria</t>
        </is>
      </c>
      <c r="G243" s="12" t="n">
        <v>4</v>
      </c>
      <c r="H243" s="12" t="n">
        <v>56</v>
      </c>
      <c r="I243" s="12" t="n">
        <v>80</v>
      </c>
      <c r="J243" s="12" t="n">
        <v>88</v>
      </c>
      <c r="K243" s="12" t="n">
        <v>96</v>
      </c>
      <c r="L243" s="12" t="n">
        <v>152</v>
      </c>
      <c r="M243" s="12" t="n">
        <v>168</v>
      </c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OMEGA+pannelli</t>
        </is>
      </c>
      <c r="B244" s="5" t="n"/>
      <c r="C244" s="12" t="n">
        <v>16</v>
      </c>
      <c r="D244" s="5" t="inlineStr">
        <is>
          <t>10ROND6</t>
        </is>
      </c>
      <c r="E244" s="5" t="inlineStr">
        <is>
          <t>Rondella zn 6</t>
        </is>
      </c>
      <c r="F244" s="5" t="inlineStr">
        <is>
          <t>Bulloneria e minuteria</t>
        </is>
      </c>
      <c r="G244" s="12" t="n">
        <v>2</v>
      </c>
      <c r="H244" s="12" t="n">
        <v>28</v>
      </c>
      <c r="I244" s="12" t="n">
        <v>40</v>
      </c>
      <c r="J244" s="12" t="n">
        <v>44</v>
      </c>
      <c r="K244" s="12" t="n">
        <v>48</v>
      </c>
      <c r="L244" s="12" t="n">
        <v>76</v>
      </c>
      <c r="M244" s="12" t="n">
        <v>84</v>
      </c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OMEGA+pannelli</t>
        </is>
      </c>
      <c r="C245" s="14" t="n">
        <v>1</v>
      </c>
      <c r="E245" t="inlineStr">
        <is>
          <t>Pannello fotovoltaico</t>
        </is>
      </c>
      <c r="F245" t="inlineStr">
        <is>
          <t>Moduli fotovoltaici</t>
        </is>
      </c>
      <c r="G245" s="14" t="n">
        <v>1</v>
      </c>
      <c r="H245" s="14" t="n">
        <v>12</v>
      </c>
      <c r="I245" s="14" t="n">
        <v>18</v>
      </c>
      <c r="J245" s="14" t="n">
        <v>20</v>
      </c>
      <c r="K245" s="14" t="n">
        <v>22</v>
      </c>
      <c r="L245" s="14" t="n">
        <v>36</v>
      </c>
      <c r="M245" s="14" t="n">
        <v>40</v>
      </c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OMEGA+pannelli</t>
        </is>
      </c>
      <c r="C246" s="14" t="n">
        <v>3</v>
      </c>
      <c r="D246" t="inlineStr">
        <is>
          <t>10ROND8</t>
        </is>
      </c>
      <c r="E246" s="7" t="inlineStr">
        <is>
          <t>Rondella da 8 zn</t>
        </is>
      </c>
      <c r="F246" t="inlineStr">
        <is>
          <t>Bulloneria e minuteria</t>
        </is>
      </c>
      <c r="G246" s="14" t="n">
        <v>4</v>
      </c>
      <c r="H246" s="14" t="n">
        <v>12</v>
      </c>
      <c r="I246" s="14" t="n">
        <v>72</v>
      </c>
      <c r="J246" s="14" t="n">
        <v>80</v>
      </c>
      <c r="K246" s="14" t="n">
        <v>88</v>
      </c>
      <c r="L246" s="14" t="n">
        <v>144</v>
      </c>
      <c r="M246" s="14" t="n">
        <v>160</v>
      </c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OMEGA+pannelli</t>
        </is>
      </c>
      <c r="C247" s="14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4" t="n">
        <v>4</v>
      </c>
      <c r="H247" s="14" t="n">
        <v>48</v>
      </c>
      <c r="I247" s="14" t="n">
        <v>72</v>
      </c>
      <c r="J247" s="14" t="n">
        <v>80</v>
      </c>
      <c r="K247" s="14" t="n">
        <v>88</v>
      </c>
      <c r="L247" s="14" t="n">
        <v>144</v>
      </c>
      <c r="M247" s="14" t="n">
        <v>160</v>
      </c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OMEGA+pannelli</t>
        </is>
      </c>
      <c r="C248" s="14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4" t="n">
        <v>4</v>
      </c>
      <c r="H248" s="14" t="n">
        <v>48</v>
      </c>
      <c r="I248" s="14" t="n">
        <v>72</v>
      </c>
      <c r="J248" s="14" t="n">
        <v>80</v>
      </c>
      <c r="K248" s="14" t="n">
        <v>88</v>
      </c>
      <c r="L248" s="14" t="n">
        <v>144</v>
      </c>
      <c r="M248" s="14" t="n">
        <v>160</v>
      </c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OMEGA+pannelli</t>
        </is>
      </c>
      <c r="C249" s="14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4" t="n">
        <v>4</v>
      </c>
      <c r="H249" s="14" t="n">
        <v>48</v>
      </c>
      <c r="I249" s="14" t="n">
        <v>72</v>
      </c>
      <c r="J249" s="14" t="n">
        <v>80</v>
      </c>
      <c r="K249" s="14" t="n">
        <v>88</v>
      </c>
      <c r="L249" s="14" t="n">
        <v>144</v>
      </c>
      <c r="M249" s="14" t="n">
        <v>160</v>
      </c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OMEGA+pannelli</t>
        </is>
      </c>
      <c r="C250" s="14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OMEGA+pannelli</t>
        </is>
      </c>
      <c r="C251" s="14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4" t="n">
        <v>4</v>
      </c>
      <c r="H251" s="14" t="n"/>
      <c r="I251" s="14" t="n"/>
      <c r="J251" s="14" t="n"/>
      <c r="K251" s="14" t="n"/>
      <c r="L251" s="14" t="n"/>
      <c r="M251" s="14" t="n"/>
      <c r="N251" s="14" t="n"/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OMEGA+pannelli</t>
        </is>
      </c>
      <c r="C252" s="14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4" t="n">
        <v>4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OMEGA+pannelli</t>
        </is>
      </c>
      <c r="C253" s="14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OMEGA+pannelli</t>
        </is>
      </c>
      <c r="C254" s="14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4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4" t="n">
        <v>4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4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4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4" t="n">
        <v>1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4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4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4" t="n">
        <v>4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4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4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4" t="n">
        <v>2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4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4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4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4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4" t="n">
        <v>2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4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n"/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4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4" t="n">
        <v>1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4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4" t="n">
        <v>4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4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4" t="n">
        <v>4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4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4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4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4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4" t="n">
        <v>1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4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4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4" t="n">
        <v>4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4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4" t="n">
        <v>4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quadro motore</t>
        </is>
      </c>
      <c r="C277" s="14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4" t="n">
        <v>1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quadro motore</t>
        </is>
      </c>
      <c r="C278" s="14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4" t="n">
        <v>1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kit quadro motore</t>
        </is>
      </c>
      <c r="C279" s="14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4" t="n">
        <v>4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kit quadro motore</t>
        </is>
      </c>
      <c r="C280" s="14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4" t="n">
        <v>4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kit quadro motore</t>
        </is>
      </c>
      <c r="C281" s="14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4" t="n">
        <v>4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kit quadro motore</t>
        </is>
      </c>
      <c r="C282" s="14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4" t="n">
        <v>4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kit quadro motore</t>
        </is>
      </c>
      <c r="C283" s="14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4" t="n">
        <v>1</v>
      </c>
      <c r="H283" s="14" t="n"/>
      <c r="I283" s="14" t="n"/>
      <c r="J283" s="14" t="n"/>
      <c r="K283" s="14" t="n"/>
      <c r="L283" s="14" t="n"/>
      <c r="M283" s="14" t="n"/>
      <c r="N283" s="14" t="inlineStr">
        <is>
          <t>X</t>
        </is>
      </c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kit quadro motore</t>
        </is>
      </c>
      <c r="C284" s="14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4" t="n">
        <v>1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kit quadro motore</t>
        </is>
      </c>
      <c r="C285" s="14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4" t="n">
        <v>4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kit quadro motore</t>
        </is>
      </c>
      <c r="C286" s="14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4" t="n">
        <v>4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kit quadro motore</t>
        </is>
      </c>
      <c r="C287" s="14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4" t="n">
        <v>4</v>
      </c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kit quadro motore</t>
        </is>
      </c>
      <c r="C288" s="14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4" t="n">
        <v>4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kit quadri centralina meteo</t>
        </is>
      </c>
      <c r="C289" s="14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kit quadri centralina meteo</t>
        </is>
      </c>
      <c r="C290" s="14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4" t="n">
        <v>0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kit quadri centralina meteo</t>
        </is>
      </c>
      <c r="C291" s="14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4" t="n">
        <v>1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kit quadri centralina meteo</t>
        </is>
      </c>
      <c r="C292" s="14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4" t="n">
        <v>4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kit quadri centralina meteo</t>
        </is>
      </c>
      <c r="C293" s="14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4" t="n">
        <v>4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kit quadri centralina meteo</t>
        </is>
      </c>
      <c r="C294" s="14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4" t="n">
        <v>4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kit quadri centralina meteo</t>
        </is>
      </c>
      <c r="C295" s="14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4" t="n">
        <v>4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kit quadri centralina meteo</t>
        </is>
      </c>
      <c r="C296" s="14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4" t="n">
        <v>1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kit quadri centralina meteo</t>
        </is>
      </c>
      <c r="C297" s="14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4" t="n">
        <v>1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kit quadri centralina meteo</t>
        </is>
      </c>
      <c r="C298" s="14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4" t="n">
        <v>4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kit quadri centralina meteo</t>
        </is>
      </c>
      <c r="C299" s="14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4" t="n">
        <v>4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kit quadri centralina meteo</t>
        </is>
      </c>
      <c r="C300" s="14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4" t="n">
        <v>4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kit quadri centralina meteo</t>
        </is>
      </c>
      <c r="C301" s="14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4" t="n">
        <v>4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kit quadri centralina meteo</t>
        </is>
      </c>
      <c r="C302" s="14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4" t="n">
        <v>4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3">
      <c r="A303" t="inlineStr">
        <is>
          <t>kit quadri centralina meteo</t>
        </is>
      </c>
      <c r="C303" s="14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4" t="n">
        <v>4</v>
      </c>
      <c r="H303" s="14" t="n"/>
      <c r="I303" s="14" t="n"/>
      <c r="J303" s="14" t="n"/>
      <c r="K303" s="14" t="n"/>
      <c r="L303" s="14" t="n"/>
      <c r="M303" s="14" t="n"/>
      <c r="N303" s="14" t="n"/>
      <c r="O303" s="14" t="inlineStr">
        <is>
          <t>pz</t>
        </is>
      </c>
      <c r="P303" s="15" t="n"/>
      <c r="Q303" s="13">
        <f>IFERROR(VLOOKUP($D303,LISTINO!$B:$I,6,FALSE),IFERROR(VLOOKUP($E303,LISTINO!$C:$I,5,FALSE),""))</f>
        <v/>
      </c>
      <c r="R303" s="13">
        <f>IF(AND(ISNUMBER(G303),ISNUMBER(Q303)),G303*Q303,"")</f>
        <v/>
      </c>
    </row>
    <row r="304">
      <c r="A304" t="inlineStr">
        <is>
          <t>kit quadri centralina meteo</t>
        </is>
      </c>
      <c r="C304" s="14" t="n">
        <v>15</v>
      </c>
      <c r="D304" t="inlineStr">
        <is>
          <t>TTS.PM.2012</t>
        </is>
      </c>
      <c r="E304" s="7" t="inlineStr">
        <is>
          <t>Angolare 30x30x4 lungo 370 mm. inferiore</t>
        </is>
      </c>
      <c r="F304" t="inlineStr">
        <is>
          <t>Carpenteria metallica</t>
        </is>
      </c>
      <c r="G304" s="14" t="n">
        <v>1</v>
      </c>
      <c r="H304" s="14" t="n"/>
      <c r="I304" s="14" t="n"/>
      <c r="J304" s="14" t="n"/>
      <c r="K304" s="14" t="n"/>
      <c r="L304" s="14" t="n"/>
      <c r="M304" s="14" t="n"/>
      <c r="N304" s="14" t="n"/>
      <c r="O304" s="14" t="inlineStr">
        <is>
          <t>pz</t>
        </is>
      </c>
      <c r="P304" s="15" t="n"/>
      <c r="Q304" s="13">
        <f>IFERROR(VLOOKUP($D304,LISTINO!$B:$I,6,FALSE),IFERROR(VLOOKUP($E304,LISTINO!$C:$I,5,FALSE),""))</f>
        <v/>
      </c>
      <c r="R304" s="8">
        <f>IF(AND(ISNUMBER(G304),ISNUMBER(Q304)),G304*Q304,"")</f>
        <v/>
      </c>
    </row>
    <row r="305">
      <c r="A305" t="inlineStr">
        <is>
          <t>kit quadri centralina meteo</t>
        </is>
      </c>
      <c r="C305" s="14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4" t="n">
        <v>1</v>
      </c>
      <c r="H305" s="14" t="n"/>
      <c r="I305" s="14" t="n"/>
      <c r="J305" s="14" t="n"/>
      <c r="K305" s="14" t="n"/>
      <c r="L305" s="14" t="n"/>
      <c r="M305" s="14" t="n"/>
      <c r="N305" s="14" t="inlineStr">
        <is>
          <t>X</t>
        </is>
      </c>
      <c r="O305" s="14" t="inlineStr">
        <is>
          <t>pz</t>
        </is>
      </c>
      <c r="P305" s="15" t="n"/>
      <c r="Q305" s="13">
        <f>IFERROR(VLOOKUP($D305,LISTINO!$B:$I,6,FALSE),IFERROR(VLOOKUP($E305,LISTINO!$C:$I,5,FALSE),""))</f>
        <v/>
      </c>
      <c r="R305" s="13">
        <f>IF(AND(ISNUMBER(G305),ISNUMBER(Q305)),G305*Q305,"")</f>
        <v/>
      </c>
    </row>
    <row r="306">
      <c r="A306" t="inlineStr">
        <is>
          <t>kit quadri centralina meteo</t>
        </is>
      </c>
      <c r="C306" s="14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4" t="n">
        <v>1</v>
      </c>
      <c r="H306" s="14" t="n"/>
      <c r="I306" s="14" t="n"/>
      <c r="J306" s="14" t="n"/>
      <c r="K306" s="14" t="n"/>
      <c r="L306" s="14" t="n"/>
      <c r="M306" s="14" t="n"/>
      <c r="N306" s="14" t="n"/>
      <c r="O306" s="14" t="inlineStr">
        <is>
          <t>pz</t>
        </is>
      </c>
      <c r="P306" s="15" t="n"/>
      <c r="Q306" s="13">
        <f>IFERROR(VLOOKUP($D306,LISTINO!$B:$I,6,FALSE),IFERROR(VLOOKUP($E306,LISTINO!$C:$I,5,FALSE),""))</f>
        <v/>
      </c>
      <c r="R306" s="13">
        <f>IF(AND(ISNUMBER(G306),ISNUMBER(Q306)),G306*Q306,"")</f>
        <v/>
      </c>
    </row>
    <row r="307">
      <c r="A307" t="inlineStr">
        <is>
          <t>kit quadri centralina meteo</t>
        </is>
      </c>
      <c r="C307" s="14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4" t="n">
        <v>4</v>
      </c>
      <c r="H307" s="14" t="n"/>
      <c r="I307" s="14" t="n"/>
      <c r="J307" s="14" t="n"/>
      <c r="K307" s="14" t="n"/>
      <c r="L307" s="14" t="n"/>
      <c r="M307" s="14" t="n"/>
      <c r="N307" s="14" t="n"/>
      <c r="O307" s="14" t="inlineStr">
        <is>
          <t>pz</t>
        </is>
      </c>
      <c r="P307" s="15" t="n"/>
      <c r="Q307" s="13">
        <f>IFERROR(VLOOKUP($D307,LISTINO!$B:$I,6,FALSE),IFERROR(VLOOKUP($E307,LISTINO!$C:$I,5,FALSE),""))</f>
        <v/>
      </c>
      <c r="R307" s="13">
        <f>IF(AND(ISNUMBER(G307),ISNUMBER(Q307)),G307*Q307,"")</f>
        <v/>
      </c>
    </row>
    <row r="308">
      <c r="A308" t="inlineStr">
        <is>
          <t>kit quadri centralina meteo</t>
        </is>
      </c>
      <c r="C308" s="14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4" t="n">
        <v>4</v>
      </c>
      <c r="H308" s="14" t="n"/>
      <c r="I308" s="14" t="n"/>
      <c r="J308" s="14" t="n"/>
      <c r="K308" s="14" t="n"/>
      <c r="L308" s="14" t="n"/>
      <c r="M308" s="14" t="n"/>
      <c r="N308" s="14" t="n"/>
      <c r="O308" s="14" t="inlineStr">
        <is>
          <t>pz</t>
        </is>
      </c>
      <c r="P308" s="15" t="n"/>
      <c r="Q308" s="13">
        <f>IFERROR(VLOOKUP($D308,LISTINO!$B:$I,6,FALSE),IFERROR(VLOOKUP($E308,LISTINO!$C:$I,5,FALSE),""))</f>
        <v/>
      </c>
      <c r="R308" s="13">
        <f>IF(AND(ISNUMBER(G308),ISNUMBER(Q308)),G308*Q308,"")</f>
        <v/>
      </c>
    </row>
    <row r="309">
      <c r="A309" t="inlineStr">
        <is>
          <t>kit quadri area</t>
        </is>
      </c>
      <c r="C309" s="14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4" t="n">
        <v>1</v>
      </c>
      <c r="H309" s="14" t="n"/>
      <c r="I309" s="14" t="n"/>
      <c r="J309" s="14" t="n"/>
      <c r="K309" s="14" t="n"/>
      <c r="L309" s="14" t="n"/>
      <c r="M309" s="14" t="n"/>
      <c r="N309" s="14" t="n"/>
      <c r="O309" s="14" t="inlineStr">
        <is>
          <t>pz</t>
        </is>
      </c>
      <c r="P309" s="15" t="n"/>
      <c r="Q309" s="13">
        <f>IFERROR(VLOOKUP($D309,LISTINO!$B:$I,6,FALSE),IFERROR(VLOOKUP($E309,LISTINO!$C:$I,5,FALSE),""))</f>
        <v/>
      </c>
      <c r="R309" s="13">
        <f>IF(AND(ISNUMBER(G309),ISNUMBER(Q309)),G309*Q309,"")</f>
        <v/>
      </c>
    </row>
    <row r="310">
      <c r="A310" t="inlineStr">
        <is>
          <t>kit quadri area</t>
        </is>
      </c>
      <c r="C310" s="14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4" t="n">
        <v>1</v>
      </c>
      <c r="H310" s="14" t="n"/>
      <c r="I310" s="14" t="n"/>
      <c r="J310" s="14" t="n"/>
      <c r="K310" s="14" t="n"/>
      <c r="L310" s="14" t="n"/>
      <c r="M310" s="14" t="n"/>
      <c r="N310" s="14" t="n"/>
      <c r="O310" s="14" t="inlineStr">
        <is>
          <t>pz</t>
        </is>
      </c>
      <c r="P310" s="15" t="n"/>
      <c r="Q310" s="13">
        <f>IFERROR(VLOOKUP($D310,LISTINO!$B:$I,6,FALSE),IFERROR(VLOOKUP($E310,LISTINO!$C:$I,5,FALSE),""))</f>
        <v/>
      </c>
      <c r="R310" s="13">
        <f>IF(AND(ISNUMBER(G310),ISNUMBER(Q310)),G310*Q310,"")</f>
        <v/>
      </c>
    </row>
    <row r="311">
      <c r="A311" t="inlineStr">
        <is>
          <t>kit quadri area</t>
        </is>
      </c>
      <c r="C311" s="14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4" t="n">
        <v>2</v>
      </c>
      <c r="H311" s="14" t="n"/>
      <c r="I311" s="14" t="n"/>
      <c r="J311" s="14" t="n"/>
      <c r="K311" s="14" t="n"/>
      <c r="L311" s="14" t="n"/>
      <c r="M311" s="14" t="n"/>
      <c r="N311" s="14" t="n"/>
      <c r="O311" s="14" t="inlineStr">
        <is>
          <t>pz</t>
        </is>
      </c>
      <c r="P311" s="15" t="n"/>
      <c r="Q311" s="13">
        <f>IFERROR(VLOOKUP($D311,LISTINO!$B:$I,6,FALSE),IFERROR(VLOOKUP($E311,LISTINO!$C:$I,5,FALSE),""))</f>
        <v/>
      </c>
      <c r="R311" s="13">
        <f>IF(AND(ISNUMBER(G311),ISNUMBER(Q311)),G311*Q311,"")</f>
        <v/>
      </c>
    </row>
    <row r="312">
      <c r="A312" t="inlineStr">
        <is>
          <t>kit quadri area</t>
        </is>
      </c>
      <c r="C312" s="14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4" t="n">
        <v>2</v>
      </c>
      <c r="H312" s="14" t="n"/>
      <c r="I312" s="14" t="n"/>
      <c r="J312" s="14" t="n"/>
      <c r="K312" s="14" t="n"/>
      <c r="L312" s="14" t="n"/>
      <c r="M312" s="14" t="n"/>
      <c r="N312" s="14" t="n"/>
      <c r="O312" s="14" t="inlineStr">
        <is>
          <t>pz</t>
        </is>
      </c>
      <c r="P312" s="15" t="n"/>
      <c r="Q312" s="13">
        <f>IFERROR(VLOOKUP($D312,LISTINO!$B:$I,6,FALSE),IFERROR(VLOOKUP($E312,LISTINO!$C:$I,5,FALSE),""))</f>
        <v/>
      </c>
      <c r="R312" s="13">
        <f>IF(AND(ISNUMBER(G312),ISNUMBER(Q312)),G312*Q312,"")</f>
        <v/>
      </c>
    </row>
    <row r="313">
      <c r="A313" t="inlineStr">
        <is>
          <t>kit quadri area</t>
        </is>
      </c>
      <c r="C313" s="14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4" t="n">
        <v>2</v>
      </c>
      <c r="H313" s="14" t="n"/>
      <c r="I313" s="14" t="n"/>
      <c r="J313" s="14" t="n"/>
      <c r="K313" s="14" t="n"/>
      <c r="L313" s="14" t="n"/>
      <c r="M313" s="14" t="n"/>
      <c r="N313" s="14" t="n"/>
      <c r="O313" s="14" t="inlineStr">
        <is>
          <t>pz</t>
        </is>
      </c>
      <c r="P313" s="15" t="n"/>
      <c r="Q313" s="13">
        <f>IFERROR(VLOOKUP($D313,LISTINO!$B:$I,6,FALSE),IFERROR(VLOOKUP($E313,LISTINO!$C:$I,5,FALSE),""))</f>
        <v/>
      </c>
      <c r="R313" s="13">
        <f>IF(AND(ISNUMBER(G313),ISNUMBER(Q313)),G313*Q313,"")</f>
        <v/>
      </c>
    </row>
    <row r="314">
      <c r="A314" t="inlineStr">
        <is>
          <t>kit quadri area</t>
        </is>
      </c>
      <c r="C314" s="14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4" t="n">
        <v>2</v>
      </c>
      <c r="H314" s="14" t="n"/>
      <c r="I314" s="14" t="n"/>
      <c r="J314" s="14" t="n"/>
      <c r="K314" s="14" t="n"/>
      <c r="L314" s="14" t="n"/>
      <c r="M314" s="14" t="n"/>
      <c r="N314" s="14" t="n"/>
      <c r="O314" s="14" t="inlineStr">
        <is>
          <t>pz</t>
        </is>
      </c>
      <c r="P314" s="15" t="n"/>
      <c r="Q314" s="13">
        <f>IFERROR(VLOOKUP($D314,LISTINO!$B:$I,6,FALSE),IFERROR(VLOOKUP($E314,LISTINO!$C:$I,5,FALSE),""))</f>
        <v/>
      </c>
      <c r="R314" s="13">
        <f>IF(AND(ISNUMBER(G314),ISNUMBER(Q314)),G314*Q314,"")</f>
        <v/>
      </c>
    </row>
    <row r="315">
      <c r="A315" t="inlineStr">
        <is>
          <t>kit quadri area</t>
        </is>
      </c>
      <c r="C315" s="14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4" t="n">
        <v>4</v>
      </c>
      <c r="H315" s="14" t="n"/>
      <c r="I315" s="14" t="n"/>
      <c r="J315" s="14" t="n"/>
      <c r="K315" s="14" t="n"/>
      <c r="L315" s="14" t="n"/>
      <c r="M315" s="14" t="n"/>
      <c r="N315" s="14" t="n"/>
      <c r="O315" s="14" t="inlineStr">
        <is>
          <t>pz</t>
        </is>
      </c>
      <c r="P315" s="15" t="n"/>
      <c r="Q315" s="13">
        <f>IFERROR(VLOOKUP($D315,LISTINO!$B:$I,6,FALSE),IFERROR(VLOOKUP($E315,LISTINO!$C:$I,5,FALSE),""))</f>
        <v/>
      </c>
      <c r="R315" s="13">
        <f>IF(AND(ISNUMBER(G315),ISNUMBER(Q315)),G315*Q315,"")</f>
        <v/>
      </c>
    </row>
    <row r="316">
      <c r="A316" t="inlineStr">
        <is>
          <t>kit quadri area</t>
        </is>
      </c>
      <c r="C316" s="14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4" t="n">
        <v>2</v>
      </c>
      <c r="H316" s="14" t="n"/>
      <c r="I316" s="14" t="n"/>
      <c r="J316" s="14" t="n"/>
      <c r="K316" s="14" t="n"/>
      <c r="L316" s="14" t="n"/>
      <c r="M316" s="14" t="n"/>
      <c r="N316" s="14" t="n"/>
      <c r="O316" s="14" t="inlineStr">
        <is>
          <t>pz</t>
        </is>
      </c>
      <c r="P316" s="15" t="n"/>
      <c r="Q316" s="13">
        <f>IFERROR(VLOOKUP($D316,LISTINO!$B:$I,6,FALSE),IFERROR(VLOOKUP($E316,LISTINO!$C:$I,5,FALSE),""))</f>
        <v/>
      </c>
      <c r="R316" s="13">
        <f>IF(AND(ISNUMBER(G316),ISNUMBER(Q316)),G316*Q316,"")</f>
        <v/>
      </c>
    </row>
    <row r="317">
      <c r="A317" t="inlineStr">
        <is>
          <t>kit quadri area</t>
        </is>
      </c>
      <c r="C317" s="14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4" t="n">
        <v>2</v>
      </c>
      <c r="H317" s="14" t="n"/>
      <c r="I317" s="14" t="n"/>
      <c r="J317" s="14" t="n"/>
      <c r="K317" s="14" t="n"/>
      <c r="L317" s="14" t="n"/>
      <c r="M317" s="14" t="n"/>
      <c r="N317" s="14" t="n"/>
      <c r="O317" s="14" t="inlineStr">
        <is>
          <t>pz</t>
        </is>
      </c>
      <c r="P317" s="15" t="n"/>
      <c r="Q317" s="13">
        <f>IFERROR(VLOOKUP($D317,LISTINO!$B:$I,6,FALSE),IFERROR(VLOOKUP($E317,LISTINO!$C:$I,5,FALSE),""))</f>
        <v/>
      </c>
      <c r="R317" s="13">
        <f>IF(AND(ISNUMBER(G317),ISNUMBER(Q317)),G317*Q317,"")</f>
        <v/>
      </c>
    </row>
    <row r="318">
      <c r="A318" t="inlineStr">
        <is>
          <t>kit quadri area</t>
        </is>
      </c>
      <c r="C318" s="14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4" t="n">
        <v>2</v>
      </c>
      <c r="H318" s="14" t="n"/>
      <c r="I318" s="14" t="n"/>
      <c r="J318" s="14" t="n"/>
      <c r="K318" s="14" t="n"/>
      <c r="L318" s="14" t="n"/>
      <c r="M318" s="14" t="n"/>
      <c r="N318" s="14" t="n"/>
      <c r="O318" s="14" t="inlineStr">
        <is>
          <t>pz</t>
        </is>
      </c>
      <c r="P318" s="15" t="n"/>
      <c r="Q318" s="13">
        <f>IFERROR(VLOOKUP($D318,LISTINO!$B:$I,6,FALSE),IFERROR(VLOOKUP($E318,LISTINO!$C:$I,5,FALSE),""))</f>
        <v/>
      </c>
      <c r="R318" s="13">
        <f>IF(AND(ISNUMBER(G318),ISNUMBER(Q318)),G318*Q318,"")</f>
        <v/>
      </c>
    </row>
    <row r="319">
      <c r="A319" t="inlineStr">
        <is>
          <t>kit quadri area</t>
        </is>
      </c>
      <c r="C319" s="14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4" t="n">
        <v>1</v>
      </c>
      <c r="H319" s="14" t="n"/>
      <c r="I319" s="14" t="n"/>
      <c r="J319" s="14" t="n"/>
      <c r="K319" s="14" t="n"/>
      <c r="L319" s="14" t="n"/>
      <c r="M319" s="14" t="n"/>
      <c r="N319" s="14" t="n"/>
      <c r="O319" s="14" t="inlineStr">
        <is>
          <t>pz</t>
        </is>
      </c>
      <c r="P319" s="15" t="n"/>
      <c r="Q319" s="13">
        <f>IFERROR(VLOOKUP($D319,LISTINO!$B:$I,6,FALSE),IFERROR(VLOOKUP($E319,LISTINO!$C:$I,5,FALSE),""))</f>
        <v/>
      </c>
      <c r="R319" s="13">
        <f>IF(AND(ISNUMBER(G319),ISNUMBER(Q319)),G319*Q319,"")</f>
        <v/>
      </c>
    </row>
    <row r="320">
      <c r="A320" t="inlineStr">
        <is>
          <t>kit quadri area</t>
        </is>
      </c>
      <c r="C320" s="14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4" t="n">
        <v>1</v>
      </c>
      <c r="H320" s="14" t="n"/>
      <c r="I320" s="14" t="n"/>
      <c r="J320" s="14" t="n"/>
      <c r="K320" s="14" t="n"/>
      <c r="L320" s="14" t="n"/>
      <c r="M320" s="14" t="n"/>
      <c r="N320" s="14" t="inlineStr">
        <is>
          <t>X</t>
        </is>
      </c>
      <c r="O320" s="14" t="inlineStr">
        <is>
          <t>pz</t>
        </is>
      </c>
      <c r="P320" s="15" t="n"/>
      <c r="Q320" s="13">
        <f>IFERROR(VLOOKUP($D320,LISTINO!$B:$I,6,FALSE),IFERROR(VLOOKUP($E320,LISTINO!$C:$I,5,FALSE),""))</f>
        <v/>
      </c>
      <c r="R320" s="13">
        <f>IF(AND(ISNUMBER(G320),ISNUMBER(Q320)),G320*Q320,"")</f>
        <v/>
      </c>
    </row>
    <row r="321">
      <c r="A321" t="inlineStr">
        <is>
          <t>kit quadri area</t>
        </is>
      </c>
      <c r="C321" s="14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4" t="n">
        <v>0</v>
      </c>
      <c r="H321" s="14" t="n"/>
      <c r="I321" s="14" t="n"/>
      <c r="J321" s="14" t="n"/>
      <c r="K321" s="14" t="n"/>
      <c r="L321" s="14" t="n"/>
      <c r="M321" s="14" t="n"/>
      <c r="N321" s="14" t="n"/>
      <c r="O321" s="14" t="inlineStr">
        <is>
          <t>pz</t>
        </is>
      </c>
      <c r="P321" s="15" t="n"/>
      <c r="Q321" s="13">
        <f>IFERROR(VLOOKUP($D321,LISTINO!$B:$I,6,FALSE),IFERROR(VLOOKUP($E321,LISTINO!$C:$I,5,FALSE),""))</f>
        <v/>
      </c>
      <c r="R321" s="13">
        <f>IF(AND(ISNUMBER(G321),ISNUMBER(Q321)),G321*Q321,"")</f>
        <v/>
      </c>
    </row>
    <row r="322">
      <c r="A322" t="inlineStr">
        <is>
          <t>kit quadri inverter</t>
        </is>
      </c>
      <c r="C322" s="14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4" t="n">
        <v>2</v>
      </c>
      <c r="H322" s="14" t="n"/>
      <c r="I322" s="14" t="n"/>
      <c r="J322" s="14" t="n"/>
      <c r="K322" s="14" t="n"/>
      <c r="L322" s="14" t="n"/>
      <c r="M322" s="14" t="n"/>
      <c r="N322" s="14" t="n"/>
      <c r="O322" s="14" t="inlineStr">
        <is>
          <t>pz</t>
        </is>
      </c>
      <c r="P322" s="15" t="n"/>
      <c r="Q322" s="13">
        <f>IFERROR(VLOOKUP($D322,LISTINO!$B:$I,6,FALSE),IFERROR(VLOOKUP($E322,LISTINO!$C:$I,5,FALSE),""))</f>
        <v/>
      </c>
      <c r="R322" s="13">
        <f>IF(AND(ISNUMBER(G322),ISNUMBER(Q322)),G322*Q322,"")</f>
        <v/>
      </c>
    </row>
    <row r="323">
      <c r="A323" t="inlineStr">
        <is>
          <t>kit quadri inverter</t>
        </is>
      </c>
      <c r="C323" s="14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4" t="n">
        <v>2</v>
      </c>
      <c r="H323" s="14" t="n"/>
      <c r="I323" s="14" t="n"/>
      <c r="J323" s="14" t="n"/>
      <c r="K323" s="14" t="n"/>
      <c r="L323" s="14" t="n"/>
      <c r="M323" s="14" t="n"/>
      <c r="N323" s="14" t="n"/>
      <c r="O323" s="14" t="inlineStr">
        <is>
          <t>pz</t>
        </is>
      </c>
      <c r="P323" s="15" t="n"/>
      <c r="Q323" s="13">
        <f>IFERROR(VLOOKUP($D323,LISTINO!$B:$I,6,FALSE),IFERROR(VLOOKUP($E323,LISTINO!$C:$I,5,FALSE),""))</f>
        <v/>
      </c>
      <c r="R323" s="13">
        <f>IF(AND(ISNUMBER(G323),ISNUMBER(Q323)),G323*Q323,"")</f>
        <v/>
      </c>
    </row>
    <row r="324">
      <c r="A324" t="inlineStr">
        <is>
          <t>kit quadri inverter</t>
        </is>
      </c>
      <c r="C324" s="14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4" t="n">
        <v>1</v>
      </c>
      <c r="H324" s="14" t="n"/>
      <c r="I324" s="14" t="n"/>
      <c r="J324" s="14" t="n"/>
      <c r="K324" s="14" t="n"/>
      <c r="L324" s="14" t="n"/>
      <c r="M324" s="14" t="n"/>
      <c r="N324" s="14" t="n"/>
      <c r="O324" s="14" t="inlineStr">
        <is>
          <t>pz</t>
        </is>
      </c>
      <c r="P324" s="15" t="n"/>
      <c r="Q324" s="13">
        <f>IFERROR(VLOOKUP($D324,LISTINO!$B:$I,6,FALSE),IFERROR(VLOOKUP($E324,LISTINO!$C:$I,5,FALSE),""))</f>
        <v/>
      </c>
      <c r="R324" s="13">
        <f>IF(AND(ISNUMBER(G324),ISNUMBER(Q324)),G324*Q324,"")</f>
        <v/>
      </c>
    </row>
    <row r="325">
      <c r="A325" t="inlineStr">
        <is>
          <t>kit quadri inverter</t>
        </is>
      </c>
      <c r="C325" s="14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4" t="n">
        <v>1</v>
      </c>
      <c r="H325" s="14" t="n"/>
      <c r="I325" s="14" t="n"/>
      <c r="J325" s="14" t="n"/>
      <c r="K325" s="14" t="n"/>
      <c r="L325" s="14" t="n"/>
      <c r="M325" s="14" t="n"/>
      <c r="N325" s="14" t="n"/>
      <c r="O325" s="14" t="inlineStr">
        <is>
          <t>pz</t>
        </is>
      </c>
      <c r="P325" s="15" t="n"/>
      <c r="Q325" s="13">
        <f>IFERROR(VLOOKUP($D325,LISTINO!$B:$I,6,FALSE),IFERROR(VLOOKUP($E325,LISTINO!$C:$I,5,FALSE),""))</f>
        <v/>
      </c>
      <c r="R325" s="13">
        <f>IF(AND(ISNUMBER(G325),ISNUMBER(Q325)),G325*Q325,"")</f>
        <v/>
      </c>
    </row>
    <row r="326">
      <c r="A326" t="inlineStr">
        <is>
          <t>kit quadri inverter</t>
        </is>
      </c>
      <c r="C326" s="14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4" t="n">
        <v>2</v>
      </c>
      <c r="H326" s="14" t="n"/>
      <c r="I326" s="14" t="n"/>
      <c r="J326" s="14" t="n"/>
      <c r="K326" s="14" t="n"/>
      <c r="L326" s="14" t="n"/>
      <c r="M326" s="14" t="n"/>
      <c r="N326" s="14" t="n"/>
      <c r="O326" s="14" t="inlineStr">
        <is>
          <t>pz</t>
        </is>
      </c>
      <c r="P326" s="15" t="n"/>
      <c r="Q326" s="13">
        <f>IFERROR(VLOOKUP($D326,LISTINO!$B:$I,6,FALSE),IFERROR(VLOOKUP($E326,LISTINO!$C:$I,5,FALSE),""))</f>
        <v/>
      </c>
      <c r="R326" s="13">
        <f>IF(AND(ISNUMBER(G326),ISNUMBER(Q326)),G326*Q326,"")</f>
        <v/>
      </c>
    </row>
    <row r="327">
      <c r="A327" t="inlineStr">
        <is>
          <t>kit quadri inverter</t>
        </is>
      </c>
      <c r="C327" s="14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4" t="n">
        <v>2</v>
      </c>
      <c r="H327" s="14" t="n"/>
      <c r="I327" s="14" t="n"/>
      <c r="J327" s="14" t="n"/>
      <c r="K327" s="14" t="n"/>
      <c r="L327" s="14" t="n"/>
      <c r="M327" s="14" t="n"/>
      <c r="N327" s="14" t="n"/>
      <c r="O327" s="14" t="inlineStr">
        <is>
          <t>pz</t>
        </is>
      </c>
      <c r="P327" s="15" t="n"/>
      <c r="Q327" s="13">
        <f>IFERROR(VLOOKUP($D327,LISTINO!$B:$I,6,FALSE),IFERROR(VLOOKUP($E327,LISTINO!$C:$I,5,FALSE),""))</f>
        <v/>
      </c>
      <c r="R327" s="13">
        <f>IF(AND(ISNUMBER(G327),ISNUMBER(Q327)),G327*Q327,"")</f>
        <v/>
      </c>
    </row>
    <row r="328">
      <c r="A328" t="inlineStr">
        <is>
          <t>kit quadri inverter</t>
        </is>
      </c>
      <c r="C328" s="14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4" t="n">
        <v>4</v>
      </c>
      <c r="H328" s="14" t="n"/>
      <c r="I328" s="14" t="n"/>
      <c r="J328" s="14" t="n"/>
      <c r="K328" s="14" t="n"/>
      <c r="L328" s="14" t="n"/>
      <c r="M328" s="14" t="n"/>
      <c r="N328" s="14" t="n"/>
      <c r="O328" s="14" t="inlineStr">
        <is>
          <t>pz</t>
        </is>
      </c>
      <c r="P328" s="15" t="n"/>
      <c r="Q328" s="13">
        <f>IFERROR(VLOOKUP($D328,LISTINO!$B:$I,6,FALSE),IFERROR(VLOOKUP($E328,LISTINO!$C:$I,5,FALSE),""))</f>
        <v/>
      </c>
      <c r="R328" s="13">
        <f>IF(AND(ISNUMBER(G328),ISNUMBER(Q328)),G328*Q328,"")</f>
        <v/>
      </c>
    </row>
    <row r="329">
      <c r="A329" t="inlineStr">
        <is>
          <t>kit quadri inverter</t>
        </is>
      </c>
      <c r="C329" s="14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4" t="n">
        <v>4</v>
      </c>
      <c r="H329" s="14" t="n"/>
      <c r="I329" s="14" t="n"/>
      <c r="J329" s="14" t="n"/>
      <c r="K329" s="14" t="n"/>
      <c r="L329" s="14" t="n"/>
      <c r="M329" s="14" t="n"/>
      <c r="N329" s="14" t="n"/>
      <c r="O329" s="14" t="inlineStr">
        <is>
          <t>pz</t>
        </is>
      </c>
      <c r="P329" s="15" t="n"/>
      <c r="Q329" s="13">
        <f>IFERROR(VLOOKUP($D329,LISTINO!$B:$I,6,FALSE),IFERROR(VLOOKUP($E329,LISTINO!$C:$I,5,FALSE),""))</f>
        <v/>
      </c>
      <c r="R329" s="13">
        <f>IF(AND(ISNUMBER(G329),ISNUMBER(Q329)),G329*Q329,"")</f>
        <v/>
      </c>
    </row>
    <row r="330">
      <c r="A330" t="inlineStr">
        <is>
          <t>kit quadri inverter</t>
        </is>
      </c>
      <c r="C330" s="14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4" t="n">
        <v>1</v>
      </c>
      <c r="H330" s="14" t="n"/>
      <c r="I330" s="14" t="n"/>
      <c r="J330" s="14" t="n"/>
      <c r="K330" s="14" t="n"/>
      <c r="L330" s="14" t="n"/>
      <c r="M330" s="14" t="n"/>
      <c r="N330" s="14" t="n"/>
      <c r="O330" s="14" t="inlineStr">
        <is>
          <t>pz</t>
        </is>
      </c>
      <c r="P330" s="15" t="n"/>
      <c r="Q330" s="13">
        <f>IFERROR(VLOOKUP($D330,LISTINO!$B:$I,6,FALSE),IFERROR(VLOOKUP($E330,LISTINO!$C:$I,5,FALSE),""))</f>
        <v/>
      </c>
      <c r="R330" s="13">
        <f>IF(AND(ISNUMBER(G330),ISNUMBER(Q330)),G330*Q330,"")</f>
        <v/>
      </c>
    </row>
    <row r="331">
      <c r="A331" t="inlineStr">
        <is>
          <t>kit quadri inverter</t>
        </is>
      </c>
      <c r="C331" s="14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4" t="n">
        <v>1</v>
      </c>
      <c r="H331" s="14" t="n"/>
      <c r="I331" s="14" t="n"/>
      <c r="J331" s="14" t="n"/>
      <c r="K331" s="14" t="n"/>
      <c r="L331" s="14" t="n"/>
      <c r="M331" s="14" t="n"/>
      <c r="N331" s="14" t="n"/>
      <c r="O331" s="14" t="inlineStr">
        <is>
          <t>pz</t>
        </is>
      </c>
      <c r="P331" s="15" t="n"/>
      <c r="Q331" s="13">
        <f>IFERROR(VLOOKUP($D331,LISTINO!$B:$I,6,FALSE),IFERROR(VLOOKUP($E331,LISTINO!$C:$I,5,FALSE),""))</f>
        <v/>
      </c>
      <c r="R331" s="13">
        <f>IF(AND(ISNUMBER(G331),ISNUMBER(Q331)),G331*Q331,"")</f>
        <v/>
      </c>
    </row>
    <row r="332">
      <c r="A332" t="inlineStr">
        <is>
          <t>kit quadri inverter</t>
        </is>
      </c>
      <c r="C332" s="14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4" t="n">
        <v>0</v>
      </c>
      <c r="H332" s="14" t="n"/>
      <c r="I332" s="14" t="n"/>
      <c r="J332" s="14" t="n"/>
      <c r="K332" s="14" t="n"/>
      <c r="L332" s="14" t="n"/>
      <c r="M332" s="14" t="n"/>
      <c r="N332" s="14" t="n"/>
      <c r="O332" s="14" t="inlineStr">
        <is>
          <t>pz</t>
        </is>
      </c>
      <c r="P332" s="15" t="n"/>
      <c r="Q332" s="13">
        <f>IFERROR(VLOOKUP($D332,LISTINO!$B:$I,6,FALSE),IFERROR(VLOOKUP($E332,LISTINO!$C:$I,5,FALSE),""))</f>
        <v/>
      </c>
      <c r="R332" s="13">
        <f>IF(AND(ISNUMBER(G332),ISNUMBER(Q332)),G332*Q332,"")</f>
        <v/>
      </c>
    </row>
    <row r="333">
      <c r="A333" t="inlineStr">
        <is>
          <t>kit quadri inverter</t>
        </is>
      </c>
      <c r="C333" s="14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4" t="n">
        <v>4</v>
      </c>
      <c r="H333" s="14" t="n"/>
      <c r="I333" s="14" t="n"/>
      <c r="J333" s="14" t="n"/>
      <c r="K333" s="14" t="n"/>
      <c r="L333" s="14" t="n"/>
      <c r="M333" s="14" t="n"/>
      <c r="N333" s="14" t="n"/>
      <c r="O333" s="14" t="inlineStr">
        <is>
          <t>pz</t>
        </is>
      </c>
      <c r="P333" s="15" t="n"/>
      <c r="Q333" s="13">
        <f>IFERROR(VLOOKUP($D333,LISTINO!$B:$I,6,FALSE),IFERROR(VLOOKUP($E333,LISTINO!$C:$I,5,FALSE),""))</f>
        <v/>
      </c>
      <c r="R333" s="13">
        <f>IF(AND(ISNUMBER(G333),ISNUMBER(Q333)),G333*Q333,"")</f>
        <v/>
      </c>
    </row>
    <row r="334">
      <c r="A334" t="inlineStr">
        <is>
          <t>kit quadri inverter</t>
        </is>
      </c>
      <c r="C334" s="14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4" t="n">
        <v>4</v>
      </c>
      <c r="H334" s="14" t="n"/>
      <c r="I334" s="14" t="n"/>
      <c r="J334" s="14" t="n"/>
      <c r="K334" s="14" t="n"/>
      <c r="L334" s="14" t="n"/>
      <c r="M334" s="14" t="n"/>
      <c r="N334" s="14" t="n"/>
      <c r="O334" s="14" t="inlineStr">
        <is>
          <t>pz</t>
        </is>
      </c>
      <c r="P334" s="15" t="n"/>
      <c r="Q334" s="13">
        <f>IFERROR(VLOOKUP($D334,LISTINO!$B:$I,6,FALSE),IFERROR(VLOOKUP($E334,LISTINO!$C:$I,5,FALSE),""))</f>
        <v/>
      </c>
      <c r="R334" s="13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4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4" t="n">
        <v>1</v>
      </c>
      <c r="H335" s="14" t="n"/>
      <c r="I335" s="14" t="n"/>
      <c r="J335" s="14" t="n"/>
      <c r="K335" s="14" t="n"/>
      <c r="L335" s="14" t="n"/>
      <c r="M335" s="14" t="n"/>
      <c r="N335" s="14" t="n"/>
      <c r="O335" s="14" t="inlineStr">
        <is>
          <t>pz</t>
        </is>
      </c>
      <c r="P335" s="15" t="n"/>
      <c r="Q335" s="13">
        <f>IFERROR(VLOOKUP($D335,LISTINO!$B:$I,6,FALSE),IFERROR(VLOOKUP($E335,LISTINO!$C:$I,5,FALSE),""))</f>
        <v/>
      </c>
      <c r="R335" s="13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4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4" t="n">
        <v>1</v>
      </c>
      <c r="H336" s="14" t="n"/>
      <c r="I336" s="14" t="n"/>
      <c r="J336" s="14" t="n"/>
      <c r="K336" s="14" t="n"/>
      <c r="L336" s="14" t="n"/>
      <c r="M336" s="14" t="n"/>
      <c r="N336" s="14" t="n"/>
      <c r="O336" s="14" t="inlineStr">
        <is>
          <t>pz</t>
        </is>
      </c>
      <c r="P336" s="15" t="n"/>
      <c r="Q336" s="13">
        <f>IFERROR(VLOOKUP($D336,LISTINO!$B:$I,6,FALSE),IFERROR(VLOOKUP($E336,LISTINO!$C:$I,5,FALSE),""))</f>
        <v/>
      </c>
      <c r="R336" s="13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4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4" t="n">
        <v>1</v>
      </c>
      <c r="H337" s="14" t="n"/>
      <c r="I337" s="14" t="n"/>
      <c r="J337" s="14" t="n"/>
      <c r="K337" s="14" t="n"/>
      <c r="L337" s="14" t="n"/>
      <c r="M337" s="14" t="n"/>
      <c r="N337" s="14" t="n"/>
      <c r="O337" s="14" t="inlineStr">
        <is>
          <t>pz</t>
        </is>
      </c>
      <c r="P337" s="15" t="n"/>
      <c r="Q337" s="13">
        <f>IFERROR(VLOOKUP($D337,LISTINO!$B:$I,6,FALSE),IFERROR(VLOOKUP($E337,LISTINO!$C:$I,5,FALSE),""))</f>
        <v/>
      </c>
      <c r="R337" s="13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4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4" t="n">
        <v>2</v>
      </c>
      <c r="H338" s="14" t="n"/>
      <c r="I338" s="14" t="n"/>
      <c r="J338" s="14" t="n"/>
      <c r="K338" s="14" t="n"/>
      <c r="L338" s="14" t="n"/>
      <c r="M338" s="14" t="n"/>
      <c r="N338" s="14" t="n"/>
      <c r="O338" s="14" t="inlineStr">
        <is>
          <t>pz</t>
        </is>
      </c>
      <c r="P338" s="15" t="n"/>
      <c r="Q338" s="13">
        <f>IFERROR(VLOOKUP($D338,LISTINO!$B:$I,6,FALSE),IFERROR(VLOOKUP($E338,LISTINO!$C:$I,5,FALSE),""))</f>
        <v/>
      </c>
      <c r="R338" s="13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4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4" t="n">
        <v>2</v>
      </c>
      <c r="H339" s="14" t="n"/>
      <c r="I339" s="14" t="n"/>
      <c r="J339" s="14" t="n"/>
      <c r="K339" s="14" t="n"/>
      <c r="L339" s="14" t="n"/>
      <c r="M339" s="14" t="n"/>
      <c r="N339" s="14" t="n"/>
      <c r="O339" s="14" t="inlineStr">
        <is>
          <t>pz</t>
        </is>
      </c>
      <c r="P339" s="15" t="n"/>
      <c r="Q339" s="13">
        <f>IFERROR(VLOOKUP($D339,LISTINO!$B:$I,6,FALSE),IFERROR(VLOOKUP($E339,LISTINO!$C:$I,5,FALSE),""))</f>
        <v/>
      </c>
      <c r="R339" s="13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4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4" t="n">
        <v>2</v>
      </c>
      <c r="H340" s="14" t="n"/>
      <c r="I340" s="14" t="n"/>
      <c r="J340" s="14" t="n"/>
      <c r="K340" s="14" t="n"/>
      <c r="L340" s="14" t="n"/>
      <c r="M340" s="14" t="n"/>
      <c r="N340" s="14" t="n"/>
      <c r="O340" s="14" t="inlineStr">
        <is>
          <t>pz</t>
        </is>
      </c>
      <c r="P340" s="15" t="n"/>
      <c r="Q340" s="13">
        <f>IFERROR(VLOOKUP($D340,LISTINO!$B:$I,6,FALSE),IFERROR(VLOOKUP($E340,LISTINO!$C:$I,5,FALSE),""))</f>
        <v/>
      </c>
      <c r="R340" s="13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4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4" t="n">
        <v>2</v>
      </c>
      <c r="H341" s="14" t="n"/>
      <c r="I341" s="14" t="n"/>
      <c r="J341" s="14" t="n"/>
      <c r="K341" s="14" t="n"/>
      <c r="L341" s="14" t="n"/>
      <c r="M341" s="14" t="n"/>
      <c r="N341" s="14" t="n"/>
      <c r="O341" s="14" t="inlineStr">
        <is>
          <t>pz</t>
        </is>
      </c>
      <c r="P341" s="15" t="n"/>
      <c r="Q341" s="13">
        <f>IFERROR(VLOOKUP($D341,LISTINO!$B:$I,6,FALSE),IFERROR(VLOOKUP($E341,LISTINO!$C:$I,5,FALSE),""))</f>
        <v/>
      </c>
      <c r="R341" s="13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4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4" t="n">
        <v>1</v>
      </c>
      <c r="H342" s="14" t="n"/>
      <c r="I342" s="14" t="n"/>
      <c r="J342" s="14" t="n"/>
      <c r="K342" s="14" t="n"/>
      <c r="L342" s="14" t="n"/>
      <c r="M342" s="14" t="n"/>
      <c r="N342" s="14" t="n"/>
      <c r="O342" s="14" t="inlineStr">
        <is>
          <t>pz</t>
        </is>
      </c>
      <c r="P342" s="15" t="n"/>
      <c r="Q342" s="13">
        <f>IFERROR(VLOOKUP($D342,LISTINO!$B:$I,6,FALSE),IFERROR(VLOOKUP($E342,LISTINO!$C:$I,5,FALSE),""))</f>
        <v/>
      </c>
      <c r="R342" s="13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4" t="n">
        <v>2</v>
      </c>
      <c r="E343" t="inlineStr">
        <is>
          <t>Pannello fotovoltaico</t>
        </is>
      </c>
      <c r="F343" t="inlineStr">
        <is>
          <t>Moduli fotovoltaici</t>
        </is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inlineStr">
        <is>
          <t>pz</t>
        </is>
      </c>
      <c r="P343" s="15" t="n"/>
      <c r="Q343" s="13">
        <f>IFERROR(VLOOKUP($D343,LISTINO!$B:$I,6,FALSE),IFERROR(VLOOKUP($E343,LISTINO!$C:$I,5,FALSE),""))</f>
        <v/>
      </c>
      <c r="R343" s="13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4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4" t="n">
        <v>1</v>
      </c>
      <c r="H344" s="14" t="n"/>
      <c r="I344" s="14" t="n"/>
      <c r="J344" s="14" t="n"/>
      <c r="K344" s="14" t="n"/>
      <c r="L344" s="14" t="n"/>
      <c r="M344" s="14" t="n"/>
      <c r="N344" s="14" t="n"/>
      <c r="O344" s="14" t="inlineStr">
        <is>
          <t>pz</t>
        </is>
      </c>
      <c r="P344" s="15" t="n"/>
      <c r="Q344" s="13">
        <f>IFERROR(VLOOKUP($D344,LISTINO!$B:$I,6,FALSE),IFERROR(VLOOKUP($E344,LISTINO!$C:$I,5,FALSE),""))</f>
        <v/>
      </c>
      <c r="R344" s="13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4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4" t="n">
        <v>1</v>
      </c>
      <c r="H345" s="14" t="n"/>
      <c r="I345" s="14" t="n"/>
      <c r="J345" s="14" t="n"/>
      <c r="K345" s="14" t="n"/>
      <c r="L345" s="14" t="n"/>
      <c r="M345" s="14" t="n"/>
      <c r="N345" s="14" t="n"/>
      <c r="O345" s="14" t="inlineStr">
        <is>
          <t>pz</t>
        </is>
      </c>
      <c r="P345" s="15" t="n"/>
      <c r="Q345" s="13">
        <f>IFERROR(VLOOKUP($D345,LISTINO!$B:$I,6,FALSE),IFERROR(VLOOKUP($E345,LISTINO!$C:$I,5,FALSE),""))</f>
        <v/>
      </c>
      <c r="R345" s="13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4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4" t="n">
        <v>2</v>
      </c>
      <c r="H346" s="14" t="n"/>
      <c r="I346" s="14" t="n"/>
      <c r="J346" s="14" t="n"/>
      <c r="K346" s="14" t="n"/>
      <c r="L346" s="14" t="n"/>
      <c r="M346" s="14" t="n"/>
      <c r="N346" s="14" t="n"/>
      <c r="O346" s="14" t="inlineStr">
        <is>
          <t>pz</t>
        </is>
      </c>
      <c r="P346" s="15" t="n"/>
      <c r="Q346" s="13">
        <f>IFERROR(VLOOKUP($D346,LISTINO!$B:$I,6,FALSE),IFERROR(VLOOKUP($E346,LISTINO!$C:$I,5,FALSE),""))</f>
        <v/>
      </c>
      <c r="R346" s="13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4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4" t="n">
        <v>2</v>
      </c>
      <c r="H347" s="14" t="n"/>
      <c r="I347" s="14" t="n"/>
      <c r="J347" s="14" t="n"/>
      <c r="K347" s="14" t="n"/>
      <c r="L347" s="14" t="n"/>
      <c r="M347" s="14" t="n"/>
      <c r="N347" s="14" t="n"/>
      <c r="O347" s="14" t="inlineStr">
        <is>
          <t>pz</t>
        </is>
      </c>
      <c r="P347" s="15" t="n"/>
      <c r="Q347" s="13">
        <f>IFERROR(VLOOKUP($D347,LISTINO!$B:$I,6,FALSE),IFERROR(VLOOKUP($E347,LISTINO!$C:$I,5,FALSE),""))</f>
        <v/>
      </c>
      <c r="R347" s="13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4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4" t="n">
        <v>2</v>
      </c>
      <c r="H348" s="14" t="n"/>
      <c r="I348" s="14" t="n"/>
      <c r="J348" s="14" t="n"/>
      <c r="K348" s="14" t="n"/>
      <c r="L348" s="14" t="n"/>
      <c r="M348" s="14" t="n"/>
      <c r="N348" s="14" t="n"/>
      <c r="O348" s="14" t="inlineStr">
        <is>
          <t>pz</t>
        </is>
      </c>
      <c r="P348" s="15" t="n"/>
      <c r="Q348" s="13">
        <f>IFERROR(VLOOKUP($D348,LISTINO!$B:$I,6,FALSE),IFERROR(VLOOKUP($E348,LISTINO!$C:$I,5,FALSE),""))</f>
        <v/>
      </c>
      <c r="R348" s="13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4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4" t="n">
        <v>2</v>
      </c>
      <c r="H349" s="14" t="n"/>
      <c r="I349" s="14" t="n"/>
      <c r="J349" s="14" t="n"/>
      <c r="K349" s="14" t="n"/>
      <c r="L349" s="14" t="n"/>
      <c r="M349" s="14" t="n"/>
      <c r="N349" s="14" t="n"/>
      <c r="O349" s="14" t="inlineStr">
        <is>
          <t>pz</t>
        </is>
      </c>
      <c r="P349" s="15" t="n"/>
      <c r="Q349" s="13">
        <f>IFERROR(VLOOKUP($D349,LISTINO!$B:$I,6,FALSE),IFERROR(VLOOKUP($E349,LISTINO!$C:$I,5,FALSE),""))</f>
        <v/>
      </c>
      <c r="R349" s="13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4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4" t="n">
        <v>1</v>
      </c>
      <c r="H350" s="14" t="n"/>
      <c r="I350" s="14" t="n"/>
      <c r="J350" s="14" t="n"/>
      <c r="K350" s="14" t="n"/>
      <c r="L350" s="14" t="n"/>
      <c r="M350" s="14" t="n"/>
      <c r="N350" s="14" t="n"/>
      <c r="O350" s="14" t="inlineStr">
        <is>
          <t>pz</t>
        </is>
      </c>
      <c r="P350" s="15" t="n"/>
      <c r="Q350" s="13">
        <f>IFERROR(VLOOKUP($D350,LISTINO!$B:$I,6,FALSE),IFERROR(VLOOKUP($E350,LISTINO!$C:$I,5,FALSE),""))</f>
        <v/>
      </c>
      <c r="R350" s="13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4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4" t="n">
        <v>1</v>
      </c>
      <c r="H351" s="14" t="n"/>
      <c r="I351" s="14" t="n"/>
      <c r="J351" s="14" t="n"/>
      <c r="K351" s="14" t="n"/>
      <c r="L351" s="14" t="n"/>
      <c r="M351" s="14" t="n"/>
      <c r="N351" s="14" t="n"/>
      <c r="O351" s="14" t="inlineStr">
        <is>
          <t>pz</t>
        </is>
      </c>
      <c r="P351" s="15" t="n"/>
      <c r="Q351" s="13">
        <f>IFERROR(VLOOKUP($D351,LISTINO!$B:$I,6,FALSE),IFERROR(VLOOKUP($E351,LISTINO!$C:$I,5,FALSE),""))</f>
        <v/>
      </c>
      <c r="R351" s="13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4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4" t="n">
        <v>2</v>
      </c>
      <c r="H352" s="14" t="n"/>
      <c r="I352" s="14" t="n"/>
      <c r="J352" s="14" t="n"/>
      <c r="K352" s="14" t="n"/>
      <c r="L352" s="14" t="n"/>
      <c r="M352" s="14" t="n"/>
      <c r="N352" s="14" t="n"/>
      <c r="O352" s="14" t="inlineStr">
        <is>
          <t>pz</t>
        </is>
      </c>
      <c r="P352" s="15" t="n"/>
      <c r="Q352" s="13">
        <f>IFERROR(VLOOKUP($D352,LISTINO!$B:$I,6,FALSE),IFERROR(VLOOKUP($E352,LISTINO!$C:$I,5,FALSE),""))</f>
        <v/>
      </c>
      <c r="R352" s="13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4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4" t="n">
        <v>2</v>
      </c>
      <c r="H353" s="14" t="n"/>
      <c r="I353" s="14" t="n"/>
      <c r="J353" s="14" t="n"/>
      <c r="K353" s="14" t="n"/>
      <c r="L353" s="14" t="n"/>
      <c r="M353" s="14" t="n"/>
      <c r="N353" s="14" t="n"/>
      <c r="O353" s="14" t="inlineStr">
        <is>
          <t>pz</t>
        </is>
      </c>
      <c r="P353" s="15" t="n"/>
      <c r="Q353" s="13">
        <f>IFERROR(VLOOKUP($D353,LISTINO!$B:$I,6,FALSE),IFERROR(VLOOKUP($E353,LISTINO!$C:$I,5,FALSE),""))</f>
        <v/>
      </c>
      <c r="R353" s="13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4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4" t="n">
        <v>2</v>
      </c>
      <c r="H354" s="14" t="n"/>
      <c r="I354" s="14" t="n"/>
      <c r="J354" s="14" t="n"/>
      <c r="K354" s="14" t="n"/>
      <c r="L354" s="14" t="n"/>
      <c r="M354" s="14" t="n"/>
      <c r="N354" s="14" t="n"/>
      <c r="O354" s="14" t="inlineStr">
        <is>
          <t>pz</t>
        </is>
      </c>
      <c r="P354" s="15" t="n"/>
      <c r="Q354" s="13">
        <f>IFERROR(VLOOKUP($D354,LISTINO!$B:$I,6,FALSE),IFERROR(VLOOKUP($E354,LISTINO!$C:$I,5,FALSE),""))</f>
        <v/>
      </c>
      <c r="R354" s="13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4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4" t="n">
        <v>2</v>
      </c>
      <c r="H355" s="14" t="n"/>
      <c r="I355" s="14" t="n"/>
      <c r="J355" s="14" t="n"/>
      <c r="K355" s="14" t="n"/>
      <c r="L355" s="14" t="n"/>
      <c r="M355" s="14" t="n"/>
      <c r="N355" s="14" t="n"/>
      <c r="O355" s="14" t="inlineStr">
        <is>
          <t>pz</t>
        </is>
      </c>
      <c r="P355" s="15" t="n"/>
      <c r="Q355" s="13">
        <f>IFERROR(VLOOKUP($D355,LISTINO!$B:$I,6,FALSE),IFERROR(VLOOKUP($E355,LISTINO!$C:$I,5,FALSE),""))</f>
        <v/>
      </c>
      <c r="R355" s="13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4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4" t="n">
        <v>1</v>
      </c>
      <c r="H356" s="14" t="n"/>
      <c r="I356" s="14" t="n"/>
      <c r="J356" s="14" t="n"/>
      <c r="K356" s="14" t="n"/>
      <c r="L356" s="14" t="n"/>
      <c r="M356" s="14" t="n"/>
      <c r="N356" s="14" t="n"/>
      <c r="O356" s="14" t="inlineStr">
        <is>
          <t>pz</t>
        </is>
      </c>
      <c r="P356" s="15" t="n"/>
      <c r="Q356" s="13">
        <f>IFERROR(VLOOKUP($D356,LISTINO!$B:$I,6,FALSE),IFERROR(VLOOKUP($E356,LISTINO!$C:$I,5,FALSE),""))</f>
        <v/>
      </c>
      <c r="R356" s="13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4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4" t="n">
        <v>1</v>
      </c>
      <c r="H357" s="14" t="n"/>
      <c r="I357" s="14" t="n"/>
      <c r="J357" s="14" t="n"/>
      <c r="K357" s="14" t="n"/>
      <c r="L357" s="14" t="n"/>
      <c r="M357" s="14" t="n"/>
      <c r="N357" s="14" t="n"/>
      <c r="O357" s="14" t="inlineStr">
        <is>
          <t>pz</t>
        </is>
      </c>
      <c r="P357" s="15" t="n"/>
      <c r="Q357" s="13">
        <f>IFERROR(VLOOKUP($D357,LISTINO!$B:$I,6,FALSE),IFERROR(VLOOKUP($E357,LISTINO!$C:$I,5,FALSE),""))</f>
        <v/>
      </c>
      <c r="R357" s="13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4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4" t="n">
        <v>2</v>
      </c>
      <c r="H358" s="14" t="n"/>
      <c r="I358" s="14" t="n"/>
      <c r="J358" s="14" t="n"/>
      <c r="K358" s="14" t="n"/>
      <c r="L358" s="14" t="n"/>
      <c r="M358" s="14" t="n"/>
      <c r="N358" s="14" t="n"/>
      <c r="O358" s="14" t="inlineStr">
        <is>
          <t>pz</t>
        </is>
      </c>
      <c r="P358" s="15" t="n"/>
      <c r="Q358" s="13">
        <f>IFERROR(VLOOKUP($D358,LISTINO!$B:$I,6,FALSE),IFERROR(VLOOKUP($E358,LISTINO!$C:$I,5,FALSE),""))</f>
        <v/>
      </c>
      <c r="R358" s="13">
        <f>IF(AND(ISNUMBER(G358),ISNUMBER(Q358)),G358*Q358,"")</f>
        <v/>
      </c>
    </row>
    <row r="360">
      <c r="E360" s="7" t="inlineStr">
        <is>
          <t>TOTALE (escl. righe 'già caricato altrove')</t>
        </is>
      </c>
      <c r="R360" s="8">
        <f>SUMIFS(R2:R358,N2:N358,"")</f>
        <v/>
      </c>
    </row>
  </sheetData>
  <autoFilter ref="A1:R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0" customWidth="1" style="16" min="1" max="1"/>
    <col width="12" customWidth="1" style="16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204</v>
      </c>
    </row>
    <row r="4">
      <c r="A4" s="7" t="inlineStr">
        <is>
          <t>Righe di distinta totali (tutti i kit)</t>
        </is>
      </c>
      <c r="B4" t="n">
        <v>357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tutta la carpenteria strutturale (travi IPE/IPEA e assi di rotazione). Blocco 'Profili' = peso teorico kg/m, % zincatura, costo acquisto €/kg e costo zincatura €/kg da compilare. Nell'elenco, per travi e assi: 'Peso elemento (kg)' = lunghezza × kg/m finale (con maggiorazione zincatura); 'Costo acquisto (€)' = peso × €/kg acquisto; 'Costo zincatura (€)' = peso × magg. % × €/kg zincatura, solo se la maggiorazione è presente. Nel LISTINO il 'Peso elemento' di travi e assi arriva da qui; gli altri pesi restano manuali.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2026-08-31T07:46:46Z</dcterms:modified>
</cp:coreProperties>
</file>