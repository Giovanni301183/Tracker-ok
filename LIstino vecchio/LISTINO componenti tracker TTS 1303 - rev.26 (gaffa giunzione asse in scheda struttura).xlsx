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A6F8E0A7-EFDF-4922-A99A-03CDFC6789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COMPLETA'!$A$1:$R$344</definedName>
    <definedName name="_xlnm._FilterDatabase" localSheetId="4" hidden="1">LISTINO!$A$4:$I$202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2" i="6" l="1"/>
  <c r="R342" i="6" s="1"/>
  <c r="Q331" i="6"/>
  <c r="R331" i="6" s="1"/>
  <c r="Q330" i="6"/>
  <c r="R330" i="6" s="1"/>
  <c r="Q329" i="6"/>
  <c r="R329" i="6" s="1"/>
  <c r="Q321" i="6"/>
  <c r="R321" i="6" s="1"/>
  <c r="Q318" i="6"/>
  <c r="R318" i="6" s="1"/>
  <c r="Q317" i="6"/>
  <c r="R317" i="6" s="1"/>
  <c r="Q316" i="6"/>
  <c r="R316" i="6" s="1"/>
  <c r="Q311" i="6"/>
  <c r="R311" i="6" s="1"/>
  <c r="Q310" i="6"/>
  <c r="R310" i="6" s="1"/>
  <c r="Q307" i="6"/>
  <c r="R307" i="6" s="1"/>
  <c r="Q306" i="6"/>
  <c r="R306" i="6" s="1"/>
  <c r="Q305" i="6"/>
  <c r="R305" i="6" s="1"/>
  <c r="Q296" i="6"/>
  <c r="R296" i="6" s="1"/>
  <c r="Q295" i="6"/>
  <c r="R295" i="6" s="1"/>
  <c r="Q290" i="6"/>
  <c r="R290" i="6" s="1"/>
  <c r="Q282" i="6"/>
  <c r="R282" i="6" s="1"/>
  <c r="Q277" i="6"/>
  <c r="R277" i="6" s="1"/>
  <c r="Q276" i="6"/>
  <c r="R276" i="6" s="1"/>
  <c r="Q275" i="6"/>
  <c r="R275" i="6" s="1"/>
  <c r="Q269" i="6"/>
  <c r="R269" i="6" s="1"/>
  <c r="Q264" i="6"/>
  <c r="R264" i="6" s="1"/>
  <c r="Q263" i="6"/>
  <c r="R263" i="6" s="1"/>
  <c r="Q256" i="6"/>
  <c r="R256" i="6" s="1"/>
  <c r="Q253" i="6"/>
  <c r="R253" i="6" s="1"/>
  <c r="Q252" i="6"/>
  <c r="R252" i="6" s="1"/>
  <c r="Q243" i="6"/>
  <c r="R243" i="6" s="1"/>
  <c r="Q236" i="6"/>
  <c r="R236" i="6" s="1"/>
  <c r="Q231" i="6"/>
  <c r="R231" i="6" s="1"/>
  <c r="Q227" i="6"/>
  <c r="R227" i="6" s="1"/>
  <c r="Q226" i="6"/>
  <c r="R226" i="6" s="1"/>
  <c r="Q223" i="6"/>
  <c r="R223" i="6" s="1"/>
  <c r="Q216" i="6"/>
  <c r="R216" i="6" s="1"/>
  <c r="Q215" i="6"/>
  <c r="R215" i="6" s="1"/>
  <c r="Q205" i="6"/>
  <c r="R205" i="6" s="1"/>
  <c r="Q204" i="6"/>
  <c r="R204" i="6" s="1"/>
  <c r="Q203" i="6"/>
  <c r="R203" i="6" s="1"/>
  <c r="Q202" i="6"/>
  <c r="R202" i="6" s="1"/>
  <c r="Q201" i="6"/>
  <c r="R201" i="6" s="1"/>
  <c r="Q200" i="6"/>
  <c r="R200" i="6" s="1"/>
  <c r="Q199" i="6"/>
  <c r="R199" i="6" s="1"/>
  <c r="Q198" i="6"/>
  <c r="R198" i="6" s="1"/>
  <c r="Q195" i="6"/>
  <c r="R195" i="6" s="1"/>
  <c r="Q189" i="6"/>
  <c r="R189" i="6" s="1"/>
  <c r="Q188" i="6"/>
  <c r="R188" i="6" s="1"/>
  <c r="Q187" i="6"/>
  <c r="R187" i="6" s="1"/>
  <c r="Q186" i="6"/>
  <c r="R186" i="6" s="1"/>
  <c r="R185" i="6"/>
  <c r="Q185" i="6"/>
  <c r="R184" i="6"/>
  <c r="Q184" i="6"/>
  <c r="Q180" i="6"/>
  <c r="R180" i="6" s="1"/>
  <c r="Q176" i="6"/>
  <c r="R176" i="6" s="1"/>
  <c r="Q175" i="6"/>
  <c r="R175" i="6" s="1"/>
  <c r="Q174" i="6"/>
  <c r="R174" i="6" s="1"/>
  <c r="Q173" i="6"/>
  <c r="R173" i="6" s="1"/>
  <c r="Q172" i="6"/>
  <c r="R172" i="6" s="1"/>
  <c r="Q171" i="6"/>
  <c r="R171" i="6" s="1"/>
  <c r="Q162" i="6"/>
  <c r="R162" i="6" s="1"/>
  <c r="R161" i="6"/>
  <c r="Q161" i="6"/>
  <c r="Q160" i="6"/>
  <c r="R160" i="6" s="1"/>
  <c r="Q159" i="6"/>
  <c r="R159" i="6" s="1"/>
  <c r="Q152" i="6"/>
  <c r="R152" i="6" s="1"/>
  <c r="Q150" i="6"/>
  <c r="R150" i="6" s="1"/>
  <c r="R149" i="6"/>
  <c r="Q149" i="6"/>
  <c r="Q148" i="6"/>
  <c r="R148" i="6" s="1"/>
  <c r="Q147" i="6"/>
  <c r="R147" i="6" s="1"/>
  <c r="Q146" i="6"/>
  <c r="R146" i="6" s="1"/>
  <c r="Q145" i="6"/>
  <c r="R145" i="6" s="1"/>
  <c r="Q144" i="6"/>
  <c r="R144" i="6" s="1"/>
  <c r="Q134" i="6"/>
  <c r="R134" i="6" s="1"/>
  <c r="Q133" i="6"/>
  <c r="R133" i="6" s="1"/>
  <c r="Q128" i="6"/>
  <c r="R128" i="6" s="1"/>
  <c r="Q127" i="6"/>
  <c r="R127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R104" i="6"/>
  <c r="Q104" i="6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0" i="6"/>
  <c r="R80" i="6" s="1"/>
  <c r="R73" i="6"/>
  <c r="Q73" i="6"/>
  <c r="R68" i="6"/>
  <c r="Q68" i="6"/>
  <c r="Q67" i="6"/>
  <c r="R67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R50" i="6"/>
  <c r="Q50" i="6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R32" i="6"/>
  <c r="Q32" i="6"/>
  <c r="R31" i="6"/>
  <c r="Q31" i="6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R13" i="6"/>
  <c r="Q13" i="6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0" i="5"/>
  <c r="Q259" i="6" s="1"/>
  <c r="R259" i="6" s="1"/>
  <c r="F200" i="5"/>
  <c r="G199" i="5"/>
  <c r="Q328" i="6" s="1"/>
  <c r="R328" i="6" s="1"/>
  <c r="F199" i="5"/>
  <c r="G198" i="5"/>
  <c r="Q323" i="6" s="1"/>
  <c r="R323" i="6" s="1"/>
  <c r="F198" i="5"/>
  <c r="G197" i="5"/>
  <c r="Q343" i="6" s="1"/>
  <c r="R343" i="6" s="1"/>
  <c r="F197" i="5"/>
  <c r="G196" i="5"/>
  <c r="Q322" i="6" s="1"/>
  <c r="R322" i="6" s="1"/>
  <c r="F196" i="5"/>
  <c r="G195" i="5"/>
  <c r="Q242" i="6" s="1"/>
  <c r="R242" i="6" s="1"/>
  <c r="F195" i="5"/>
  <c r="G194" i="5"/>
  <c r="Q291" i="6" s="1"/>
  <c r="R291" i="6" s="1"/>
  <c r="F194" i="5"/>
  <c r="G193" i="5"/>
  <c r="Q283" i="6" s="1"/>
  <c r="R283" i="6" s="1"/>
  <c r="F193" i="5"/>
  <c r="G192" i="5"/>
  <c r="Q139" i="6" s="1"/>
  <c r="R139" i="6" s="1"/>
  <c r="F192" i="5"/>
  <c r="G191" i="5"/>
  <c r="Q77" i="6" s="1"/>
  <c r="R77" i="6" s="1"/>
  <c r="F191" i="5"/>
  <c r="F190" i="5"/>
  <c r="G189" i="5"/>
  <c r="G185" i="5"/>
  <c r="F181" i="5"/>
  <c r="G175" i="5"/>
  <c r="G171" i="5"/>
  <c r="Q222" i="6" s="1"/>
  <c r="R222" i="6" s="1"/>
  <c r="G167" i="5"/>
  <c r="Q250" i="6" s="1"/>
  <c r="R250" i="6" s="1"/>
  <c r="F163" i="5"/>
  <c r="F154" i="5"/>
  <c r="F111" i="5"/>
  <c r="F81" i="5"/>
  <c r="F32" i="5"/>
  <c r="F30" i="5"/>
  <c r="D70" i="3"/>
  <c r="G190" i="5" s="1"/>
  <c r="Q260" i="6" s="1"/>
  <c r="R260" i="6" s="1"/>
  <c r="C70" i="3"/>
  <c r="B70" i="3"/>
  <c r="D69" i="3"/>
  <c r="C69" i="3"/>
  <c r="F189" i="5" s="1"/>
  <c r="B69" i="3"/>
  <c r="D68" i="3"/>
  <c r="G188" i="5" s="1"/>
  <c r="C68" i="3"/>
  <c r="F188" i="5" s="1"/>
  <c r="B68" i="3"/>
  <c r="D67" i="3"/>
  <c r="G187" i="5" s="1"/>
  <c r="C67" i="3"/>
  <c r="F187" i="5" s="1"/>
  <c r="B67" i="3"/>
  <c r="D66" i="3"/>
  <c r="G186" i="5" s="1"/>
  <c r="C66" i="3"/>
  <c r="F186" i="5" s="1"/>
  <c r="B66" i="3"/>
  <c r="D65" i="3"/>
  <c r="C65" i="3"/>
  <c r="F185" i="5" s="1"/>
  <c r="B65" i="3"/>
  <c r="D64" i="3"/>
  <c r="G184" i="5" s="1"/>
  <c r="C64" i="3"/>
  <c r="F184" i="5" s="1"/>
  <c r="B64" i="3"/>
  <c r="D63" i="3"/>
  <c r="G183" i="5" s="1"/>
  <c r="C63" i="3"/>
  <c r="F183" i="5" s="1"/>
  <c r="B63" i="3"/>
  <c r="D62" i="3"/>
  <c r="G182" i="5" s="1"/>
  <c r="Q337" i="6" s="1"/>
  <c r="R337" i="6" s="1"/>
  <c r="C62" i="3"/>
  <c r="F182" i="5" s="1"/>
  <c r="B62" i="3"/>
  <c r="D61" i="3"/>
  <c r="G181" i="5" s="1"/>
  <c r="C61" i="3"/>
  <c r="B61" i="3"/>
  <c r="D60" i="3"/>
  <c r="G180" i="5" s="1"/>
  <c r="C60" i="3"/>
  <c r="F180" i="5" s="1"/>
  <c r="B60" i="3"/>
  <c r="D59" i="3"/>
  <c r="G179" i="5" s="1"/>
  <c r="C59" i="3"/>
  <c r="F179" i="5" s="1"/>
  <c r="B59" i="3"/>
  <c r="D58" i="3"/>
  <c r="G178" i="5" s="1"/>
  <c r="Q314" i="6" s="1"/>
  <c r="R314" i="6" s="1"/>
  <c r="C58" i="3"/>
  <c r="F178" i="5" s="1"/>
  <c r="B58" i="3"/>
  <c r="D57" i="3"/>
  <c r="G177" i="5" s="1"/>
  <c r="Q238" i="6" s="1"/>
  <c r="R238" i="6" s="1"/>
  <c r="C57" i="3"/>
  <c r="F177" i="5" s="1"/>
  <c r="B57" i="3"/>
  <c r="D56" i="3"/>
  <c r="G176" i="5" s="1"/>
  <c r="Q308" i="6" s="1"/>
  <c r="R308" i="6" s="1"/>
  <c r="C56" i="3"/>
  <c r="F176" i="5" s="1"/>
  <c r="B56" i="3"/>
  <c r="D55" i="3"/>
  <c r="C55" i="3"/>
  <c r="F175" i="5" s="1"/>
  <c r="B55" i="3"/>
  <c r="D54" i="3"/>
  <c r="G174" i="5" s="1"/>
  <c r="Q325" i="6" s="1"/>
  <c r="R325" i="6" s="1"/>
  <c r="C54" i="3"/>
  <c r="F174" i="5" s="1"/>
  <c r="B54" i="3"/>
  <c r="D53" i="3"/>
  <c r="G173" i="5" s="1"/>
  <c r="Q281" i="6" s="1"/>
  <c r="R281" i="6" s="1"/>
  <c r="C53" i="3"/>
  <c r="F173" i="5" s="1"/>
  <c r="B53" i="3"/>
  <c r="D52" i="3"/>
  <c r="G172" i="5" s="1"/>
  <c r="Q246" i="6" s="1"/>
  <c r="R246" i="6" s="1"/>
  <c r="C52" i="3"/>
  <c r="F172" i="5" s="1"/>
  <c r="B52" i="3"/>
  <c r="D51" i="3"/>
  <c r="C51" i="3"/>
  <c r="F171" i="5" s="1"/>
  <c r="B51" i="3"/>
  <c r="D50" i="3"/>
  <c r="G170" i="5" s="1"/>
  <c r="Q241" i="6" s="1"/>
  <c r="R241" i="6" s="1"/>
  <c r="C50" i="3"/>
  <c r="F170" i="5" s="1"/>
  <c r="B50" i="3"/>
  <c r="D49" i="3"/>
  <c r="G169" i="5" s="1"/>
  <c r="C49" i="3"/>
  <c r="F169" i="5" s="1"/>
  <c r="B49" i="3"/>
  <c r="D48" i="3"/>
  <c r="G168" i="5" s="1"/>
  <c r="Q78" i="6" s="1"/>
  <c r="R78" i="6" s="1"/>
  <c r="C48" i="3"/>
  <c r="F168" i="5" s="1"/>
  <c r="B48" i="3"/>
  <c r="D47" i="3"/>
  <c r="C47" i="3"/>
  <c r="F167" i="5" s="1"/>
  <c r="B47" i="3"/>
  <c r="D46" i="3"/>
  <c r="G166" i="5" s="1"/>
  <c r="C46" i="3"/>
  <c r="F166" i="5" s="1"/>
  <c r="B46" i="3"/>
  <c r="D45" i="3"/>
  <c r="G165" i="5" s="1"/>
  <c r="C45" i="3"/>
  <c r="F165" i="5" s="1"/>
  <c r="B45" i="3"/>
  <c r="D44" i="3"/>
  <c r="G164" i="5" s="1"/>
  <c r="Q219" i="6" s="1"/>
  <c r="R219" i="6" s="1"/>
  <c r="C44" i="3"/>
  <c r="F164" i="5" s="1"/>
  <c r="B44" i="3"/>
  <c r="D43" i="3"/>
  <c r="G163" i="5" s="1"/>
  <c r="Q140" i="6" s="1"/>
  <c r="R140" i="6" s="1"/>
  <c r="C43" i="3"/>
  <c r="B43" i="3"/>
  <c r="D42" i="3"/>
  <c r="G162" i="5" s="1"/>
  <c r="C42" i="3"/>
  <c r="F162" i="5" s="1"/>
  <c r="B42" i="3"/>
  <c r="D41" i="3"/>
  <c r="G161" i="5" s="1"/>
  <c r="Q135" i="6" s="1"/>
  <c r="R135" i="6" s="1"/>
  <c r="C41" i="3"/>
  <c r="F161" i="5" s="1"/>
  <c r="B41" i="3"/>
  <c r="D40" i="3"/>
  <c r="G160" i="5" s="1"/>
  <c r="Q344" i="6" s="1"/>
  <c r="R344" i="6" s="1"/>
  <c r="C40" i="3"/>
  <c r="F160" i="5" s="1"/>
  <c r="B40" i="3"/>
  <c r="F59" i="2"/>
  <c r="E59" i="2"/>
  <c r="B59" i="2"/>
  <c r="F58" i="2"/>
  <c r="E58" i="2"/>
  <c r="B58" i="2"/>
  <c r="F57" i="2"/>
  <c r="E57" i="2"/>
  <c r="D57" i="2"/>
  <c r="F156" i="5" s="1"/>
  <c r="B57" i="2"/>
  <c r="F56" i="2"/>
  <c r="E56" i="2"/>
  <c r="B56" i="2"/>
  <c r="F55" i="2"/>
  <c r="E55" i="2"/>
  <c r="B55" i="2"/>
  <c r="F54" i="2"/>
  <c r="E54" i="2"/>
  <c r="B54" i="2"/>
  <c r="F53" i="2"/>
  <c r="E53" i="2"/>
  <c r="B53" i="2"/>
  <c r="F52" i="2"/>
  <c r="E52" i="2"/>
  <c r="B52" i="2"/>
  <c r="F51" i="2"/>
  <c r="E51" i="2"/>
  <c r="D51" i="2"/>
  <c r="F85" i="5" s="1"/>
  <c r="B51" i="2"/>
  <c r="F50" i="2"/>
  <c r="E50" i="2"/>
  <c r="B50" i="2"/>
  <c r="F49" i="2"/>
  <c r="E49" i="2"/>
  <c r="B49" i="2"/>
  <c r="F48" i="2"/>
  <c r="E48" i="2"/>
  <c r="D48" i="2"/>
  <c r="F82" i="5" s="1"/>
  <c r="B48" i="2"/>
  <c r="F47" i="2"/>
  <c r="E47" i="2"/>
  <c r="B47" i="2"/>
  <c r="F46" i="2"/>
  <c r="E46" i="2"/>
  <c r="B46" i="2"/>
  <c r="F45" i="2"/>
  <c r="E45" i="2"/>
  <c r="D45" i="2"/>
  <c r="F79" i="5" s="1"/>
  <c r="B45" i="2"/>
  <c r="F44" i="2"/>
  <c r="E44" i="2"/>
  <c r="B44" i="2"/>
  <c r="F43" i="2"/>
  <c r="E43" i="2"/>
  <c r="B43" i="2"/>
  <c r="F42" i="2"/>
  <c r="E42" i="2"/>
  <c r="B42" i="2"/>
  <c r="F41" i="2"/>
  <c r="E41" i="2"/>
  <c r="B41" i="2"/>
  <c r="F40" i="2"/>
  <c r="E40" i="2"/>
  <c r="B40" i="2"/>
  <c r="F39" i="2"/>
  <c r="E39" i="2"/>
  <c r="D39" i="2"/>
  <c r="F110" i="5" s="1"/>
  <c r="B39" i="2"/>
  <c r="F38" i="2"/>
  <c r="E38" i="2"/>
  <c r="B38" i="2"/>
  <c r="E27" i="2"/>
  <c r="D59" i="2" s="1"/>
  <c r="F158" i="5" s="1"/>
  <c r="E26" i="2"/>
  <c r="D58" i="2" s="1"/>
  <c r="F157" i="5" s="1"/>
  <c r="E25" i="2"/>
  <c r="E24" i="2"/>
  <c r="D56" i="2" s="1"/>
  <c r="F155" i="5" s="1"/>
  <c r="E23" i="2"/>
  <c r="D55" i="2" s="1"/>
  <c r="E22" i="2"/>
  <c r="D54" i="2" s="1"/>
  <c r="F153" i="5" s="1"/>
  <c r="E21" i="2"/>
  <c r="D53" i="2" s="1"/>
  <c r="F152" i="5" s="1"/>
  <c r="E20" i="2"/>
  <c r="D52" i="2" s="1"/>
  <c r="F86" i="5" s="1"/>
  <c r="E19" i="2"/>
  <c r="E18" i="2"/>
  <c r="D50" i="2" s="1"/>
  <c r="F84" i="5" s="1"/>
  <c r="E17" i="2"/>
  <c r="D49" i="2" s="1"/>
  <c r="F83" i="5" s="1"/>
  <c r="E16" i="2"/>
  <c r="E15" i="2"/>
  <c r="D47" i="2" s="1"/>
  <c r="E14" i="2"/>
  <c r="D46" i="2" s="1"/>
  <c r="F80" i="5" s="1"/>
  <c r="E13" i="2"/>
  <c r="E12" i="2"/>
  <c r="D44" i="2" s="1"/>
  <c r="F36" i="5" s="1"/>
  <c r="E11" i="2"/>
  <c r="D43" i="2" s="1"/>
  <c r="F35" i="5" s="1"/>
  <c r="E10" i="2"/>
  <c r="D42" i="2" s="1"/>
  <c r="F34" i="5" s="1"/>
  <c r="E9" i="2"/>
  <c r="D41" i="2" s="1"/>
  <c r="F33" i="5" s="1"/>
  <c r="E8" i="2"/>
  <c r="D40" i="2" s="1"/>
  <c r="E7" i="2"/>
  <c r="E6" i="2"/>
  <c r="D38" i="2" s="1"/>
  <c r="F109" i="5" s="1"/>
  <c r="G147" i="1"/>
  <c r="F147" i="1"/>
  <c r="G146" i="1"/>
  <c r="F146" i="1"/>
  <c r="G145" i="1"/>
  <c r="F145" i="1"/>
  <c r="E145" i="1"/>
  <c r="G144" i="1"/>
  <c r="F144" i="1"/>
  <c r="G143" i="1"/>
  <c r="F143" i="1"/>
  <c r="G142" i="1"/>
  <c r="F142" i="1"/>
  <c r="G141" i="1"/>
  <c r="F141" i="1"/>
  <c r="E141" i="1"/>
  <c r="F25" i="5" s="1"/>
  <c r="G140" i="1"/>
  <c r="F140" i="1"/>
  <c r="G139" i="1"/>
  <c r="F139" i="1"/>
  <c r="E139" i="1"/>
  <c r="F23" i="5" s="1"/>
  <c r="G138" i="1"/>
  <c r="F138" i="1"/>
  <c r="G137" i="1"/>
  <c r="F137" i="1"/>
  <c r="E137" i="1"/>
  <c r="F21" i="5" s="1"/>
  <c r="G136" i="1"/>
  <c r="F136" i="1"/>
  <c r="G135" i="1"/>
  <c r="F135" i="1"/>
  <c r="E135" i="1"/>
  <c r="F19" i="5" s="1"/>
  <c r="G134" i="1"/>
  <c r="F134" i="1"/>
  <c r="G133" i="1"/>
  <c r="F133" i="1"/>
  <c r="E133" i="1"/>
  <c r="F17" i="5" s="1"/>
  <c r="G132" i="1"/>
  <c r="F132" i="1"/>
  <c r="G131" i="1"/>
  <c r="F131" i="1"/>
  <c r="E131" i="1"/>
  <c r="F15" i="5" s="1"/>
  <c r="G130" i="1"/>
  <c r="F130" i="1"/>
  <c r="G129" i="1"/>
  <c r="F129" i="1"/>
  <c r="E129" i="1"/>
  <c r="F13" i="5" s="1"/>
  <c r="G128" i="1"/>
  <c r="F128" i="1"/>
  <c r="G127" i="1"/>
  <c r="F127" i="1"/>
  <c r="E127" i="1"/>
  <c r="F11" i="5" s="1"/>
  <c r="G126" i="1"/>
  <c r="F126" i="1"/>
  <c r="G125" i="1"/>
  <c r="F125" i="1"/>
  <c r="E125" i="1"/>
  <c r="F9" i="5" s="1"/>
  <c r="G124" i="1"/>
  <c r="F124" i="1"/>
  <c r="G123" i="1"/>
  <c r="F123" i="1"/>
  <c r="E123" i="1"/>
  <c r="F7" i="5" s="1"/>
  <c r="G122" i="1"/>
  <c r="F122" i="1"/>
  <c r="G121" i="1"/>
  <c r="F121" i="1"/>
  <c r="E121" i="1"/>
  <c r="F5" i="5" s="1"/>
  <c r="G120" i="1"/>
  <c r="F120" i="1"/>
  <c r="G119" i="1"/>
  <c r="F119" i="1"/>
  <c r="G118" i="1"/>
  <c r="F118" i="1"/>
  <c r="G117" i="1"/>
  <c r="F117" i="1"/>
  <c r="G116" i="1"/>
  <c r="F116" i="1"/>
  <c r="G115" i="1"/>
  <c r="F115" i="1"/>
  <c r="E115" i="1"/>
  <c r="F139" i="5" s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E103" i="1"/>
  <c r="F115" i="5" s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E79" i="1"/>
  <c r="F106" i="5" s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D14" i="1"/>
  <c r="E147" i="1" s="1"/>
  <c r="F27" i="5" s="1"/>
  <c r="D13" i="1"/>
  <c r="D12" i="1"/>
  <c r="E144" i="1" s="1"/>
  <c r="F29" i="5" s="1"/>
  <c r="D11" i="1"/>
  <c r="E143" i="1" s="1"/>
  <c r="F28" i="5" s="1"/>
  <c r="D10" i="1"/>
  <c r="D9" i="1"/>
  <c r="E146" i="1" s="1"/>
  <c r="F31" i="5" s="1"/>
  <c r="D8" i="1"/>
  <c r="D7" i="1"/>
  <c r="D6" i="1"/>
  <c r="E117" i="1" s="1"/>
  <c r="F143" i="5" s="1"/>
  <c r="D5" i="1"/>
  <c r="E95" i="1" s="1"/>
  <c r="F138" i="5" s="1"/>
  <c r="Q69" i="6" l="1"/>
  <c r="R69" i="6" s="1"/>
  <c r="Q63" i="6"/>
  <c r="R63" i="6" s="1"/>
  <c r="Q74" i="6"/>
  <c r="R74" i="6" s="1"/>
  <c r="Q129" i="6"/>
  <c r="R129" i="6" s="1"/>
  <c r="Q123" i="6"/>
  <c r="R123" i="6" s="1"/>
  <c r="Q138" i="6"/>
  <c r="R138" i="6" s="1"/>
  <c r="Q76" i="6"/>
  <c r="R76" i="6" s="1"/>
  <c r="Q197" i="6"/>
  <c r="R197" i="6" s="1"/>
  <c r="Q132" i="6"/>
  <c r="R132" i="6" s="1"/>
  <c r="Q183" i="6"/>
  <c r="R183" i="6" s="1"/>
  <c r="Q72" i="6"/>
  <c r="R72" i="6" s="1"/>
  <c r="Q213" i="6"/>
  <c r="R213" i="6" s="1"/>
  <c r="Q170" i="6"/>
  <c r="R170" i="6" s="1"/>
  <c r="Q66" i="6"/>
  <c r="R66" i="6" s="1"/>
  <c r="Q158" i="6"/>
  <c r="R158" i="6" s="1"/>
  <c r="Q126" i="6"/>
  <c r="R126" i="6" s="1"/>
  <c r="Q294" i="6"/>
  <c r="R294" i="6" s="1"/>
  <c r="Q258" i="6"/>
  <c r="R258" i="6" s="1"/>
  <c r="Q221" i="6"/>
  <c r="R221" i="6" s="1"/>
  <c r="Q320" i="6"/>
  <c r="R320" i="6" s="1"/>
  <c r="Q300" i="6"/>
  <c r="R300" i="6" s="1"/>
  <c r="Q287" i="6"/>
  <c r="R287" i="6" s="1"/>
  <c r="Q179" i="6"/>
  <c r="R179" i="6" s="1"/>
  <c r="Q154" i="6"/>
  <c r="R154" i="6" s="1"/>
  <c r="Q313" i="6"/>
  <c r="R313" i="6" s="1"/>
  <c r="Q304" i="6"/>
  <c r="R304" i="6" s="1"/>
  <c r="Q218" i="6"/>
  <c r="R218" i="6" s="1"/>
  <c r="Q274" i="6"/>
  <c r="R274" i="6" s="1"/>
  <c r="Q193" i="6"/>
  <c r="R193" i="6" s="1"/>
  <c r="Q209" i="6"/>
  <c r="R209" i="6" s="1"/>
  <c r="Q166" i="6"/>
  <c r="R166" i="6" s="1"/>
  <c r="E91" i="1"/>
  <c r="F130" i="5" s="1"/>
  <c r="Q326" i="6"/>
  <c r="R326" i="6" s="1"/>
  <c r="Q267" i="6"/>
  <c r="R267" i="6" s="1"/>
  <c r="Q280" i="6"/>
  <c r="R280" i="6" s="1"/>
  <c r="Q224" i="6"/>
  <c r="R224" i="6" s="1"/>
  <c r="Q324" i="6"/>
  <c r="R324" i="6" s="1"/>
  <c r="Q279" i="6"/>
  <c r="R279" i="6" s="1"/>
  <c r="Q247" i="6"/>
  <c r="R247" i="6" s="1"/>
  <c r="Q230" i="6"/>
  <c r="R230" i="6" s="1"/>
  <c r="E22" i="1"/>
  <c r="F43" i="5" s="1"/>
  <c r="E28" i="1"/>
  <c r="F55" i="5" s="1"/>
  <c r="E34" i="1"/>
  <c r="F67" i="5" s="1"/>
  <c r="E40" i="1"/>
  <c r="F78" i="5" s="1"/>
  <c r="E46" i="1"/>
  <c r="F50" i="5" s="1"/>
  <c r="E52" i="1"/>
  <c r="F62" i="5" s="1"/>
  <c r="E56" i="1"/>
  <c r="F70" i="5" s="1"/>
  <c r="E62" i="1"/>
  <c r="F95" i="5" s="1"/>
  <c r="E66" i="1"/>
  <c r="F101" i="5" s="1"/>
  <c r="E70" i="1"/>
  <c r="F90" i="5" s="1"/>
  <c r="E89" i="1"/>
  <c r="F126" i="5" s="1"/>
  <c r="E17" i="1"/>
  <c r="F37" i="5" s="1"/>
  <c r="E19" i="1"/>
  <c r="F77" i="5" s="1"/>
  <c r="E21" i="1"/>
  <c r="F41" i="5" s="1"/>
  <c r="E23" i="1"/>
  <c r="F45" i="5" s="1"/>
  <c r="E25" i="1"/>
  <c r="F49" i="5" s="1"/>
  <c r="E27" i="1"/>
  <c r="F53" i="5" s="1"/>
  <c r="E29" i="1"/>
  <c r="F57" i="5" s="1"/>
  <c r="E31" i="1"/>
  <c r="F61" i="5" s="1"/>
  <c r="E33" i="1"/>
  <c r="F65" i="5" s="1"/>
  <c r="E35" i="1"/>
  <c r="F69" i="5" s="1"/>
  <c r="E37" i="1"/>
  <c r="F73" i="5" s="1"/>
  <c r="E39" i="1"/>
  <c r="F76" i="5" s="1"/>
  <c r="E41" i="1"/>
  <c r="F40" i="5" s="1"/>
  <c r="E43" i="1"/>
  <c r="F44" i="5" s="1"/>
  <c r="E45" i="1"/>
  <c r="F48" i="5" s="1"/>
  <c r="E47" i="1"/>
  <c r="F52" i="5" s="1"/>
  <c r="E49" i="1"/>
  <c r="F56" i="5" s="1"/>
  <c r="E51" i="1"/>
  <c r="F60" i="5" s="1"/>
  <c r="E53" i="1"/>
  <c r="F64" i="5" s="1"/>
  <c r="E55" i="1"/>
  <c r="F68" i="5" s="1"/>
  <c r="E57" i="1"/>
  <c r="F72" i="5" s="1"/>
  <c r="E59" i="1"/>
  <c r="F89" i="5" s="1"/>
  <c r="E61" i="1"/>
  <c r="F93" i="5" s="1"/>
  <c r="E63" i="1"/>
  <c r="F87" i="5" s="1"/>
  <c r="E65" i="1"/>
  <c r="F99" i="5" s="1"/>
  <c r="E67" i="1"/>
  <c r="F103" i="5" s="1"/>
  <c r="E69" i="1"/>
  <c r="F107" i="5" s="1"/>
  <c r="E71" i="1"/>
  <c r="F92" i="5" s="1"/>
  <c r="E83" i="1"/>
  <c r="F114" i="5" s="1"/>
  <c r="E107" i="1"/>
  <c r="F123" i="5" s="1"/>
  <c r="E119" i="1"/>
  <c r="F147" i="5" s="1"/>
  <c r="Q196" i="6"/>
  <c r="R196" i="6" s="1"/>
  <c r="Q156" i="6"/>
  <c r="R156" i="6" s="1"/>
  <c r="Q131" i="6"/>
  <c r="R131" i="6" s="1"/>
  <c r="Q124" i="6"/>
  <c r="R124" i="6" s="1"/>
  <c r="Q70" i="6"/>
  <c r="R70" i="6" s="1"/>
  <c r="Q64" i="6"/>
  <c r="R64" i="6" s="1"/>
  <c r="Q168" i="6"/>
  <c r="R168" i="6" s="1"/>
  <c r="Q136" i="6"/>
  <c r="R136" i="6" s="1"/>
  <c r="Q125" i="6"/>
  <c r="R125" i="6" s="1"/>
  <c r="Q71" i="6"/>
  <c r="R71" i="6" s="1"/>
  <c r="Q65" i="6"/>
  <c r="R65" i="6" s="1"/>
  <c r="Q229" i="6"/>
  <c r="R229" i="6" s="1"/>
  <c r="Q212" i="6"/>
  <c r="R212" i="6" s="1"/>
  <c r="Q169" i="6"/>
  <c r="R169" i="6" s="1"/>
  <c r="Q211" i="6"/>
  <c r="R211" i="6" s="1"/>
  <c r="Q182" i="6"/>
  <c r="R182" i="6" s="1"/>
  <c r="Q75" i="6"/>
  <c r="R75" i="6" s="1"/>
  <c r="Q220" i="6"/>
  <c r="R220" i="6" s="1"/>
  <c r="Q130" i="6"/>
  <c r="R130" i="6" s="1"/>
  <c r="E100" i="1"/>
  <c r="F148" i="5" s="1"/>
  <c r="E98" i="1"/>
  <c r="F144" i="5" s="1"/>
  <c r="E96" i="1"/>
  <c r="F140" i="5" s="1"/>
  <c r="E94" i="1"/>
  <c r="F136" i="5" s="1"/>
  <c r="E92" i="1"/>
  <c r="F132" i="5" s="1"/>
  <c r="E90" i="1"/>
  <c r="F128" i="5" s="1"/>
  <c r="E88" i="1"/>
  <c r="F124" i="5" s="1"/>
  <c r="E86" i="1"/>
  <c r="F120" i="5" s="1"/>
  <c r="E84" i="1"/>
  <c r="F116" i="5" s="1"/>
  <c r="E82" i="1"/>
  <c r="F150" i="5" s="1"/>
  <c r="E81" i="1"/>
  <c r="F112" i="5" s="1"/>
  <c r="E93" i="1"/>
  <c r="F134" i="5" s="1"/>
  <c r="E105" i="1"/>
  <c r="F119" i="5" s="1"/>
  <c r="Q254" i="6"/>
  <c r="R254" i="6" s="1"/>
  <c r="Q190" i="6"/>
  <c r="R190" i="6" s="1"/>
  <c r="Q206" i="6"/>
  <c r="R206" i="6" s="1"/>
  <c r="Q163" i="6"/>
  <c r="R163" i="6" s="1"/>
  <c r="Q151" i="6"/>
  <c r="R151" i="6" s="1"/>
  <c r="Q312" i="6"/>
  <c r="R312" i="6" s="1"/>
  <c r="Q303" i="6"/>
  <c r="R303" i="6" s="1"/>
  <c r="Q299" i="6"/>
  <c r="R299" i="6" s="1"/>
  <c r="Q272" i="6"/>
  <c r="R272" i="6" s="1"/>
  <c r="Q239" i="6"/>
  <c r="R239" i="6" s="1"/>
  <c r="Q232" i="6"/>
  <c r="R232" i="6" s="1"/>
  <c r="Q228" i="6"/>
  <c r="R228" i="6" s="1"/>
  <c r="Q192" i="6"/>
  <c r="R192" i="6" s="1"/>
  <c r="Q178" i="6"/>
  <c r="R178" i="6" s="1"/>
  <c r="Q298" i="6"/>
  <c r="R298" i="6" s="1"/>
  <c r="Q289" i="6"/>
  <c r="R289" i="6" s="1"/>
  <c r="Q217" i="6"/>
  <c r="R217" i="6" s="1"/>
  <c r="Q315" i="6"/>
  <c r="R315" i="6" s="1"/>
  <c r="Q302" i="6"/>
  <c r="R302" i="6" s="1"/>
  <c r="Q293" i="6"/>
  <c r="R293" i="6" s="1"/>
  <c r="Q284" i="6"/>
  <c r="R284" i="6" s="1"/>
  <c r="Q309" i="6"/>
  <c r="R309" i="6" s="1"/>
  <c r="Q273" i="6"/>
  <c r="R273" i="6" s="1"/>
  <c r="Q255" i="6"/>
  <c r="R255" i="6" s="1"/>
  <c r="Q208" i="6"/>
  <c r="R208" i="6" s="1"/>
  <c r="Q286" i="6"/>
  <c r="R286" i="6" s="1"/>
  <c r="Q234" i="6"/>
  <c r="R234" i="6" s="1"/>
  <c r="Q177" i="6"/>
  <c r="R177" i="6" s="1"/>
  <c r="Q191" i="6"/>
  <c r="R191" i="6" s="1"/>
  <c r="Q153" i="6"/>
  <c r="R153" i="6" s="1"/>
  <c r="Q319" i="6"/>
  <c r="R319" i="6" s="1"/>
  <c r="Q165" i="6"/>
  <c r="R165" i="6" s="1"/>
  <c r="Q207" i="6"/>
  <c r="R207" i="6" s="1"/>
  <c r="Q164" i="6"/>
  <c r="R164" i="6" s="1"/>
  <c r="Q137" i="6"/>
  <c r="R137" i="6" s="1"/>
  <c r="Q257" i="6"/>
  <c r="R257" i="6" s="1"/>
  <c r="Q142" i="6"/>
  <c r="R142" i="6" s="1"/>
  <c r="Q79" i="6"/>
  <c r="R79" i="6" s="1"/>
  <c r="Q251" i="6"/>
  <c r="R251" i="6" s="1"/>
  <c r="Q141" i="6"/>
  <c r="R141" i="6" s="1"/>
  <c r="Q81" i="6"/>
  <c r="R81" i="6" s="1"/>
  <c r="E120" i="1"/>
  <c r="F149" i="5" s="1"/>
  <c r="E118" i="1"/>
  <c r="F145" i="5" s="1"/>
  <c r="E116" i="1"/>
  <c r="F141" i="5" s="1"/>
  <c r="E114" i="1"/>
  <c r="F137" i="5" s="1"/>
  <c r="E112" i="1"/>
  <c r="F133" i="5" s="1"/>
  <c r="E110" i="1"/>
  <c r="F129" i="5" s="1"/>
  <c r="E108" i="1"/>
  <c r="F125" i="5" s="1"/>
  <c r="E106" i="1"/>
  <c r="F121" i="5" s="1"/>
  <c r="E104" i="1"/>
  <c r="F117" i="5" s="1"/>
  <c r="E102" i="1"/>
  <c r="F151" i="5" s="1"/>
  <c r="E80" i="1"/>
  <c r="F108" i="5" s="1"/>
  <c r="E78" i="1"/>
  <c r="F104" i="5" s="1"/>
  <c r="E76" i="1"/>
  <c r="F100" i="5" s="1"/>
  <c r="E74" i="1"/>
  <c r="F88" i="5" s="1"/>
  <c r="E72" i="1"/>
  <c r="F94" i="5" s="1"/>
  <c r="E20" i="1"/>
  <c r="F39" i="5" s="1"/>
  <c r="E26" i="1"/>
  <c r="F51" i="5" s="1"/>
  <c r="E32" i="1"/>
  <c r="F63" i="5" s="1"/>
  <c r="E38" i="1"/>
  <c r="F38" i="5" s="1"/>
  <c r="E44" i="1"/>
  <c r="F46" i="5" s="1"/>
  <c r="E50" i="1"/>
  <c r="F58" i="5" s="1"/>
  <c r="E58" i="1"/>
  <c r="F74" i="5" s="1"/>
  <c r="E77" i="1"/>
  <c r="F102" i="5" s="1"/>
  <c r="E113" i="1"/>
  <c r="F135" i="5" s="1"/>
  <c r="Q248" i="6"/>
  <c r="R248" i="6" s="1"/>
  <c r="E75" i="1"/>
  <c r="F98" i="5" s="1"/>
  <c r="E87" i="1"/>
  <c r="F122" i="5" s="1"/>
  <c r="E99" i="1"/>
  <c r="F146" i="5" s="1"/>
  <c r="E111" i="1"/>
  <c r="F131" i="5" s="1"/>
  <c r="Q157" i="6"/>
  <c r="R157" i="6" s="1"/>
  <c r="Q181" i="6"/>
  <c r="R181" i="6" s="1"/>
  <c r="Q265" i="6"/>
  <c r="R265" i="6" s="1"/>
  <c r="Q335" i="6"/>
  <c r="R335" i="6" s="1"/>
  <c r="Q262" i="6"/>
  <c r="R262" i="6" s="1"/>
  <c r="Q341" i="6"/>
  <c r="R341" i="6" s="1"/>
  <c r="Q245" i="6"/>
  <c r="R245" i="6" s="1"/>
  <c r="E18" i="1"/>
  <c r="F75" i="5" s="1"/>
  <c r="E24" i="1"/>
  <c r="F47" i="5" s="1"/>
  <c r="E30" i="1"/>
  <c r="F59" i="5" s="1"/>
  <c r="E36" i="1"/>
  <c r="F71" i="5" s="1"/>
  <c r="E42" i="1"/>
  <c r="F42" i="5" s="1"/>
  <c r="E48" i="1"/>
  <c r="F54" i="5" s="1"/>
  <c r="E54" i="1"/>
  <c r="F66" i="5" s="1"/>
  <c r="E60" i="1"/>
  <c r="F91" i="5" s="1"/>
  <c r="E64" i="1"/>
  <c r="F97" i="5" s="1"/>
  <c r="E68" i="1"/>
  <c r="F105" i="5" s="1"/>
  <c r="E101" i="1"/>
  <c r="F113" i="5" s="1"/>
  <c r="E142" i="1"/>
  <c r="F26" i="5" s="1"/>
  <c r="E140" i="1"/>
  <c r="F24" i="5" s="1"/>
  <c r="E138" i="1"/>
  <c r="F22" i="5" s="1"/>
  <c r="E136" i="1"/>
  <c r="F20" i="5" s="1"/>
  <c r="E134" i="1"/>
  <c r="F18" i="5" s="1"/>
  <c r="E132" i="1"/>
  <c r="F16" i="5" s="1"/>
  <c r="E130" i="1"/>
  <c r="F14" i="5" s="1"/>
  <c r="E128" i="1"/>
  <c r="F12" i="5" s="1"/>
  <c r="E126" i="1"/>
  <c r="F10" i="5" s="1"/>
  <c r="E124" i="1"/>
  <c r="F8" i="5" s="1"/>
  <c r="E122" i="1"/>
  <c r="F6" i="5" s="1"/>
  <c r="E73" i="1"/>
  <c r="F96" i="5" s="1"/>
  <c r="E85" i="1"/>
  <c r="F118" i="5" s="1"/>
  <c r="E97" i="1"/>
  <c r="F142" i="5" s="1"/>
  <c r="E109" i="1"/>
  <c r="F127" i="5" s="1"/>
  <c r="Q210" i="6"/>
  <c r="R210" i="6" s="1"/>
  <c r="Q167" i="6"/>
  <c r="R167" i="6" s="1"/>
  <c r="Q194" i="6"/>
  <c r="R194" i="6" s="1"/>
  <c r="Q155" i="6"/>
  <c r="R155" i="6" s="1"/>
  <c r="Q339" i="6"/>
  <c r="R339" i="6" s="1"/>
  <c r="Q333" i="6"/>
  <c r="R333" i="6" s="1"/>
  <c r="Q336" i="6"/>
  <c r="R336" i="6" s="1"/>
  <c r="Q285" i="6"/>
  <c r="R285" i="6" s="1"/>
  <c r="Q214" i="6"/>
  <c r="R214" i="6" s="1"/>
  <c r="Q271" i="6"/>
  <c r="R271" i="6" s="1"/>
  <c r="Q297" i="6"/>
  <c r="R297" i="6" s="1"/>
  <c r="Q288" i="6"/>
  <c r="R288" i="6" s="1"/>
  <c r="Q233" i="6"/>
  <c r="R233" i="6" s="1"/>
  <c r="Q235" i="6"/>
  <c r="R235" i="6" s="1"/>
  <c r="Q240" i="6"/>
  <c r="R240" i="6" s="1"/>
  <c r="Q82" i="6"/>
  <c r="R82" i="6" s="1"/>
  <c r="Q143" i="6"/>
  <c r="R143" i="6" s="1"/>
  <c r="Q249" i="6"/>
  <c r="R249" i="6" s="1"/>
  <c r="Q327" i="6"/>
  <c r="R327" i="6" s="1"/>
  <c r="Q278" i="6"/>
  <c r="R278" i="6" s="1"/>
  <c r="Q268" i="6"/>
  <c r="R268" i="6" s="1"/>
  <c r="Q225" i="6"/>
  <c r="R225" i="6" s="1"/>
  <c r="Q334" i="6"/>
  <c r="R334" i="6" s="1"/>
  <c r="Q338" i="6"/>
  <c r="R338" i="6" s="1"/>
  <c r="Q332" i="6"/>
  <c r="R332" i="6" s="1"/>
  <c r="Q244" i="6"/>
  <c r="R244" i="6" s="1"/>
  <c r="Q340" i="6"/>
  <c r="R340" i="6" s="1"/>
  <c r="Q261" i="6"/>
  <c r="R261" i="6" s="1"/>
  <c r="Q237" i="6"/>
  <c r="R237" i="6" s="1"/>
  <c r="Q266" i="6"/>
  <c r="R266" i="6" s="1"/>
  <c r="Q301" i="6"/>
  <c r="R301" i="6" s="1"/>
  <c r="Q270" i="6"/>
  <c r="R270" i="6" s="1"/>
  <c r="Q292" i="6"/>
  <c r="R292" i="6" s="1"/>
  <c r="R346" i="6" l="1"/>
</calcChain>
</file>

<file path=xl/sharedStrings.xml><?xml version="1.0" encoding="utf-8"?>
<sst xmlns="http://schemas.openxmlformats.org/spreadsheetml/2006/main" count="3522" uniqueCount="525">
  <si>
    <t>SCHEDA STRUTTURA — parametri peso e costo di acquisto/zincatura (compilare kg/m, % zincatura, €/kg acquisto e €/kg zincatura)</t>
  </si>
  <si>
    <t>Blocco 'Profili': travi IPE/IPEA, assi di rotazione, omega, staffe supporto pannello (supporto a L/V, gaffa) e gaffa giunzione asse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</si>
  <si>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</si>
  <si>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</si>
  <si>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</si>
  <si>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</si>
  <si>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</si>
  <si>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</si>
  <si>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</si>
  <si>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</si>
  <si>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</si>
  <si>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</si>
  <si>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OMEGA 2,0</t>
  </si>
  <si>
    <t>OMEGA 1,8</t>
  </si>
  <si>
    <t>SUPPORTO L</t>
  </si>
  <si>
    <t>SUPPORTO V</t>
  </si>
  <si>
    <t>GAFFA</t>
  </si>
  <si>
    <t>GAFFA GIUNZIONE ASSE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</si>
  <si>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</si>
  <si>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</si>
  <si>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</si>
  <si>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</si>
  <si>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</si>
  <si>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</si>
  <si>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</si>
  <si>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</si>
  <si>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</si>
  <si>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</si>
  <si>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</si>
  <si>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</si>
  <si>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</si>
  <si>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</si>
  <si>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</si>
  <si>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</si>
  <si>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</si>
  <si>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</si>
  <si>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</si>
  <si>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</si>
  <si>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</si>
  <si>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</si>
  <si>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</si>
  <si>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</si>
  <si>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</si>
  <si>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</si>
  <si>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</si>
  <si>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</si>
  <si>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</si>
  <si>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</si>
  <si>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</si>
  <si>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</si>
  <si>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</si>
  <si>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</si>
  <si>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</si>
  <si>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</si>
  <si>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</si>
  <si>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</si>
  <si>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</si>
  <si>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</si>
  <si>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</si>
  <si>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</si>
  <si>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</si>
  <si>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</si>
  <si>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</si>
  <si>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</si>
  <si>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</si>
  <si>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</si>
  <si>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</si>
  <si>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</si>
  <si>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</si>
  <si>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</si>
  <si>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</si>
  <si>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</si>
  <si>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</si>
  <si>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</si>
  <si>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</si>
  <si>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</si>
  <si>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</si>
  <si>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</si>
  <si>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</si>
  <si>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</si>
  <si>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</si>
  <si>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</si>
  <si>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</si>
  <si>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</si>
  <si>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</si>
  <si>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</si>
  <si>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</si>
  <si>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</si>
  <si>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</si>
  <si>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</si>
  <si>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</si>
  <si>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</si>
  <si>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</si>
  <si>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</si>
  <si>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</si>
  <si>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</si>
  <si>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</si>
  <si>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</si>
  <si>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</si>
  <si>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</si>
  <si>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</si>
  <si>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</si>
  <si>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</si>
  <si>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</si>
  <si>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</si>
  <si>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</si>
  <si>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</si>
  <si>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</si>
  <si>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</si>
  <si>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</si>
  <si>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</si>
  <si>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</si>
  <si>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</si>
  <si>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</si>
  <si>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</si>
  <si>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</si>
  <si>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</si>
  <si>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</si>
  <si>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</si>
  <si>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</si>
  <si>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</si>
  <si>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</si>
  <si>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</si>
  <si>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</si>
  <si>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</si>
  <si>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</si>
  <si>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</si>
  <si>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</si>
  <si>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</si>
  <si>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</si>
  <si>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</si>
  <si>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</si>
  <si>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</si>
  <si>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</si>
  <si>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</si>
  <si>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</si>
  <si>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</si>
  <si>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</si>
  <si>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</si>
  <si>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</si>
  <si>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</si>
  <si>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</si>
  <si>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</si>
  <si>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</si>
  <si>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</si>
  <si>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</si>
  <si>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</si>
  <si>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</si>
  <si>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</si>
  <si>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</si>
  <si>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</si>
  <si>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</si>
  <si>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</si>
  <si>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</si>
  <si>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</si>
  <si>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</si>
  <si>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</si>
  <si>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</si>
  <si>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</si>
  <si>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</si>
  <si>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</si>
  <si>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</si>
  <si>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</si>
  <si>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</si>
  <si>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</si>
  <si>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</si>
  <si>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</si>
  <si>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</si>
  <si>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</si>
  <si>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</si>
  <si>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</si>
  <si>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</si>
  <si>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</si>
  <si>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</si>
  <si>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</si>
  <si>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</si>
  <si>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</si>
  <si>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</si>
  <si>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</si>
  <si>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</si>
  <si>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</si>
  <si>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</si>
  <si>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</si>
  <si>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</si>
  <si>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</si>
  <si>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</si>
  <si>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</si>
  <si>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</si>
  <si>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</si>
  <si>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</si>
  <si>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</si>
  <si>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</si>
  <si>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</si>
  <si>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</si>
  <si>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</si>
  <si>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</si>
  <si>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</si>
  <si>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</si>
  <si>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</si>
  <si>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</si>
  <si>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</si>
  <si>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</si>
  <si>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</si>
  <si>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</si>
  <si>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</si>
  <si>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</si>
  <si>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</si>
  <si>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</si>
  <si>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</si>
  <si>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</si>
  <si>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</si>
  <si>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</si>
  <si>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</si>
  <si>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</si>
  <si>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</si>
  <si>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</si>
  <si>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</si>
  <si>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</si>
  <si>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</si>
  <si>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</si>
  <si>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</si>
  <si>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</si>
  <si>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</si>
  <si>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</si>
  <si>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</si>
  <si>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</si>
  <si>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</si>
  <si>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</si>
  <si>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</si>
  <si>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</si>
  <si>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</si>
  <si>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</si>
  <si>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</si>
  <si>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</si>
  <si>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</si>
  <si>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</si>
  <si>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</si>
  <si>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</si>
  <si>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</si>
  <si>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</si>
  <si>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</si>
  <si>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</si>
  <si>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</si>
  <si>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</si>
  <si>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</si>
  <si>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</si>
  <si>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</si>
  <si>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</si>
  <si>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</si>
  <si>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</si>
  <si>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</si>
  <si>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</si>
  <si>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</si>
  <si>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</si>
  <si>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</si>
  <si>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</si>
  <si>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</si>
  <si>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</si>
  <si>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</si>
  <si>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</si>
  <si>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</si>
  <si>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</si>
  <si>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</si>
  <si>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</si>
  <si>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</si>
  <si>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</si>
  <si>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</si>
  <si>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</si>
  <si>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</si>
  <si>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</si>
  <si>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</si>
  <si>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</si>
  <si>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</si>
  <si>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</si>
  <si>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</si>
  <si>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</si>
  <si>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</si>
  <si>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</si>
  <si>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</si>
  <si>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</si>
  <si>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</si>
  <si>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</si>
  <si>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</si>
  <si>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</si>
  <si>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TTS.AR.2011</t>
  </si>
  <si>
    <t>Gaffa giunzione asse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</si>
  <si>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</si>
  <si>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</si>
  <si>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</si>
  <si>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</si>
  <si>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</si>
  <si>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</si>
  <si>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</si>
  <si>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</si>
  <si>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</si>
  <si>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</si>
  <si>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</si>
  <si>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</si>
  <si>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</si>
  <si>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</si>
  <si>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</si>
  <si>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</si>
  <si>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</si>
  <si>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</si>
  <si>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</si>
  <si>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</si>
  <si>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</si>
  <si>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</si>
  <si>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</si>
  <si>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</si>
  <si>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</si>
  <si>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</si>
  <si>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</si>
  <si>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</si>
  <si>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</si>
  <si>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</si>
  <si>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</si>
  <si>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</si>
  <si>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</si>
  <si>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</si>
  <si>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</si>
  <si>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</si>
  <si>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</si>
  <si>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</si>
  <si>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</si>
  <si>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</si>
  <si>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</si>
  <si>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</si>
  <si>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</si>
  <si>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</si>
  <si>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</si>
  <si>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</si>
  <si>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</si>
  <si>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</si>
  <si>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</si>
  <si>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</si>
  <si>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</si>
  <si>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</si>
  <si>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</si>
  <si>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</si>
  <si>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</si>
  <si>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</si>
  <si>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</si>
  <si>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</si>
  <si>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</si>
  <si>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</si>
  <si>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</si>
  <si>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</si>
  <si>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</si>
  <si>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</si>
  <si>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</si>
  <si>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</si>
  <si>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</si>
  <si>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</si>
  <si>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</si>
  <si>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</si>
  <si>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</si>
  <si>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</si>
  <si>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</si>
  <si>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</si>
  <si>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</si>
  <si>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</si>
  <si>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</si>
  <si>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</si>
  <si>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</si>
  <si>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</si>
  <si>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</si>
  <si>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</si>
  <si>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</si>
  <si>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</si>
  <si>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</si>
  <si>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</si>
  <si>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</si>
  <si>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</si>
  <si>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</si>
  <si>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</si>
  <si>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</si>
  <si>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</si>
  <si>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</si>
  <si>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</si>
  <si>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</si>
  <si>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</si>
  <si>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</si>
  <si>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</si>
  <si>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</si>
  <si>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</si>
  <si>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</si>
  <si>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</si>
  <si>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</si>
  <si>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</si>
  <si>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</si>
  <si>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</si>
  <si>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</si>
  <si>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</si>
  <si>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</si>
  <si>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</si>
  <si>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</si>
  <si>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</si>
  <si>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</si>
  <si>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</si>
  <si>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</si>
  <si>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</si>
  <si>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</si>
  <si>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</si>
  <si>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</si>
  <si>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</si>
  <si>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</si>
  <si>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</si>
  <si>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</si>
  <si>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</si>
  <si>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</si>
  <si>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</si>
  <si>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</si>
  <si>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</si>
  <si>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</si>
  <si>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</si>
  <si>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</si>
  <si>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</si>
  <si>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</si>
  <si>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</si>
  <si>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</si>
  <si>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</si>
  <si>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</si>
  <si>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</si>
  <si>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</si>
  <si>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</si>
  <si>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</si>
  <si>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</si>
  <si>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</si>
  <si>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</si>
  <si>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</si>
  <si>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</si>
  <si>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</si>
  <si>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</si>
  <si>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</si>
  <si>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</si>
  <si>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</si>
  <si>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</si>
  <si>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</si>
  <si>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TTS.AR.3014.18</t>
  </si>
  <si>
    <t>Omega supporto pannello mm1,8</t>
  </si>
  <si>
    <t>KIT INCLINOMETRO</t>
  </si>
  <si>
    <t>KIT FINE CORSA</t>
  </si>
  <si>
    <t>PILASTRO CUSCINETTO</t>
  </si>
  <si>
    <t>kit quadri inverter</t>
  </si>
  <si>
    <t>kit quadri area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</si>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</sst>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workbookViewId="0">
      <pane ySplit="16" topLeftCell="A140" activePane="bottomLeft" state="frozen"/>
      <selection pane="bottomLeft" activeCell="D148" sqref="D148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0</v>
      </c>
    </row>
    <row r="2" spans="1:7" x14ac:dyDescent="0.3">
      <c r="A2" t="s">
        <v>1</v>
      </c>
    </row>
    <row r="4" spans="1:7" ht="27.6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/>
      <c r="D5" s="18">
        <f t="shared" ref="D5:D14" si="0">IF(ISNUMBER($B5),$B5*(1+IF(ISNUMBER($C5),$C5,0)),"")</f>
        <v>12.9</v>
      </c>
      <c r="E5" s="21"/>
      <c r="F5" s="21"/>
    </row>
    <row r="6" spans="1:7" x14ac:dyDescent="0.3">
      <c r="A6" t="s">
        <v>9</v>
      </c>
      <c r="B6" s="16">
        <v>10.9</v>
      </c>
      <c r="C6" s="17"/>
      <c r="D6" s="18">
        <f t="shared" si="0"/>
        <v>10.9</v>
      </c>
      <c r="E6" s="21"/>
      <c r="F6" s="21"/>
    </row>
    <row r="7" spans="1:7" x14ac:dyDescent="0.3">
      <c r="A7" t="s">
        <v>10</v>
      </c>
      <c r="B7" s="16">
        <v>11.8</v>
      </c>
      <c r="C7" s="17"/>
      <c r="D7" s="18">
        <f t="shared" si="0"/>
        <v>11.8</v>
      </c>
      <c r="E7" s="21"/>
      <c r="F7" s="21"/>
    </row>
    <row r="8" spans="1:7" x14ac:dyDescent="0.3">
      <c r="A8" t="s">
        <v>11</v>
      </c>
      <c r="B8" s="16">
        <v>9.1999999999999993</v>
      </c>
      <c r="C8" s="17"/>
      <c r="D8" s="18">
        <f t="shared" si="0"/>
        <v>9.1999999999999993</v>
      </c>
      <c r="E8" s="21"/>
      <c r="F8" s="21"/>
    </row>
    <row r="9" spans="1:7" x14ac:dyDescent="0.3">
      <c r="A9" t="s">
        <v>12</v>
      </c>
      <c r="B9" s="16">
        <v>3.9</v>
      </c>
      <c r="C9" s="17"/>
      <c r="D9" s="18">
        <f t="shared" si="0"/>
        <v>3.9</v>
      </c>
      <c r="E9" s="21"/>
      <c r="F9" s="21"/>
    </row>
    <row r="10" spans="1:7" x14ac:dyDescent="0.3">
      <c r="A10" t="s">
        <v>13</v>
      </c>
      <c r="B10" s="16">
        <v>3.51</v>
      </c>
      <c r="C10" s="17"/>
      <c r="D10" s="18">
        <f t="shared" si="0"/>
        <v>3.51</v>
      </c>
      <c r="E10" s="21"/>
      <c r="F10" s="21"/>
    </row>
    <row r="11" spans="1:7" x14ac:dyDescent="0.3">
      <c r="A11" t="s">
        <v>14</v>
      </c>
      <c r="B11" s="16">
        <v>1.36</v>
      </c>
      <c r="C11" s="17"/>
      <c r="D11" s="18">
        <f t="shared" si="0"/>
        <v>1.36</v>
      </c>
      <c r="E11" s="21"/>
      <c r="F11" s="21"/>
    </row>
    <row r="12" spans="1:7" x14ac:dyDescent="0.3">
      <c r="A12" t="s">
        <v>15</v>
      </c>
      <c r="B12" s="16">
        <v>0.41</v>
      </c>
      <c r="C12" s="17"/>
      <c r="D12" s="18">
        <f t="shared" si="0"/>
        <v>0.41</v>
      </c>
      <c r="E12" s="21"/>
      <c r="F12" s="21"/>
    </row>
    <row r="13" spans="1:7" x14ac:dyDescent="0.3">
      <c r="A13" t="s">
        <v>16</v>
      </c>
      <c r="B13" s="16">
        <v>1.28</v>
      </c>
      <c r="C13" s="17"/>
      <c r="D13" s="18">
        <f t="shared" si="0"/>
        <v>1.28</v>
      </c>
      <c r="E13" s="21"/>
      <c r="F13" s="21"/>
    </row>
    <row r="14" spans="1:7" x14ac:dyDescent="0.3">
      <c r="A14" t="s">
        <v>17</v>
      </c>
      <c r="B14" s="16">
        <v>5.07</v>
      </c>
      <c r="C14" s="17"/>
      <c r="D14" s="18">
        <f t="shared" si="0"/>
        <v>5.07</v>
      </c>
      <c r="E14" s="21"/>
      <c r="F14" s="21"/>
    </row>
    <row r="15" spans="1:7" x14ac:dyDescent="0.3">
      <c r="B15" s="18"/>
      <c r="C15" s="17"/>
      <c r="D15" s="18"/>
      <c r="E15" s="21"/>
      <c r="F15" s="21"/>
    </row>
    <row r="16" spans="1:7" x14ac:dyDescent="0.3">
      <c r="A16" s="10" t="s">
        <v>18</v>
      </c>
      <c r="B16" s="10" t="s">
        <v>19</v>
      </c>
      <c r="C16" s="10" t="s">
        <v>2</v>
      </c>
      <c r="D16" s="10" t="s">
        <v>20</v>
      </c>
      <c r="E16" s="10" t="s">
        <v>21</v>
      </c>
      <c r="F16" s="10" t="s">
        <v>22</v>
      </c>
      <c r="G16" s="10" t="s">
        <v>23</v>
      </c>
    </row>
    <row r="17" spans="1:7" x14ac:dyDescent="0.3">
      <c r="A17" t="s">
        <v>24</v>
      </c>
      <c r="B17" t="s">
        <v>25</v>
      </c>
      <c r="C17" s="13" t="s">
        <v>8</v>
      </c>
      <c r="D17" s="19">
        <v>2.2999999999999998</v>
      </c>
      <c r="E17" s="20">
        <f t="shared" ref="E17:E48" si="1">IF(AND(ISNUMBER($D17),ISNUMBER(VLOOKUP($C17,$A$5:$F$14,4,FALSE))),$D17*VLOOKUP($C17,$A$5:$F$14,4,FALSE),"")</f>
        <v>29.669999999999998</v>
      </c>
      <c r="F17" s="12" t="str">
        <f t="shared" ref="F17:F48" si="2">IF(AND(ISNUMBER($D17),ISNUMBER(VLOOKUP($C17,$A$5:$F$14,2,FALSE)),ISNUMBER(VLOOKUP($C17,$A$5:$F$14,5,FALSE))),$D17*VLOOKUP($C17,$A$5:$F$14,2,FALSE)*VLOOKUP($C17,$A$5:$F$14,5,FALSE),"")</f>
        <v/>
      </c>
      <c r="G17" s="12" t="str">
        <f t="shared" ref="G17:G48" si="3"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/>
      </c>
    </row>
    <row r="18" spans="1:7" x14ac:dyDescent="0.3">
      <c r="A18" t="s">
        <v>26</v>
      </c>
      <c r="B18" t="s">
        <v>27</v>
      </c>
      <c r="C18" s="13" t="s">
        <v>8</v>
      </c>
      <c r="D18" s="19">
        <v>2.2999999999999998</v>
      </c>
      <c r="E18" s="20">
        <f t="shared" si="1"/>
        <v>29.669999999999998</v>
      </c>
      <c r="F18" s="12" t="str">
        <f t="shared" si="2"/>
        <v/>
      </c>
      <c r="G18" s="12" t="str">
        <f t="shared" si="3"/>
        <v/>
      </c>
    </row>
    <row r="19" spans="1:7" x14ac:dyDescent="0.3">
      <c r="A19" t="s">
        <v>28</v>
      </c>
      <c r="B19" t="s">
        <v>29</v>
      </c>
      <c r="C19" s="13" t="s">
        <v>8</v>
      </c>
      <c r="D19" s="19">
        <v>2.2999999999999998</v>
      </c>
      <c r="E19" s="20">
        <f t="shared" si="1"/>
        <v>29.669999999999998</v>
      </c>
      <c r="F19" s="12" t="str">
        <f t="shared" si="2"/>
        <v/>
      </c>
      <c r="G19" s="12" t="str">
        <f t="shared" si="3"/>
        <v/>
      </c>
    </row>
    <row r="20" spans="1:7" x14ac:dyDescent="0.3">
      <c r="A20" t="s">
        <v>30</v>
      </c>
      <c r="B20" t="s">
        <v>31</v>
      </c>
      <c r="C20" s="13" t="s">
        <v>8</v>
      </c>
      <c r="D20" s="19">
        <v>2.8</v>
      </c>
      <c r="E20" s="20">
        <f t="shared" si="1"/>
        <v>36.119999999999997</v>
      </c>
      <c r="F20" s="12" t="str">
        <f t="shared" si="2"/>
        <v/>
      </c>
      <c r="G20" s="12" t="str">
        <f t="shared" si="3"/>
        <v/>
      </c>
    </row>
    <row r="21" spans="1:7" x14ac:dyDescent="0.3">
      <c r="A21" t="s">
        <v>32</v>
      </c>
      <c r="B21" t="s">
        <v>33</v>
      </c>
      <c r="C21" s="13" t="s">
        <v>8</v>
      </c>
      <c r="D21" s="19">
        <v>2.9</v>
      </c>
      <c r="E21" s="20">
        <f t="shared" si="1"/>
        <v>37.409999999999997</v>
      </c>
      <c r="F21" s="12" t="str">
        <f t="shared" si="2"/>
        <v/>
      </c>
      <c r="G21" s="12" t="str">
        <f t="shared" si="3"/>
        <v/>
      </c>
    </row>
    <row r="22" spans="1:7" x14ac:dyDescent="0.3">
      <c r="A22" t="s">
        <v>34</v>
      </c>
      <c r="B22" t="s">
        <v>35</v>
      </c>
      <c r="C22" s="13" t="s">
        <v>8</v>
      </c>
      <c r="D22" s="19">
        <v>3</v>
      </c>
      <c r="E22" s="20">
        <f t="shared" si="1"/>
        <v>38.700000000000003</v>
      </c>
      <c r="F22" s="12" t="str">
        <f t="shared" si="2"/>
        <v/>
      </c>
      <c r="G22" s="12" t="str">
        <f t="shared" si="3"/>
        <v/>
      </c>
    </row>
    <row r="23" spans="1:7" x14ac:dyDescent="0.3">
      <c r="A23" t="s">
        <v>36</v>
      </c>
      <c r="B23" t="s">
        <v>37</v>
      </c>
      <c r="C23" s="13" t="s">
        <v>8</v>
      </c>
      <c r="D23" s="19">
        <v>3.1</v>
      </c>
      <c r="E23" s="20">
        <f t="shared" si="1"/>
        <v>39.99</v>
      </c>
      <c r="F23" s="12" t="str">
        <f t="shared" si="2"/>
        <v/>
      </c>
      <c r="G23" s="12" t="str">
        <f t="shared" si="3"/>
        <v/>
      </c>
    </row>
    <row r="24" spans="1:7" x14ac:dyDescent="0.3">
      <c r="A24" t="s">
        <v>38</v>
      </c>
      <c r="B24" t="s">
        <v>39</v>
      </c>
      <c r="C24" s="13" t="s">
        <v>8</v>
      </c>
      <c r="D24" s="19">
        <v>3.2</v>
      </c>
      <c r="E24" s="20">
        <f t="shared" si="1"/>
        <v>41.28</v>
      </c>
      <c r="F24" s="12" t="str">
        <f t="shared" si="2"/>
        <v/>
      </c>
      <c r="G24" s="12" t="str">
        <f t="shared" si="3"/>
        <v/>
      </c>
    </row>
    <row r="25" spans="1:7" x14ac:dyDescent="0.3">
      <c r="A25" t="s">
        <v>40</v>
      </c>
      <c r="B25" t="s">
        <v>41</v>
      </c>
      <c r="C25" s="13" t="s">
        <v>8</v>
      </c>
      <c r="D25" s="19">
        <v>3.3</v>
      </c>
      <c r="E25" s="20">
        <f t="shared" si="1"/>
        <v>42.57</v>
      </c>
      <c r="F25" s="12" t="str">
        <f t="shared" si="2"/>
        <v/>
      </c>
      <c r="G25" s="12" t="str">
        <f t="shared" si="3"/>
        <v/>
      </c>
    </row>
    <row r="26" spans="1:7" x14ac:dyDescent="0.3">
      <c r="A26" t="s">
        <v>42</v>
      </c>
      <c r="B26" t="s">
        <v>43</v>
      </c>
      <c r="C26" s="13" t="s">
        <v>8</v>
      </c>
      <c r="D26" s="19">
        <v>3.4</v>
      </c>
      <c r="E26" s="20">
        <f t="shared" si="1"/>
        <v>43.86</v>
      </c>
      <c r="F26" s="12" t="str">
        <f t="shared" si="2"/>
        <v/>
      </c>
      <c r="G26" s="12" t="str">
        <f t="shared" si="3"/>
        <v/>
      </c>
    </row>
    <row r="27" spans="1:7" x14ac:dyDescent="0.3">
      <c r="A27" t="s">
        <v>44</v>
      </c>
      <c r="B27" t="s">
        <v>45</v>
      </c>
      <c r="C27" s="13" t="s">
        <v>8</v>
      </c>
      <c r="D27" s="19">
        <v>3.5</v>
      </c>
      <c r="E27" s="20">
        <f t="shared" si="1"/>
        <v>45.15</v>
      </c>
      <c r="F27" s="12" t="str">
        <f t="shared" si="2"/>
        <v/>
      </c>
      <c r="G27" s="12" t="str">
        <f t="shared" si="3"/>
        <v/>
      </c>
    </row>
    <row r="28" spans="1:7" x14ac:dyDescent="0.3">
      <c r="A28" t="s">
        <v>46</v>
      </c>
      <c r="B28" t="s">
        <v>47</v>
      </c>
      <c r="C28" s="13" t="s">
        <v>8</v>
      </c>
      <c r="D28" s="19">
        <v>3.6</v>
      </c>
      <c r="E28" s="20">
        <f t="shared" si="1"/>
        <v>46.440000000000005</v>
      </c>
      <c r="F28" s="12" t="str">
        <f t="shared" si="2"/>
        <v/>
      </c>
      <c r="G28" s="12" t="str">
        <f t="shared" si="3"/>
        <v/>
      </c>
    </row>
    <row r="29" spans="1:7" x14ac:dyDescent="0.3">
      <c r="A29" t="s">
        <v>48</v>
      </c>
      <c r="B29" t="s">
        <v>49</v>
      </c>
      <c r="C29" s="13" t="s">
        <v>8</v>
      </c>
      <c r="D29" s="19">
        <v>3.7</v>
      </c>
      <c r="E29" s="20">
        <f t="shared" si="1"/>
        <v>47.730000000000004</v>
      </c>
      <c r="F29" s="12" t="str">
        <f t="shared" si="2"/>
        <v/>
      </c>
      <c r="G29" s="12" t="str">
        <f t="shared" si="3"/>
        <v/>
      </c>
    </row>
    <row r="30" spans="1:7" x14ac:dyDescent="0.3">
      <c r="A30" t="s">
        <v>50</v>
      </c>
      <c r="B30" t="s">
        <v>51</v>
      </c>
      <c r="C30" s="13" t="s">
        <v>8</v>
      </c>
      <c r="D30" s="19">
        <v>3.8</v>
      </c>
      <c r="E30" s="20">
        <f t="shared" si="1"/>
        <v>49.019999999999996</v>
      </c>
      <c r="F30" s="12" t="str">
        <f t="shared" si="2"/>
        <v/>
      </c>
      <c r="G30" s="12" t="str">
        <f t="shared" si="3"/>
        <v/>
      </c>
    </row>
    <row r="31" spans="1:7" x14ac:dyDescent="0.3">
      <c r="A31" t="s">
        <v>52</v>
      </c>
      <c r="B31" t="s">
        <v>53</v>
      </c>
      <c r="C31" s="13" t="s">
        <v>8</v>
      </c>
      <c r="D31" s="19">
        <v>3.9</v>
      </c>
      <c r="E31" s="20">
        <f t="shared" si="1"/>
        <v>50.31</v>
      </c>
      <c r="F31" s="12" t="str">
        <f t="shared" si="2"/>
        <v/>
      </c>
      <c r="G31" s="12" t="str">
        <f t="shared" si="3"/>
        <v/>
      </c>
    </row>
    <row r="32" spans="1:7" x14ac:dyDescent="0.3">
      <c r="A32" t="s">
        <v>54</v>
      </c>
      <c r="B32" t="s">
        <v>55</v>
      </c>
      <c r="C32" s="13" t="s">
        <v>8</v>
      </c>
      <c r="D32" s="19">
        <v>4</v>
      </c>
      <c r="E32" s="20">
        <f t="shared" si="1"/>
        <v>51.6</v>
      </c>
      <c r="F32" s="12" t="str">
        <f t="shared" si="2"/>
        <v/>
      </c>
      <c r="G32" s="12" t="str">
        <f t="shared" si="3"/>
        <v/>
      </c>
    </row>
    <row r="33" spans="1:7" x14ac:dyDescent="0.3">
      <c r="A33" t="s">
        <v>56</v>
      </c>
      <c r="B33" t="s">
        <v>57</v>
      </c>
      <c r="C33" s="13" t="s">
        <v>8</v>
      </c>
      <c r="D33" s="19">
        <v>4.0999999999999996</v>
      </c>
      <c r="E33" s="20">
        <f t="shared" si="1"/>
        <v>52.889999999999993</v>
      </c>
      <c r="F33" s="12" t="str">
        <f t="shared" si="2"/>
        <v/>
      </c>
      <c r="G33" s="12" t="str">
        <f t="shared" si="3"/>
        <v/>
      </c>
    </row>
    <row r="34" spans="1:7" x14ac:dyDescent="0.3">
      <c r="A34" t="s">
        <v>58</v>
      </c>
      <c r="B34" t="s">
        <v>59</v>
      </c>
      <c r="C34" s="13" t="s">
        <v>8</v>
      </c>
      <c r="D34" s="19">
        <v>4.2</v>
      </c>
      <c r="E34" s="20">
        <f t="shared" si="1"/>
        <v>54.180000000000007</v>
      </c>
      <c r="F34" s="12" t="str">
        <f t="shared" si="2"/>
        <v/>
      </c>
      <c r="G34" s="12" t="str">
        <f t="shared" si="3"/>
        <v/>
      </c>
    </row>
    <row r="35" spans="1:7" x14ac:dyDescent="0.3">
      <c r="A35" t="s">
        <v>60</v>
      </c>
      <c r="B35" t="s">
        <v>61</v>
      </c>
      <c r="C35" s="13" t="s">
        <v>8</v>
      </c>
      <c r="D35" s="19">
        <v>4.3</v>
      </c>
      <c r="E35" s="20">
        <f t="shared" si="1"/>
        <v>55.47</v>
      </c>
      <c r="F35" s="12" t="str">
        <f t="shared" si="2"/>
        <v/>
      </c>
      <c r="G35" s="12" t="str">
        <f t="shared" si="3"/>
        <v/>
      </c>
    </row>
    <row r="36" spans="1:7" x14ac:dyDescent="0.3">
      <c r="A36" t="s">
        <v>62</v>
      </c>
      <c r="B36" t="s">
        <v>63</v>
      </c>
      <c r="C36" s="13" t="s">
        <v>8</v>
      </c>
      <c r="D36" s="19">
        <v>4.4000000000000004</v>
      </c>
      <c r="E36" s="20">
        <f t="shared" si="1"/>
        <v>56.760000000000005</v>
      </c>
      <c r="F36" s="12" t="str">
        <f t="shared" si="2"/>
        <v/>
      </c>
      <c r="G36" s="12" t="str">
        <f t="shared" si="3"/>
        <v/>
      </c>
    </row>
    <row r="37" spans="1:7" x14ac:dyDescent="0.3">
      <c r="A37" t="s">
        <v>64</v>
      </c>
      <c r="B37" t="s">
        <v>65</v>
      </c>
      <c r="C37" s="13" t="s">
        <v>8</v>
      </c>
      <c r="D37" s="19">
        <v>4.5</v>
      </c>
      <c r="E37" s="20">
        <f t="shared" si="1"/>
        <v>58.050000000000004</v>
      </c>
      <c r="F37" s="12" t="str">
        <f t="shared" si="2"/>
        <v/>
      </c>
      <c r="G37" s="12" t="str">
        <f t="shared" si="3"/>
        <v/>
      </c>
    </row>
    <row r="38" spans="1:7" x14ac:dyDescent="0.3">
      <c r="A38" t="s">
        <v>66</v>
      </c>
      <c r="B38" t="s">
        <v>67</v>
      </c>
      <c r="C38" s="13" t="s">
        <v>9</v>
      </c>
      <c r="D38" s="19">
        <v>2.2999999999999998</v>
      </c>
      <c r="E38" s="20">
        <f t="shared" si="1"/>
        <v>25.07</v>
      </c>
      <c r="F38" s="12" t="str">
        <f t="shared" si="2"/>
        <v/>
      </c>
      <c r="G38" s="12" t="str">
        <f t="shared" si="3"/>
        <v/>
      </c>
    </row>
    <row r="39" spans="1:7" x14ac:dyDescent="0.3">
      <c r="A39" t="s">
        <v>68</v>
      </c>
      <c r="B39" t="s">
        <v>69</v>
      </c>
      <c r="C39" s="13" t="s">
        <v>9</v>
      </c>
      <c r="D39" s="19">
        <v>2.2999999999999998</v>
      </c>
      <c r="E39" s="20">
        <f t="shared" si="1"/>
        <v>25.07</v>
      </c>
      <c r="F39" s="12" t="str">
        <f t="shared" si="2"/>
        <v/>
      </c>
      <c r="G39" s="12" t="str">
        <f t="shared" si="3"/>
        <v/>
      </c>
    </row>
    <row r="40" spans="1:7" x14ac:dyDescent="0.3">
      <c r="A40" t="s">
        <v>70</v>
      </c>
      <c r="B40" t="s">
        <v>71</v>
      </c>
      <c r="C40" s="13" t="s">
        <v>9</v>
      </c>
      <c r="D40" s="19">
        <v>2.2999999999999998</v>
      </c>
      <c r="E40" s="20">
        <f t="shared" si="1"/>
        <v>25.07</v>
      </c>
      <c r="F40" s="12" t="str">
        <f t="shared" si="2"/>
        <v/>
      </c>
      <c r="G40" s="12" t="str">
        <f t="shared" si="3"/>
        <v/>
      </c>
    </row>
    <row r="41" spans="1:7" x14ac:dyDescent="0.3">
      <c r="A41" t="s">
        <v>72</v>
      </c>
      <c r="B41" t="s">
        <v>73</v>
      </c>
      <c r="C41" s="13" t="s">
        <v>9</v>
      </c>
      <c r="D41" s="19">
        <v>2.8</v>
      </c>
      <c r="E41" s="20">
        <f t="shared" si="1"/>
        <v>30.52</v>
      </c>
      <c r="F41" s="12" t="str">
        <f t="shared" si="2"/>
        <v/>
      </c>
      <c r="G41" s="12" t="str">
        <f t="shared" si="3"/>
        <v/>
      </c>
    </row>
    <row r="42" spans="1:7" x14ac:dyDescent="0.3">
      <c r="A42" t="s">
        <v>74</v>
      </c>
      <c r="B42" t="s">
        <v>75</v>
      </c>
      <c r="C42" s="13" t="s">
        <v>9</v>
      </c>
      <c r="D42" s="19">
        <v>2.9</v>
      </c>
      <c r="E42" s="20">
        <f t="shared" si="1"/>
        <v>31.61</v>
      </c>
      <c r="F42" s="12" t="str">
        <f t="shared" si="2"/>
        <v/>
      </c>
      <c r="G42" s="12" t="str">
        <f t="shared" si="3"/>
        <v/>
      </c>
    </row>
    <row r="43" spans="1:7" x14ac:dyDescent="0.3">
      <c r="A43" t="s">
        <v>76</v>
      </c>
      <c r="B43" t="s">
        <v>77</v>
      </c>
      <c r="C43" s="13" t="s">
        <v>9</v>
      </c>
      <c r="D43" s="19">
        <v>3</v>
      </c>
      <c r="E43" s="20">
        <f t="shared" si="1"/>
        <v>32.700000000000003</v>
      </c>
      <c r="F43" s="12" t="str">
        <f t="shared" si="2"/>
        <v/>
      </c>
      <c r="G43" s="12" t="str">
        <f t="shared" si="3"/>
        <v/>
      </c>
    </row>
    <row r="44" spans="1:7" x14ac:dyDescent="0.3">
      <c r="A44" t="s">
        <v>78</v>
      </c>
      <c r="B44" t="s">
        <v>79</v>
      </c>
      <c r="C44" s="13" t="s">
        <v>9</v>
      </c>
      <c r="D44" s="19">
        <v>3.1</v>
      </c>
      <c r="E44" s="20">
        <f t="shared" si="1"/>
        <v>33.79</v>
      </c>
      <c r="F44" s="12" t="str">
        <f t="shared" si="2"/>
        <v/>
      </c>
      <c r="G44" s="12" t="str">
        <f t="shared" si="3"/>
        <v/>
      </c>
    </row>
    <row r="45" spans="1:7" x14ac:dyDescent="0.3">
      <c r="A45" t="s">
        <v>80</v>
      </c>
      <c r="B45" t="s">
        <v>81</v>
      </c>
      <c r="C45" s="13" t="s">
        <v>9</v>
      </c>
      <c r="D45" s="19">
        <v>3.2</v>
      </c>
      <c r="E45" s="20">
        <f t="shared" si="1"/>
        <v>34.880000000000003</v>
      </c>
      <c r="F45" s="12" t="str">
        <f t="shared" si="2"/>
        <v/>
      </c>
      <c r="G45" s="12" t="str">
        <f t="shared" si="3"/>
        <v/>
      </c>
    </row>
    <row r="46" spans="1:7" x14ac:dyDescent="0.3">
      <c r="A46" t="s">
        <v>82</v>
      </c>
      <c r="B46" t="s">
        <v>83</v>
      </c>
      <c r="C46" s="13" t="s">
        <v>9</v>
      </c>
      <c r="D46" s="19">
        <v>3.3</v>
      </c>
      <c r="E46" s="20">
        <f t="shared" si="1"/>
        <v>35.97</v>
      </c>
      <c r="F46" s="12" t="str">
        <f t="shared" si="2"/>
        <v/>
      </c>
      <c r="G46" s="12" t="str">
        <f t="shared" si="3"/>
        <v/>
      </c>
    </row>
    <row r="47" spans="1:7" x14ac:dyDescent="0.3">
      <c r="A47" t="s">
        <v>84</v>
      </c>
      <c r="B47" t="s">
        <v>85</v>
      </c>
      <c r="C47" s="13" t="s">
        <v>9</v>
      </c>
      <c r="D47" s="19">
        <v>3.4</v>
      </c>
      <c r="E47" s="20">
        <f t="shared" si="1"/>
        <v>37.06</v>
      </c>
      <c r="F47" s="12" t="str">
        <f t="shared" si="2"/>
        <v/>
      </c>
      <c r="G47" s="12" t="str">
        <f t="shared" si="3"/>
        <v/>
      </c>
    </row>
    <row r="48" spans="1:7" x14ac:dyDescent="0.3">
      <c r="A48" t="s">
        <v>86</v>
      </c>
      <c r="B48" t="s">
        <v>87</v>
      </c>
      <c r="C48" s="13" t="s">
        <v>9</v>
      </c>
      <c r="D48" s="19">
        <v>3.5</v>
      </c>
      <c r="E48" s="20">
        <f t="shared" si="1"/>
        <v>38.15</v>
      </c>
      <c r="F48" s="12" t="str">
        <f t="shared" si="2"/>
        <v/>
      </c>
      <c r="G48" s="12" t="str">
        <f t="shared" si="3"/>
        <v/>
      </c>
    </row>
    <row r="49" spans="1:7" x14ac:dyDescent="0.3">
      <c r="A49" t="s">
        <v>88</v>
      </c>
      <c r="B49" t="s">
        <v>89</v>
      </c>
      <c r="C49" s="13" t="s">
        <v>9</v>
      </c>
      <c r="D49" s="19">
        <v>3.6</v>
      </c>
      <c r="E49" s="20">
        <f t="shared" ref="E49:E80" si="4">IF(AND(ISNUMBER($D49),ISNUMBER(VLOOKUP($C49,$A$5:$F$14,4,FALSE))),$D49*VLOOKUP($C49,$A$5:$F$14,4,FALSE),"")</f>
        <v>39.24</v>
      </c>
      <c r="F49" s="12" t="str">
        <f t="shared" ref="F49:F80" si="5">IF(AND(ISNUMBER($D49),ISNUMBER(VLOOKUP($C49,$A$5:$F$14,2,FALSE)),ISNUMBER(VLOOKUP($C49,$A$5:$F$14,5,FALSE))),$D49*VLOOKUP($C49,$A$5:$F$14,2,FALSE)*VLOOKUP($C49,$A$5:$F$14,5,FALSE),"")</f>
        <v/>
      </c>
      <c r="G49" s="12" t="str">
        <f t="shared" ref="G49:G80" si="6"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/>
      </c>
    </row>
    <row r="50" spans="1:7" x14ac:dyDescent="0.3">
      <c r="A50" t="s">
        <v>90</v>
      </c>
      <c r="B50" t="s">
        <v>91</v>
      </c>
      <c r="C50" s="13" t="s">
        <v>9</v>
      </c>
      <c r="D50" s="19">
        <v>3.7</v>
      </c>
      <c r="E50" s="20">
        <f t="shared" si="4"/>
        <v>40.330000000000005</v>
      </c>
      <c r="F50" s="12" t="str">
        <f t="shared" si="5"/>
        <v/>
      </c>
      <c r="G50" s="12" t="str">
        <f t="shared" si="6"/>
        <v/>
      </c>
    </row>
    <row r="51" spans="1:7" x14ac:dyDescent="0.3">
      <c r="A51" t="s">
        <v>92</v>
      </c>
      <c r="B51" t="s">
        <v>93</v>
      </c>
      <c r="C51" s="13" t="s">
        <v>9</v>
      </c>
      <c r="D51" s="19">
        <v>3.8</v>
      </c>
      <c r="E51" s="20">
        <f t="shared" si="4"/>
        <v>41.42</v>
      </c>
      <c r="F51" s="12" t="str">
        <f t="shared" si="5"/>
        <v/>
      </c>
      <c r="G51" s="12" t="str">
        <f t="shared" si="6"/>
        <v/>
      </c>
    </row>
    <row r="52" spans="1:7" x14ac:dyDescent="0.3">
      <c r="A52" t="s">
        <v>94</v>
      </c>
      <c r="B52" t="s">
        <v>95</v>
      </c>
      <c r="C52" s="13" t="s">
        <v>9</v>
      </c>
      <c r="D52" s="19">
        <v>3.9</v>
      </c>
      <c r="E52" s="20">
        <f t="shared" si="4"/>
        <v>42.51</v>
      </c>
      <c r="F52" s="12" t="str">
        <f t="shared" si="5"/>
        <v/>
      </c>
      <c r="G52" s="12" t="str">
        <f t="shared" si="6"/>
        <v/>
      </c>
    </row>
    <row r="53" spans="1:7" x14ac:dyDescent="0.3">
      <c r="A53" t="s">
        <v>96</v>
      </c>
      <c r="B53" t="s">
        <v>97</v>
      </c>
      <c r="C53" s="13" t="s">
        <v>9</v>
      </c>
      <c r="D53" s="19">
        <v>4</v>
      </c>
      <c r="E53" s="20">
        <f t="shared" si="4"/>
        <v>43.6</v>
      </c>
      <c r="F53" s="12" t="str">
        <f t="shared" si="5"/>
        <v/>
      </c>
      <c r="G53" s="12" t="str">
        <f t="shared" si="6"/>
        <v/>
      </c>
    </row>
    <row r="54" spans="1:7" x14ac:dyDescent="0.3">
      <c r="A54" t="s">
        <v>98</v>
      </c>
      <c r="B54" t="s">
        <v>99</v>
      </c>
      <c r="C54" s="13" t="s">
        <v>9</v>
      </c>
      <c r="D54" s="19">
        <v>4.0999999999999996</v>
      </c>
      <c r="E54" s="20">
        <f t="shared" si="4"/>
        <v>44.69</v>
      </c>
      <c r="F54" s="12" t="str">
        <f t="shared" si="5"/>
        <v/>
      </c>
      <c r="G54" s="12" t="str">
        <f t="shared" si="6"/>
        <v/>
      </c>
    </row>
    <row r="55" spans="1:7" x14ac:dyDescent="0.3">
      <c r="A55" t="s">
        <v>100</v>
      </c>
      <c r="B55" t="s">
        <v>101</v>
      </c>
      <c r="C55" s="13" t="s">
        <v>9</v>
      </c>
      <c r="D55" s="19">
        <v>4.2</v>
      </c>
      <c r="E55" s="20">
        <f t="shared" si="4"/>
        <v>45.78</v>
      </c>
      <c r="F55" s="12" t="str">
        <f t="shared" si="5"/>
        <v/>
      </c>
      <c r="G55" s="12" t="str">
        <f t="shared" si="6"/>
        <v/>
      </c>
    </row>
    <row r="56" spans="1:7" x14ac:dyDescent="0.3">
      <c r="A56" t="s">
        <v>102</v>
      </c>
      <c r="B56" t="s">
        <v>103</v>
      </c>
      <c r="C56" s="13" t="s">
        <v>9</v>
      </c>
      <c r="D56" s="19">
        <v>4.3</v>
      </c>
      <c r="E56" s="20">
        <f t="shared" si="4"/>
        <v>46.87</v>
      </c>
      <c r="F56" s="12" t="str">
        <f t="shared" si="5"/>
        <v/>
      </c>
      <c r="G56" s="12" t="str">
        <f t="shared" si="6"/>
        <v/>
      </c>
    </row>
    <row r="57" spans="1:7" x14ac:dyDescent="0.3">
      <c r="A57" t="s">
        <v>104</v>
      </c>
      <c r="B57" t="s">
        <v>105</v>
      </c>
      <c r="C57" s="13" t="s">
        <v>9</v>
      </c>
      <c r="D57" s="19">
        <v>4.4000000000000004</v>
      </c>
      <c r="E57" s="20">
        <f t="shared" si="4"/>
        <v>47.960000000000008</v>
      </c>
      <c r="F57" s="12" t="str">
        <f t="shared" si="5"/>
        <v/>
      </c>
      <c r="G57" s="12" t="str">
        <f t="shared" si="6"/>
        <v/>
      </c>
    </row>
    <row r="58" spans="1:7" x14ac:dyDescent="0.3">
      <c r="A58" t="s">
        <v>106</v>
      </c>
      <c r="B58" t="s">
        <v>107</v>
      </c>
      <c r="C58" s="13" t="s">
        <v>9</v>
      </c>
      <c r="D58" s="19">
        <v>4.5</v>
      </c>
      <c r="E58" s="20">
        <f t="shared" si="4"/>
        <v>49.050000000000004</v>
      </c>
      <c r="F58" s="12" t="str">
        <f t="shared" si="5"/>
        <v/>
      </c>
      <c r="G58" s="12" t="str">
        <f t="shared" si="6"/>
        <v/>
      </c>
    </row>
    <row r="59" spans="1:7" x14ac:dyDescent="0.3">
      <c r="A59" t="s">
        <v>108</v>
      </c>
      <c r="B59" t="s">
        <v>109</v>
      </c>
      <c r="C59" s="13" t="s">
        <v>8</v>
      </c>
      <c r="D59" s="19">
        <v>2.6</v>
      </c>
      <c r="E59" s="20">
        <f t="shared" si="4"/>
        <v>33.54</v>
      </c>
      <c r="F59" s="12" t="str">
        <f t="shared" si="5"/>
        <v/>
      </c>
      <c r="G59" s="12" t="str">
        <f t="shared" si="6"/>
        <v/>
      </c>
    </row>
    <row r="60" spans="1:7" x14ac:dyDescent="0.3">
      <c r="A60" t="s">
        <v>110</v>
      </c>
      <c r="B60" t="s">
        <v>111</v>
      </c>
      <c r="C60" s="13" t="s">
        <v>8</v>
      </c>
      <c r="D60" s="19">
        <v>2.7</v>
      </c>
      <c r="E60" s="20">
        <f t="shared" si="4"/>
        <v>34.830000000000005</v>
      </c>
      <c r="F60" s="12" t="str">
        <f t="shared" si="5"/>
        <v/>
      </c>
      <c r="G60" s="12" t="str">
        <f t="shared" si="6"/>
        <v/>
      </c>
    </row>
    <row r="61" spans="1:7" x14ac:dyDescent="0.3">
      <c r="A61" t="s">
        <v>112</v>
      </c>
      <c r="B61" t="s">
        <v>113</v>
      </c>
      <c r="C61" s="13" t="s">
        <v>8</v>
      </c>
      <c r="D61" s="19">
        <v>2.8</v>
      </c>
      <c r="E61" s="20">
        <f t="shared" si="4"/>
        <v>36.119999999999997</v>
      </c>
      <c r="F61" s="12" t="str">
        <f t="shared" si="5"/>
        <v/>
      </c>
      <c r="G61" s="12" t="str">
        <f t="shared" si="6"/>
        <v/>
      </c>
    </row>
    <row r="62" spans="1:7" x14ac:dyDescent="0.3">
      <c r="A62" t="s">
        <v>114</v>
      </c>
      <c r="B62" t="s">
        <v>115</v>
      </c>
      <c r="C62" s="13" t="s">
        <v>8</v>
      </c>
      <c r="D62" s="19">
        <v>2.9</v>
      </c>
      <c r="E62" s="20">
        <f t="shared" si="4"/>
        <v>37.409999999999997</v>
      </c>
      <c r="F62" s="12" t="str">
        <f t="shared" si="5"/>
        <v/>
      </c>
      <c r="G62" s="12" t="str">
        <f t="shared" si="6"/>
        <v/>
      </c>
    </row>
    <row r="63" spans="1:7" x14ac:dyDescent="0.3">
      <c r="A63" t="s">
        <v>116</v>
      </c>
      <c r="B63" t="s">
        <v>117</v>
      </c>
      <c r="C63" s="13" t="s">
        <v>8</v>
      </c>
      <c r="D63" s="19">
        <v>3</v>
      </c>
      <c r="E63" s="20">
        <f t="shared" si="4"/>
        <v>38.700000000000003</v>
      </c>
      <c r="F63" s="12" t="str">
        <f t="shared" si="5"/>
        <v/>
      </c>
      <c r="G63" s="12" t="str">
        <f t="shared" si="6"/>
        <v/>
      </c>
    </row>
    <row r="64" spans="1:7" x14ac:dyDescent="0.3">
      <c r="A64" t="s">
        <v>118</v>
      </c>
      <c r="B64" t="s">
        <v>119</v>
      </c>
      <c r="C64" s="13" t="s">
        <v>8</v>
      </c>
      <c r="D64" s="19">
        <v>3.1</v>
      </c>
      <c r="E64" s="20">
        <f t="shared" si="4"/>
        <v>39.99</v>
      </c>
      <c r="F64" s="12" t="str">
        <f t="shared" si="5"/>
        <v/>
      </c>
      <c r="G64" s="12" t="str">
        <f t="shared" si="6"/>
        <v/>
      </c>
    </row>
    <row r="65" spans="1:7" x14ac:dyDescent="0.3">
      <c r="A65" t="s">
        <v>120</v>
      </c>
      <c r="B65" t="s">
        <v>121</v>
      </c>
      <c r="C65" s="13" t="s">
        <v>8</v>
      </c>
      <c r="D65" s="19">
        <v>3.2</v>
      </c>
      <c r="E65" s="20">
        <f t="shared" si="4"/>
        <v>41.28</v>
      </c>
      <c r="F65" s="12" t="str">
        <f t="shared" si="5"/>
        <v/>
      </c>
      <c r="G65" s="12" t="str">
        <f t="shared" si="6"/>
        <v/>
      </c>
    </row>
    <row r="66" spans="1:7" x14ac:dyDescent="0.3">
      <c r="A66" t="s">
        <v>122</v>
      </c>
      <c r="B66" t="s">
        <v>123</v>
      </c>
      <c r="C66" s="13" t="s">
        <v>8</v>
      </c>
      <c r="D66" s="19">
        <v>3.3</v>
      </c>
      <c r="E66" s="20">
        <f t="shared" si="4"/>
        <v>42.57</v>
      </c>
      <c r="F66" s="12" t="str">
        <f t="shared" si="5"/>
        <v/>
      </c>
      <c r="G66" s="12" t="str">
        <f t="shared" si="6"/>
        <v/>
      </c>
    </row>
    <row r="67" spans="1:7" x14ac:dyDescent="0.3">
      <c r="A67" t="s">
        <v>124</v>
      </c>
      <c r="B67" t="s">
        <v>125</v>
      </c>
      <c r="C67" s="13" t="s">
        <v>8</v>
      </c>
      <c r="D67" s="19">
        <v>3.4</v>
      </c>
      <c r="E67" s="20">
        <f t="shared" si="4"/>
        <v>43.86</v>
      </c>
      <c r="F67" s="12" t="str">
        <f t="shared" si="5"/>
        <v/>
      </c>
      <c r="G67" s="12" t="str">
        <f t="shared" si="6"/>
        <v/>
      </c>
    </row>
    <row r="68" spans="1:7" x14ac:dyDescent="0.3">
      <c r="A68" t="s">
        <v>126</v>
      </c>
      <c r="B68" t="s">
        <v>127</v>
      </c>
      <c r="C68" s="13" t="s">
        <v>8</v>
      </c>
      <c r="D68" s="19">
        <v>3.5</v>
      </c>
      <c r="E68" s="20">
        <f t="shared" si="4"/>
        <v>45.15</v>
      </c>
      <c r="F68" s="12" t="str">
        <f t="shared" si="5"/>
        <v/>
      </c>
      <c r="G68" s="12" t="str">
        <f t="shared" si="6"/>
        <v/>
      </c>
    </row>
    <row r="69" spans="1:7" x14ac:dyDescent="0.3">
      <c r="A69" t="s">
        <v>128</v>
      </c>
      <c r="B69" t="s">
        <v>129</v>
      </c>
      <c r="C69" s="13" t="s">
        <v>8</v>
      </c>
      <c r="D69" s="19">
        <v>3.6</v>
      </c>
      <c r="E69" s="20">
        <f t="shared" si="4"/>
        <v>46.440000000000005</v>
      </c>
      <c r="F69" s="12" t="str">
        <f t="shared" si="5"/>
        <v/>
      </c>
      <c r="G69" s="12" t="str">
        <f t="shared" si="6"/>
        <v/>
      </c>
    </row>
    <row r="70" spans="1:7" x14ac:dyDescent="0.3">
      <c r="A70" t="s">
        <v>130</v>
      </c>
      <c r="B70" t="s">
        <v>131</v>
      </c>
      <c r="C70" s="13" t="s">
        <v>9</v>
      </c>
      <c r="D70" s="19">
        <v>2.6</v>
      </c>
      <c r="E70" s="20">
        <f t="shared" si="4"/>
        <v>28.340000000000003</v>
      </c>
      <c r="F70" s="12" t="str">
        <f t="shared" si="5"/>
        <v/>
      </c>
      <c r="G70" s="12" t="str">
        <f t="shared" si="6"/>
        <v/>
      </c>
    </row>
    <row r="71" spans="1:7" x14ac:dyDescent="0.3">
      <c r="A71" t="s">
        <v>132</v>
      </c>
      <c r="B71" t="s">
        <v>133</v>
      </c>
      <c r="C71" s="13" t="s">
        <v>9</v>
      </c>
      <c r="D71" s="19">
        <v>2.7</v>
      </c>
      <c r="E71" s="20">
        <f t="shared" si="4"/>
        <v>29.430000000000003</v>
      </c>
      <c r="F71" s="12" t="str">
        <f t="shared" si="5"/>
        <v/>
      </c>
      <c r="G71" s="12" t="str">
        <f t="shared" si="6"/>
        <v/>
      </c>
    </row>
    <row r="72" spans="1:7" x14ac:dyDescent="0.3">
      <c r="A72" t="s">
        <v>134</v>
      </c>
      <c r="B72" t="s">
        <v>135</v>
      </c>
      <c r="C72" s="13" t="s">
        <v>9</v>
      </c>
      <c r="D72" s="19">
        <v>2.8</v>
      </c>
      <c r="E72" s="20">
        <f t="shared" si="4"/>
        <v>30.52</v>
      </c>
      <c r="F72" s="12" t="str">
        <f t="shared" si="5"/>
        <v/>
      </c>
      <c r="G72" s="12" t="str">
        <f t="shared" si="6"/>
        <v/>
      </c>
    </row>
    <row r="73" spans="1:7" x14ac:dyDescent="0.3">
      <c r="A73" t="s">
        <v>136</v>
      </c>
      <c r="B73" t="s">
        <v>137</v>
      </c>
      <c r="C73" s="13" t="s">
        <v>9</v>
      </c>
      <c r="D73" s="19">
        <v>2.9</v>
      </c>
      <c r="E73" s="20">
        <f t="shared" si="4"/>
        <v>31.61</v>
      </c>
      <c r="F73" s="12" t="str">
        <f t="shared" si="5"/>
        <v/>
      </c>
      <c r="G73" s="12" t="str">
        <f t="shared" si="6"/>
        <v/>
      </c>
    </row>
    <row r="74" spans="1:7" x14ac:dyDescent="0.3">
      <c r="A74" t="s">
        <v>138</v>
      </c>
      <c r="B74" t="s">
        <v>139</v>
      </c>
      <c r="C74" s="13" t="s">
        <v>9</v>
      </c>
      <c r="D74" s="19">
        <v>3</v>
      </c>
      <c r="E74" s="20">
        <f t="shared" si="4"/>
        <v>32.700000000000003</v>
      </c>
      <c r="F74" s="12" t="str">
        <f t="shared" si="5"/>
        <v/>
      </c>
      <c r="G74" s="12" t="str">
        <f t="shared" si="6"/>
        <v/>
      </c>
    </row>
    <row r="75" spans="1:7" x14ac:dyDescent="0.3">
      <c r="A75" t="s">
        <v>140</v>
      </c>
      <c r="B75" t="s">
        <v>141</v>
      </c>
      <c r="C75" s="13" t="s">
        <v>9</v>
      </c>
      <c r="D75" s="19">
        <v>3.1</v>
      </c>
      <c r="E75" s="20">
        <f t="shared" si="4"/>
        <v>33.79</v>
      </c>
      <c r="F75" s="12" t="str">
        <f t="shared" si="5"/>
        <v/>
      </c>
      <c r="G75" s="12" t="str">
        <f t="shared" si="6"/>
        <v/>
      </c>
    </row>
    <row r="76" spans="1:7" x14ac:dyDescent="0.3">
      <c r="A76" t="s">
        <v>142</v>
      </c>
      <c r="B76" t="s">
        <v>143</v>
      </c>
      <c r="C76" s="13" t="s">
        <v>9</v>
      </c>
      <c r="D76" s="19">
        <v>3.2</v>
      </c>
      <c r="E76" s="20">
        <f t="shared" si="4"/>
        <v>34.880000000000003</v>
      </c>
      <c r="F76" s="12" t="str">
        <f t="shared" si="5"/>
        <v/>
      </c>
      <c r="G76" s="12" t="str">
        <f t="shared" si="6"/>
        <v/>
      </c>
    </row>
    <row r="77" spans="1:7" x14ac:dyDescent="0.3">
      <c r="A77" t="s">
        <v>144</v>
      </c>
      <c r="B77" t="s">
        <v>145</v>
      </c>
      <c r="C77" s="13" t="s">
        <v>9</v>
      </c>
      <c r="D77" s="19">
        <v>3.3</v>
      </c>
      <c r="E77" s="20">
        <f t="shared" si="4"/>
        <v>35.97</v>
      </c>
      <c r="F77" s="12" t="str">
        <f t="shared" si="5"/>
        <v/>
      </c>
      <c r="G77" s="12" t="str">
        <f t="shared" si="6"/>
        <v/>
      </c>
    </row>
    <row r="78" spans="1:7" x14ac:dyDescent="0.3">
      <c r="A78" t="s">
        <v>146</v>
      </c>
      <c r="B78" t="s">
        <v>147</v>
      </c>
      <c r="C78" s="13" t="s">
        <v>9</v>
      </c>
      <c r="D78" s="19">
        <v>3.4</v>
      </c>
      <c r="E78" s="20">
        <f t="shared" si="4"/>
        <v>37.06</v>
      </c>
      <c r="F78" s="12" t="str">
        <f t="shared" si="5"/>
        <v/>
      </c>
      <c r="G78" s="12" t="str">
        <f t="shared" si="6"/>
        <v/>
      </c>
    </row>
    <row r="79" spans="1:7" x14ac:dyDescent="0.3">
      <c r="A79" t="s">
        <v>148</v>
      </c>
      <c r="B79" t="s">
        <v>149</v>
      </c>
      <c r="C79" s="13" t="s">
        <v>9</v>
      </c>
      <c r="D79" s="19">
        <v>3.5</v>
      </c>
      <c r="E79" s="20">
        <f t="shared" si="4"/>
        <v>38.15</v>
      </c>
      <c r="F79" s="12" t="str">
        <f t="shared" si="5"/>
        <v/>
      </c>
      <c r="G79" s="12" t="str">
        <f t="shared" si="6"/>
        <v/>
      </c>
    </row>
    <row r="80" spans="1:7" x14ac:dyDescent="0.3">
      <c r="A80" t="s">
        <v>150</v>
      </c>
      <c r="B80" t="s">
        <v>151</v>
      </c>
      <c r="C80" s="13" t="s">
        <v>9</v>
      </c>
      <c r="D80" s="19">
        <v>3.6</v>
      </c>
      <c r="E80" s="20">
        <f t="shared" si="4"/>
        <v>39.24</v>
      </c>
      <c r="F80" s="12" t="str">
        <f t="shared" si="5"/>
        <v/>
      </c>
      <c r="G80" s="12" t="str">
        <f t="shared" si="6"/>
        <v/>
      </c>
    </row>
    <row r="81" spans="1:7" x14ac:dyDescent="0.3">
      <c r="A81" t="s">
        <v>152</v>
      </c>
      <c r="B81" t="s">
        <v>153</v>
      </c>
      <c r="C81" s="13" t="s">
        <v>8</v>
      </c>
      <c r="D81" s="19">
        <v>2.2200000000000002</v>
      </c>
      <c r="E81" s="20">
        <f t="shared" ref="E81:E112" si="7">IF(AND(ISNUMBER($D81),ISNUMBER(VLOOKUP($C81,$A$5:$F$14,4,FALSE))),$D81*VLOOKUP($C81,$A$5:$F$14,4,FALSE),"")</f>
        <v>28.638000000000002</v>
      </c>
      <c r="F81" s="12" t="str">
        <f t="shared" ref="F81:F112" si="8">IF(AND(ISNUMBER($D81),ISNUMBER(VLOOKUP($C81,$A$5:$F$14,2,FALSE)),ISNUMBER(VLOOKUP($C81,$A$5:$F$14,5,FALSE))),$D81*VLOOKUP($C81,$A$5:$F$14,2,FALSE)*VLOOKUP($C81,$A$5:$F$14,5,FALSE),"")</f>
        <v/>
      </c>
      <c r="G81" s="12" t="str">
        <f t="shared" ref="G81:G112" si="9"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/>
      </c>
    </row>
    <row r="82" spans="1:7" x14ac:dyDescent="0.3">
      <c r="A82" t="s">
        <v>154</v>
      </c>
      <c r="B82" t="s">
        <v>155</v>
      </c>
      <c r="C82" s="13" t="s">
        <v>8</v>
      </c>
      <c r="D82" s="19">
        <v>2.2200000000000002</v>
      </c>
      <c r="E82" s="20">
        <f t="shared" si="7"/>
        <v>28.638000000000002</v>
      </c>
      <c r="F82" s="12" t="str">
        <f t="shared" si="8"/>
        <v/>
      </c>
      <c r="G82" s="12" t="str">
        <f t="shared" si="9"/>
        <v/>
      </c>
    </row>
    <row r="83" spans="1:7" x14ac:dyDescent="0.3">
      <c r="A83" t="s">
        <v>156</v>
      </c>
      <c r="B83" t="s">
        <v>157</v>
      </c>
      <c r="C83" s="13" t="s">
        <v>8</v>
      </c>
      <c r="D83" s="19">
        <v>2.72</v>
      </c>
      <c r="E83" s="20">
        <f t="shared" si="7"/>
        <v>35.088000000000001</v>
      </c>
      <c r="F83" s="12" t="str">
        <f t="shared" si="8"/>
        <v/>
      </c>
      <c r="G83" s="12" t="str">
        <f t="shared" si="9"/>
        <v/>
      </c>
    </row>
    <row r="84" spans="1:7" x14ac:dyDescent="0.3">
      <c r="A84" t="s">
        <v>158</v>
      </c>
      <c r="B84" t="s">
        <v>159</v>
      </c>
      <c r="C84" s="13" t="s">
        <v>8</v>
      </c>
      <c r="D84" s="19">
        <v>2.82</v>
      </c>
      <c r="E84" s="20">
        <f t="shared" si="7"/>
        <v>36.378</v>
      </c>
      <c r="F84" s="12" t="str">
        <f t="shared" si="8"/>
        <v/>
      </c>
      <c r="G84" s="12" t="str">
        <f t="shared" si="9"/>
        <v/>
      </c>
    </row>
    <row r="85" spans="1:7" x14ac:dyDescent="0.3">
      <c r="A85" t="s">
        <v>160</v>
      </c>
      <c r="B85" t="s">
        <v>161</v>
      </c>
      <c r="C85" s="13" t="s">
        <v>8</v>
      </c>
      <c r="D85" s="19">
        <v>2.92</v>
      </c>
      <c r="E85" s="20">
        <f t="shared" si="7"/>
        <v>37.667999999999999</v>
      </c>
      <c r="F85" s="12" t="str">
        <f t="shared" si="8"/>
        <v/>
      </c>
      <c r="G85" s="12" t="str">
        <f t="shared" si="9"/>
        <v/>
      </c>
    </row>
    <row r="86" spans="1:7" x14ac:dyDescent="0.3">
      <c r="A86" t="s">
        <v>162</v>
      </c>
      <c r="B86" t="s">
        <v>163</v>
      </c>
      <c r="C86" s="13" t="s">
        <v>8</v>
      </c>
      <c r="D86" s="19">
        <v>3.02</v>
      </c>
      <c r="E86" s="20">
        <f t="shared" si="7"/>
        <v>38.957999999999998</v>
      </c>
      <c r="F86" s="12" t="str">
        <f t="shared" si="8"/>
        <v/>
      </c>
      <c r="G86" s="12" t="str">
        <f t="shared" si="9"/>
        <v/>
      </c>
    </row>
    <row r="87" spans="1:7" x14ac:dyDescent="0.3">
      <c r="A87" t="s">
        <v>164</v>
      </c>
      <c r="B87" t="s">
        <v>165</v>
      </c>
      <c r="C87" s="13" t="s">
        <v>8</v>
      </c>
      <c r="D87" s="19">
        <v>3.12</v>
      </c>
      <c r="E87" s="20">
        <f t="shared" si="7"/>
        <v>40.248000000000005</v>
      </c>
      <c r="F87" s="12" t="str">
        <f t="shared" si="8"/>
        <v/>
      </c>
      <c r="G87" s="12" t="str">
        <f t="shared" si="9"/>
        <v/>
      </c>
    </row>
    <row r="88" spans="1:7" x14ac:dyDescent="0.3">
      <c r="A88" t="s">
        <v>166</v>
      </c>
      <c r="B88" t="s">
        <v>167</v>
      </c>
      <c r="C88" s="13" t="s">
        <v>8</v>
      </c>
      <c r="D88" s="19">
        <v>3.22</v>
      </c>
      <c r="E88" s="20">
        <f t="shared" si="7"/>
        <v>41.538000000000004</v>
      </c>
      <c r="F88" s="12" t="str">
        <f t="shared" si="8"/>
        <v/>
      </c>
      <c r="G88" s="12" t="str">
        <f t="shared" si="9"/>
        <v/>
      </c>
    </row>
    <row r="89" spans="1:7" x14ac:dyDescent="0.3">
      <c r="A89" t="s">
        <v>168</v>
      </c>
      <c r="B89" t="s">
        <v>169</v>
      </c>
      <c r="C89" s="13" t="s">
        <v>8</v>
      </c>
      <c r="D89" s="19">
        <v>3.32</v>
      </c>
      <c r="E89" s="20">
        <f t="shared" si="7"/>
        <v>42.827999999999996</v>
      </c>
      <c r="F89" s="12" t="str">
        <f t="shared" si="8"/>
        <v/>
      </c>
      <c r="G89" s="12" t="str">
        <f t="shared" si="9"/>
        <v/>
      </c>
    </row>
    <row r="90" spans="1:7" x14ac:dyDescent="0.3">
      <c r="A90" t="s">
        <v>170</v>
      </c>
      <c r="B90" t="s">
        <v>171</v>
      </c>
      <c r="C90" s="13" t="s">
        <v>8</v>
      </c>
      <c r="D90" s="19">
        <v>3.42</v>
      </c>
      <c r="E90" s="20">
        <f t="shared" si="7"/>
        <v>44.118000000000002</v>
      </c>
      <c r="F90" s="12" t="str">
        <f t="shared" si="8"/>
        <v/>
      </c>
      <c r="G90" s="12" t="str">
        <f t="shared" si="9"/>
        <v/>
      </c>
    </row>
    <row r="91" spans="1:7" x14ac:dyDescent="0.3">
      <c r="A91" t="s">
        <v>172</v>
      </c>
      <c r="B91" t="s">
        <v>173</v>
      </c>
      <c r="C91" s="13" t="s">
        <v>8</v>
      </c>
      <c r="D91" s="19">
        <v>3.52</v>
      </c>
      <c r="E91" s="20">
        <f t="shared" si="7"/>
        <v>45.408000000000001</v>
      </c>
      <c r="F91" s="12" t="str">
        <f t="shared" si="8"/>
        <v/>
      </c>
      <c r="G91" s="12" t="str">
        <f t="shared" si="9"/>
        <v/>
      </c>
    </row>
    <row r="92" spans="1:7" x14ac:dyDescent="0.3">
      <c r="A92" t="s">
        <v>174</v>
      </c>
      <c r="B92" t="s">
        <v>175</v>
      </c>
      <c r="C92" s="13" t="s">
        <v>8</v>
      </c>
      <c r="D92" s="19">
        <v>3.62</v>
      </c>
      <c r="E92" s="20">
        <f t="shared" si="7"/>
        <v>46.698</v>
      </c>
      <c r="F92" s="12" t="str">
        <f t="shared" si="8"/>
        <v/>
      </c>
      <c r="G92" s="12" t="str">
        <f t="shared" si="9"/>
        <v/>
      </c>
    </row>
    <row r="93" spans="1:7" x14ac:dyDescent="0.3">
      <c r="A93" t="s">
        <v>176</v>
      </c>
      <c r="B93" t="s">
        <v>177</v>
      </c>
      <c r="C93" s="13" t="s">
        <v>8</v>
      </c>
      <c r="D93" s="19">
        <v>3.72</v>
      </c>
      <c r="E93" s="20">
        <f t="shared" si="7"/>
        <v>47.988000000000007</v>
      </c>
      <c r="F93" s="12" t="str">
        <f t="shared" si="8"/>
        <v/>
      </c>
      <c r="G93" s="12" t="str">
        <f t="shared" si="9"/>
        <v/>
      </c>
    </row>
    <row r="94" spans="1:7" x14ac:dyDescent="0.3">
      <c r="A94" t="s">
        <v>178</v>
      </c>
      <c r="B94" t="s">
        <v>179</v>
      </c>
      <c r="C94" s="13" t="s">
        <v>8</v>
      </c>
      <c r="D94" s="19">
        <v>3.82</v>
      </c>
      <c r="E94" s="20">
        <f t="shared" si="7"/>
        <v>49.277999999999999</v>
      </c>
      <c r="F94" s="12" t="str">
        <f t="shared" si="8"/>
        <v/>
      </c>
      <c r="G94" s="12" t="str">
        <f t="shared" si="9"/>
        <v/>
      </c>
    </row>
    <row r="95" spans="1:7" x14ac:dyDescent="0.3">
      <c r="A95" t="s">
        <v>180</v>
      </c>
      <c r="B95" t="s">
        <v>181</v>
      </c>
      <c r="C95" s="13" t="s">
        <v>8</v>
      </c>
      <c r="D95" s="19">
        <v>3.92</v>
      </c>
      <c r="E95" s="20">
        <f t="shared" si="7"/>
        <v>50.567999999999998</v>
      </c>
      <c r="F95" s="12" t="str">
        <f t="shared" si="8"/>
        <v/>
      </c>
      <c r="G95" s="12" t="str">
        <f t="shared" si="9"/>
        <v/>
      </c>
    </row>
    <row r="96" spans="1:7" x14ac:dyDescent="0.3">
      <c r="A96" t="s">
        <v>182</v>
      </c>
      <c r="B96" t="s">
        <v>183</v>
      </c>
      <c r="C96" s="13" t="s">
        <v>8</v>
      </c>
      <c r="D96" s="19">
        <v>4.0199999999999996</v>
      </c>
      <c r="E96" s="20">
        <f t="shared" si="7"/>
        <v>51.857999999999997</v>
      </c>
      <c r="F96" s="12" t="str">
        <f t="shared" si="8"/>
        <v/>
      </c>
      <c r="G96" s="12" t="str">
        <f t="shared" si="9"/>
        <v/>
      </c>
    </row>
    <row r="97" spans="1:7" x14ac:dyDescent="0.3">
      <c r="A97" t="s">
        <v>184</v>
      </c>
      <c r="B97" t="s">
        <v>185</v>
      </c>
      <c r="C97" s="13" t="s">
        <v>8</v>
      </c>
      <c r="D97" s="19">
        <v>4.12</v>
      </c>
      <c r="E97" s="20">
        <f t="shared" si="7"/>
        <v>53.148000000000003</v>
      </c>
      <c r="F97" s="12" t="str">
        <f t="shared" si="8"/>
        <v/>
      </c>
      <c r="G97" s="12" t="str">
        <f t="shared" si="9"/>
        <v/>
      </c>
    </row>
    <row r="98" spans="1:7" x14ac:dyDescent="0.3">
      <c r="A98" t="s">
        <v>186</v>
      </c>
      <c r="B98" t="s">
        <v>187</v>
      </c>
      <c r="C98" s="13" t="s">
        <v>8</v>
      </c>
      <c r="D98" s="19">
        <v>4.22</v>
      </c>
      <c r="E98" s="20">
        <f t="shared" si="7"/>
        <v>54.437999999999995</v>
      </c>
      <c r="F98" s="12" t="str">
        <f t="shared" si="8"/>
        <v/>
      </c>
      <c r="G98" s="12" t="str">
        <f t="shared" si="9"/>
        <v/>
      </c>
    </row>
    <row r="99" spans="1:7" x14ac:dyDescent="0.3">
      <c r="A99" t="s">
        <v>188</v>
      </c>
      <c r="B99" t="s">
        <v>189</v>
      </c>
      <c r="C99" s="13" t="s">
        <v>8</v>
      </c>
      <c r="D99" s="19">
        <v>4.32</v>
      </c>
      <c r="E99" s="20">
        <f t="shared" si="7"/>
        <v>55.728000000000009</v>
      </c>
      <c r="F99" s="12" t="str">
        <f t="shared" si="8"/>
        <v/>
      </c>
      <c r="G99" s="12" t="str">
        <f t="shared" si="9"/>
        <v/>
      </c>
    </row>
    <row r="100" spans="1:7" x14ac:dyDescent="0.3">
      <c r="A100" t="s">
        <v>190</v>
      </c>
      <c r="B100" t="s">
        <v>191</v>
      </c>
      <c r="C100" s="13" t="s">
        <v>8</v>
      </c>
      <c r="D100" s="19">
        <v>4.42</v>
      </c>
      <c r="E100" s="20">
        <f t="shared" si="7"/>
        <v>57.018000000000001</v>
      </c>
      <c r="F100" s="12" t="str">
        <f t="shared" si="8"/>
        <v/>
      </c>
      <c r="G100" s="12" t="str">
        <f t="shared" si="9"/>
        <v/>
      </c>
    </row>
    <row r="101" spans="1:7" x14ac:dyDescent="0.3">
      <c r="A101" t="s">
        <v>192</v>
      </c>
      <c r="B101" t="s">
        <v>193</v>
      </c>
      <c r="C101" s="13" t="s">
        <v>9</v>
      </c>
      <c r="D101" s="19">
        <v>2.2200000000000002</v>
      </c>
      <c r="E101" s="20">
        <f t="shared" si="7"/>
        <v>24.198000000000004</v>
      </c>
      <c r="F101" s="12" t="str">
        <f t="shared" si="8"/>
        <v/>
      </c>
      <c r="G101" s="12" t="str">
        <f t="shared" si="9"/>
        <v/>
      </c>
    </row>
    <row r="102" spans="1:7" x14ac:dyDescent="0.3">
      <c r="A102" t="s">
        <v>194</v>
      </c>
      <c r="B102" t="s">
        <v>195</v>
      </c>
      <c r="C102" s="13" t="s">
        <v>9</v>
      </c>
      <c r="D102" s="19">
        <v>2.2200000000000002</v>
      </c>
      <c r="E102" s="20">
        <f t="shared" si="7"/>
        <v>24.198000000000004</v>
      </c>
      <c r="F102" s="12" t="str">
        <f t="shared" si="8"/>
        <v/>
      </c>
      <c r="G102" s="12" t="str">
        <f t="shared" si="9"/>
        <v/>
      </c>
    </row>
    <row r="103" spans="1:7" x14ac:dyDescent="0.3">
      <c r="A103" t="s">
        <v>196</v>
      </c>
      <c r="B103" t="s">
        <v>197</v>
      </c>
      <c r="C103" s="13" t="s">
        <v>9</v>
      </c>
      <c r="D103" s="19">
        <v>2.72</v>
      </c>
      <c r="E103" s="20">
        <f t="shared" si="7"/>
        <v>29.648000000000003</v>
      </c>
      <c r="F103" s="12" t="str">
        <f t="shared" si="8"/>
        <v/>
      </c>
      <c r="G103" s="12" t="str">
        <f t="shared" si="9"/>
        <v/>
      </c>
    </row>
    <row r="104" spans="1:7" x14ac:dyDescent="0.3">
      <c r="A104" t="s">
        <v>198</v>
      </c>
      <c r="B104" t="s">
        <v>199</v>
      </c>
      <c r="C104" s="13" t="s">
        <v>9</v>
      </c>
      <c r="D104" s="19">
        <v>2.82</v>
      </c>
      <c r="E104" s="20">
        <f t="shared" si="7"/>
        <v>30.738</v>
      </c>
      <c r="F104" s="12" t="str">
        <f t="shared" si="8"/>
        <v/>
      </c>
      <c r="G104" s="12" t="str">
        <f t="shared" si="9"/>
        <v/>
      </c>
    </row>
    <row r="105" spans="1:7" x14ac:dyDescent="0.3">
      <c r="A105" t="s">
        <v>200</v>
      </c>
      <c r="B105" t="s">
        <v>201</v>
      </c>
      <c r="C105" s="13" t="s">
        <v>9</v>
      </c>
      <c r="D105" s="19">
        <v>2.92</v>
      </c>
      <c r="E105" s="20">
        <f t="shared" si="7"/>
        <v>31.827999999999999</v>
      </c>
      <c r="F105" s="12" t="str">
        <f t="shared" si="8"/>
        <v/>
      </c>
      <c r="G105" s="12" t="str">
        <f t="shared" si="9"/>
        <v/>
      </c>
    </row>
    <row r="106" spans="1:7" x14ac:dyDescent="0.3">
      <c r="A106" t="s">
        <v>202</v>
      </c>
      <c r="B106" t="s">
        <v>203</v>
      </c>
      <c r="C106" s="13" t="s">
        <v>9</v>
      </c>
      <c r="D106" s="19">
        <v>3.02</v>
      </c>
      <c r="E106" s="20">
        <f t="shared" si="7"/>
        <v>32.917999999999999</v>
      </c>
      <c r="F106" s="12" t="str">
        <f t="shared" si="8"/>
        <v/>
      </c>
      <c r="G106" s="12" t="str">
        <f t="shared" si="9"/>
        <v/>
      </c>
    </row>
    <row r="107" spans="1:7" x14ac:dyDescent="0.3">
      <c r="A107" t="s">
        <v>204</v>
      </c>
      <c r="B107" t="s">
        <v>205</v>
      </c>
      <c r="C107" s="13" t="s">
        <v>9</v>
      </c>
      <c r="D107" s="19">
        <v>3.12</v>
      </c>
      <c r="E107" s="20">
        <f t="shared" si="7"/>
        <v>34.008000000000003</v>
      </c>
      <c r="F107" s="12" t="str">
        <f t="shared" si="8"/>
        <v/>
      </c>
      <c r="G107" s="12" t="str">
        <f t="shared" si="9"/>
        <v/>
      </c>
    </row>
    <row r="108" spans="1:7" x14ac:dyDescent="0.3">
      <c r="A108" t="s">
        <v>206</v>
      </c>
      <c r="B108" t="s">
        <v>207</v>
      </c>
      <c r="C108" s="13" t="s">
        <v>9</v>
      </c>
      <c r="D108" s="19">
        <v>3.22</v>
      </c>
      <c r="E108" s="20">
        <f t="shared" si="7"/>
        <v>35.098000000000006</v>
      </c>
      <c r="F108" s="12" t="str">
        <f t="shared" si="8"/>
        <v/>
      </c>
      <c r="G108" s="12" t="str">
        <f t="shared" si="9"/>
        <v/>
      </c>
    </row>
    <row r="109" spans="1:7" x14ac:dyDescent="0.3">
      <c r="A109" t="s">
        <v>208</v>
      </c>
      <c r="B109" t="s">
        <v>209</v>
      </c>
      <c r="C109" s="13" t="s">
        <v>9</v>
      </c>
      <c r="D109" s="19">
        <v>3.32</v>
      </c>
      <c r="E109" s="20">
        <f t="shared" si="7"/>
        <v>36.188000000000002</v>
      </c>
      <c r="F109" s="12" t="str">
        <f t="shared" si="8"/>
        <v/>
      </c>
      <c r="G109" s="12" t="str">
        <f t="shared" si="9"/>
        <v/>
      </c>
    </row>
    <row r="110" spans="1:7" x14ac:dyDescent="0.3">
      <c r="A110" t="s">
        <v>210</v>
      </c>
      <c r="B110" t="s">
        <v>211</v>
      </c>
      <c r="C110" s="13" t="s">
        <v>9</v>
      </c>
      <c r="D110" s="19">
        <v>3.42</v>
      </c>
      <c r="E110" s="20">
        <f t="shared" si="7"/>
        <v>37.277999999999999</v>
      </c>
      <c r="F110" s="12" t="str">
        <f t="shared" si="8"/>
        <v/>
      </c>
      <c r="G110" s="12" t="str">
        <f t="shared" si="9"/>
        <v/>
      </c>
    </row>
    <row r="111" spans="1:7" x14ac:dyDescent="0.3">
      <c r="A111" t="s">
        <v>212</v>
      </c>
      <c r="B111" t="s">
        <v>213</v>
      </c>
      <c r="C111" s="13" t="s">
        <v>9</v>
      </c>
      <c r="D111" s="19">
        <v>3.52</v>
      </c>
      <c r="E111" s="20">
        <f t="shared" si="7"/>
        <v>38.368000000000002</v>
      </c>
      <c r="F111" s="12" t="str">
        <f t="shared" si="8"/>
        <v/>
      </c>
      <c r="G111" s="12" t="str">
        <f t="shared" si="9"/>
        <v/>
      </c>
    </row>
    <row r="112" spans="1:7" x14ac:dyDescent="0.3">
      <c r="A112" t="s">
        <v>214</v>
      </c>
      <c r="B112" t="s">
        <v>215</v>
      </c>
      <c r="C112" s="13" t="s">
        <v>9</v>
      </c>
      <c r="D112" s="19">
        <v>3.62</v>
      </c>
      <c r="E112" s="20">
        <f t="shared" si="7"/>
        <v>39.458000000000006</v>
      </c>
      <c r="F112" s="12" t="str">
        <f t="shared" si="8"/>
        <v/>
      </c>
      <c r="G112" s="12" t="str">
        <f t="shared" si="9"/>
        <v/>
      </c>
    </row>
    <row r="113" spans="1:7" x14ac:dyDescent="0.3">
      <c r="A113" t="s">
        <v>216</v>
      </c>
      <c r="B113" t="s">
        <v>217</v>
      </c>
      <c r="C113" s="13" t="s">
        <v>9</v>
      </c>
      <c r="D113" s="19">
        <v>3.72</v>
      </c>
      <c r="E113" s="20">
        <f t="shared" ref="E113:E147" si="10">IF(AND(ISNUMBER($D113),ISNUMBER(VLOOKUP($C113,$A$5:$F$14,4,FALSE))),$D113*VLOOKUP($C113,$A$5:$F$14,4,FALSE),"")</f>
        <v>40.548000000000002</v>
      </c>
      <c r="F113" s="12" t="str">
        <f t="shared" ref="F113:F147" si="11">IF(AND(ISNUMBER($D113),ISNUMBER(VLOOKUP($C113,$A$5:$F$14,2,FALSE)),ISNUMBER(VLOOKUP($C113,$A$5:$F$14,5,FALSE))),$D113*VLOOKUP($C113,$A$5:$F$14,2,FALSE)*VLOOKUP($C113,$A$5:$F$14,5,FALSE),"")</f>
        <v/>
      </c>
      <c r="G113" s="12" t="str">
        <f t="shared" ref="G113:G147" si="12"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/>
      </c>
    </row>
    <row r="114" spans="1:7" x14ac:dyDescent="0.3">
      <c r="A114" t="s">
        <v>218</v>
      </c>
      <c r="B114" t="s">
        <v>219</v>
      </c>
      <c r="C114" s="13" t="s">
        <v>9</v>
      </c>
      <c r="D114" s="19">
        <v>3.82</v>
      </c>
      <c r="E114" s="20">
        <f t="shared" si="10"/>
        <v>41.637999999999998</v>
      </c>
      <c r="F114" s="12" t="str">
        <f t="shared" si="11"/>
        <v/>
      </c>
      <c r="G114" s="12" t="str">
        <f t="shared" si="12"/>
        <v/>
      </c>
    </row>
    <row r="115" spans="1:7" x14ac:dyDescent="0.3">
      <c r="A115" t="s">
        <v>220</v>
      </c>
      <c r="B115" t="s">
        <v>221</v>
      </c>
      <c r="C115" s="13" t="s">
        <v>9</v>
      </c>
      <c r="D115" s="19">
        <v>3.92</v>
      </c>
      <c r="E115" s="20">
        <f t="shared" si="10"/>
        <v>42.728000000000002</v>
      </c>
      <c r="F115" s="12" t="str">
        <f t="shared" si="11"/>
        <v/>
      </c>
      <c r="G115" s="12" t="str">
        <f t="shared" si="12"/>
        <v/>
      </c>
    </row>
    <row r="116" spans="1:7" x14ac:dyDescent="0.3">
      <c r="A116" t="s">
        <v>222</v>
      </c>
      <c r="B116" t="s">
        <v>223</v>
      </c>
      <c r="C116" s="13" t="s">
        <v>9</v>
      </c>
      <c r="D116" s="19">
        <v>4.0199999999999996</v>
      </c>
      <c r="E116" s="20">
        <f t="shared" si="10"/>
        <v>43.817999999999998</v>
      </c>
      <c r="F116" s="12" t="str">
        <f t="shared" si="11"/>
        <v/>
      </c>
      <c r="G116" s="12" t="str">
        <f t="shared" si="12"/>
        <v/>
      </c>
    </row>
    <row r="117" spans="1:7" x14ac:dyDescent="0.3">
      <c r="A117" t="s">
        <v>224</v>
      </c>
      <c r="B117" t="s">
        <v>225</v>
      </c>
      <c r="C117" s="13" t="s">
        <v>9</v>
      </c>
      <c r="D117" s="19">
        <v>4.12</v>
      </c>
      <c r="E117" s="20">
        <f t="shared" si="10"/>
        <v>44.908000000000001</v>
      </c>
      <c r="F117" s="12" t="str">
        <f t="shared" si="11"/>
        <v/>
      </c>
      <c r="G117" s="12" t="str">
        <f t="shared" si="12"/>
        <v/>
      </c>
    </row>
    <row r="118" spans="1:7" x14ac:dyDescent="0.3">
      <c r="A118" t="s">
        <v>226</v>
      </c>
      <c r="B118" t="s">
        <v>227</v>
      </c>
      <c r="C118" s="13" t="s">
        <v>9</v>
      </c>
      <c r="D118" s="19">
        <v>4.22</v>
      </c>
      <c r="E118" s="20">
        <f t="shared" si="10"/>
        <v>45.997999999999998</v>
      </c>
      <c r="F118" s="12" t="str">
        <f t="shared" si="11"/>
        <v/>
      </c>
      <c r="G118" s="12" t="str">
        <f t="shared" si="12"/>
        <v/>
      </c>
    </row>
    <row r="119" spans="1:7" x14ac:dyDescent="0.3">
      <c r="A119" t="s">
        <v>228</v>
      </c>
      <c r="B119" t="s">
        <v>229</v>
      </c>
      <c r="C119" s="13" t="s">
        <v>9</v>
      </c>
      <c r="D119" s="19">
        <v>4.32</v>
      </c>
      <c r="E119" s="20">
        <f t="shared" si="10"/>
        <v>47.088000000000008</v>
      </c>
      <c r="F119" s="12" t="str">
        <f t="shared" si="11"/>
        <v/>
      </c>
      <c r="G119" s="12" t="str">
        <f t="shared" si="12"/>
        <v/>
      </c>
    </row>
    <row r="120" spans="1:7" x14ac:dyDescent="0.3">
      <c r="A120" t="s">
        <v>230</v>
      </c>
      <c r="B120" t="s">
        <v>231</v>
      </c>
      <c r="C120" s="13" t="s">
        <v>9</v>
      </c>
      <c r="D120" s="19">
        <v>4.42</v>
      </c>
      <c r="E120" s="20">
        <f t="shared" si="10"/>
        <v>48.177999999999997</v>
      </c>
      <c r="F120" s="12" t="str">
        <f t="shared" si="11"/>
        <v/>
      </c>
      <c r="G120" s="12" t="str">
        <f t="shared" si="12"/>
        <v/>
      </c>
    </row>
    <row r="121" spans="1:7" x14ac:dyDescent="0.3">
      <c r="A121" t="s">
        <v>232</v>
      </c>
      <c r="B121" t="s">
        <v>233</v>
      </c>
      <c r="C121" s="13" t="s">
        <v>10</v>
      </c>
      <c r="D121" s="19">
        <v>7.2</v>
      </c>
      <c r="E121" s="20">
        <f t="shared" si="10"/>
        <v>84.960000000000008</v>
      </c>
      <c r="F121" s="12" t="str">
        <f t="shared" si="11"/>
        <v/>
      </c>
      <c r="G121" s="12" t="str">
        <f t="shared" si="12"/>
        <v/>
      </c>
    </row>
    <row r="122" spans="1:7" x14ac:dyDescent="0.3">
      <c r="A122" t="s">
        <v>234</v>
      </c>
      <c r="B122" t="s">
        <v>235</v>
      </c>
      <c r="C122" s="13" t="s">
        <v>11</v>
      </c>
      <c r="D122" s="19">
        <v>7.2</v>
      </c>
      <c r="E122" s="20">
        <f t="shared" si="10"/>
        <v>66.239999999999995</v>
      </c>
      <c r="F122" s="12" t="str">
        <f t="shared" si="11"/>
        <v/>
      </c>
      <c r="G122" s="12" t="str">
        <f t="shared" si="12"/>
        <v/>
      </c>
    </row>
    <row r="123" spans="1:7" x14ac:dyDescent="0.3">
      <c r="A123" t="s">
        <v>236</v>
      </c>
      <c r="B123" t="s">
        <v>237</v>
      </c>
      <c r="C123" s="13" t="s">
        <v>10</v>
      </c>
      <c r="D123" s="19">
        <v>8.25</v>
      </c>
      <c r="E123" s="20">
        <f t="shared" si="10"/>
        <v>97.350000000000009</v>
      </c>
      <c r="F123" s="12" t="str">
        <f t="shared" si="11"/>
        <v/>
      </c>
      <c r="G123" s="12" t="str">
        <f t="shared" si="12"/>
        <v/>
      </c>
    </row>
    <row r="124" spans="1:7" x14ac:dyDescent="0.3">
      <c r="A124" t="s">
        <v>238</v>
      </c>
      <c r="B124" t="s">
        <v>239</v>
      </c>
      <c r="C124" s="13" t="s">
        <v>11</v>
      </c>
      <c r="D124" s="19">
        <v>8.25</v>
      </c>
      <c r="E124" s="20">
        <f t="shared" si="10"/>
        <v>75.899999999999991</v>
      </c>
      <c r="F124" s="12" t="str">
        <f t="shared" si="11"/>
        <v/>
      </c>
      <c r="G124" s="12" t="str">
        <f t="shared" si="12"/>
        <v/>
      </c>
    </row>
    <row r="125" spans="1:7" x14ac:dyDescent="0.3">
      <c r="A125" t="s">
        <v>240</v>
      </c>
      <c r="B125" t="s">
        <v>241</v>
      </c>
      <c r="C125" s="13" t="s">
        <v>10</v>
      </c>
      <c r="D125" s="19">
        <v>8.6999999999999993</v>
      </c>
      <c r="E125" s="20">
        <f t="shared" si="10"/>
        <v>102.66</v>
      </c>
      <c r="F125" s="12" t="str">
        <f t="shared" si="11"/>
        <v/>
      </c>
      <c r="G125" s="12" t="str">
        <f t="shared" si="12"/>
        <v/>
      </c>
    </row>
    <row r="126" spans="1:7" x14ac:dyDescent="0.3">
      <c r="A126" t="s">
        <v>242</v>
      </c>
      <c r="B126" t="s">
        <v>243</v>
      </c>
      <c r="C126" s="13" t="s">
        <v>11</v>
      </c>
      <c r="D126" s="19">
        <v>8.6999999999999993</v>
      </c>
      <c r="E126" s="20">
        <f t="shared" si="10"/>
        <v>80.039999999999992</v>
      </c>
      <c r="F126" s="12" t="str">
        <f t="shared" si="11"/>
        <v/>
      </c>
      <c r="G126" s="12" t="str">
        <f t="shared" si="12"/>
        <v/>
      </c>
    </row>
    <row r="127" spans="1:7" x14ac:dyDescent="0.3">
      <c r="A127" t="s">
        <v>244</v>
      </c>
      <c r="B127" t="s">
        <v>245</v>
      </c>
      <c r="C127" s="13" t="s">
        <v>10</v>
      </c>
      <c r="D127" s="19">
        <v>5</v>
      </c>
      <c r="E127" s="20">
        <f t="shared" si="10"/>
        <v>59</v>
      </c>
      <c r="F127" s="12" t="str">
        <f t="shared" si="11"/>
        <v/>
      </c>
      <c r="G127" s="12" t="str">
        <f t="shared" si="12"/>
        <v/>
      </c>
    </row>
    <row r="128" spans="1:7" x14ac:dyDescent="0.3">
      <c r="A128" t="s">
        <v>246</v>
      </c>
      <c r="B128" t="s">
        <v>247</v>
      </c>
      <c r="C128" s="13" t="s">
        <v>11</v>
      </c>
      <c r="D128" s="19">
        <v>5</v>
      </c>
      <c r="E128" s="20">
        <f t="shared" si="10"/>
        <v>46</v>
      </c>
      <c r="F128" s="12" t="str">
        <f t="shared" si="11"/>
        <v/>
      </c>
      <c r="G128" s="12" t="str">
        <f t="shared" si="12"/>
        <v/>
      </c>
    </row>
    <row r="129" spans="1:7" x14ac:dyDescent="0.3">
      <c r="A129" t="s">
        <v>248</v>
      </c>
      <c r="B129" t="s">
        <v>249</v>
      </c>
      <c r="C129" s="13" t="s">
        <v>10</v>
      </c>
      <c r="D129" s="19">
        <v>6.15</v>
      </c>
      <c r="E129" s="20">
        <f t="shared" si="10"/>
        <v>72.570000000000007</v>
      </c>
      <c r="F129" s="12" t="str">
        <f t="shared" si="11"/>
        <v/>
      </c>
      <c r="G129" s="12" t="str">
        <f t="shared" si="12"/>
        <v/>
      </c>
    </row>
    <row r="130" spans="1:7" x14ac:dyDescent="0.3">
      <c r="A130" t="s">
        <v>250</v>
      </c>
      <c r="B130" t="s">
        <v>251</v>
      </c>
      <c r="C130" s="13" t="s">
        <v>11</v>
      </c>
      <c r="D130" s="19">
        <v>6.15</v>
      </c>
      <c r="E130" s="20">
        <f t="shared" si="10"/>
        <v>56.58</v>
      </c>
      <c r="F130" s="12" t="str">
        <f t="shared" si="11"/>
        <v/>
      </c>
      <c r="G130" s="12" t="str">
        <f t="shared" si="12"/>
        <v/>
      </c>
    </row>
    <row r="131" spans="1:7" x14ac:dyDescent="0.3">
      <c r="A131" t="s">
        <v>252</v>
      </c>
      <c r="B131" t="s">
        <v>253</v>
      </c>
      <c r="C131" s="13" t="s">
        <v>10</v>
      </c>
      <c r="D131" s="19">
        <v>6.3</v>
      </c>
      <c r="E131" s="20">
        <f t="shared" si="10"/>
        <v>74.34</v>
      </c>
      <c r="F131" s="12" t="str">
        <f t="shared" si="11"/>
        <v/>
      </c>
      <c r="G131" s="12" t="str">
        <f t="shared" si="12"/>
        <v/>
      </c>
    </row>
    <row r="132" spans="1:7" x14ac:dyDescent="0.3">
      <c r="A132" t="s">
        <v>254</v>
      </c>
      <c r="B132" t="s">
        <v>255</v>
      </c>
      <c r="C132" s="13" t="s">
        <v>11</v>
      </c>
      <c r="D132" s="19">
        <v>6.3</v>
      </c>
      <c r="E132" s="20">
        <f t="shared" si="10"/>
        <v>57.959999999999994</v>
      </c>
      <c r="F132" s="12" t="str">
        <f t="shared" si="11"/>
        <v/>
      </c>
      <c r="G132" s="12" t="str">
        <f t="shared" si="12"/>
        <v/>
      </c>
    </row>
    <row r="133" spans="1:7" x14ac:dyDescent="0.3">
      <c r="A133" t="s">
        <v>256</v>
      </c>
      <c r="B133" t="s">
        <v>257</v>
      </c>
      <c r="C133" s="13" t="s">
        <v>10</v>
      </c>
      <c r="D133" s="19">
        <v>6.7560000000000002</v>
      </c>
      <c r="E133" s="20">
        <f t="shared" si="10"/>
        <v>79.720800000000011</v>
      </c>
      <c r="F133" s="12" t="str">
        <f t="shared" si="11"/>
        <v/>
      </c>
      <c r="G133" s="12" t="str">
        <f t="shared" si="12"/>
        <v/>
      </c>
    </row>
    <row r="134" spans="1:7" x14ac:dyDescent="0.3">
      <c r="A134" t="s">
        <v>258</v>
      </c>
      <c r="B134" t="s">
        <v>259</v>
      </c>
      <c r="C134" s="13" t="s">
        <v>11</v>
      </c>
      <c r="D134" s="19">
        <v>6.7560000000000002</v>
      </c>
      <c r="E134" s="20">
        <f t="shared" si="10"/>
        <v>62.155200000000001</v>
      </c>
      <c r="F134" s="12" t="str">
        <f t="shared" si="11"/>
        <v/>
      </c>
      <c r="G134" s="12" t="str">
        <f t="shared" si="12"/>
        <v/>
      </c>
    </row>
    <row r="135" spans="1:7" x14ac:dyDescent="0.3">
      <c r="A135" t="s">
        <v>260</v>
      </c>
      <c r="B135" t="s">
        <v>261</v>
      </c>
      <c r="C135" s="13" t="s">
        <v>10</v>
      </c>
      <c r="D135" s="19">
        <v>8.25</v>
      </c>
      <c r="E135" s="20">
        <f t="shared" si="10"/>
        <v>97.350000000000009</v>
      </c>
      <c r="F135" s="12" t="str">
        <f t="shared" si="11"/>
        <v/>
      </c>
      <c r="G135" s="12" t="str">
        <f t="shared" si="12"/>
        <v/>
      </c>
    </row>
    <row r="136" spans="1:7" x14ac:dyDescent="0.3">
      <c r="A136" t="s">
        <v>262</v>
      </c>
      <c r="B136" t="s">
        <v>263</v>
      </c>
      <c r="C136" s="13" t="s">
        <v>11</v>
      </c>
      <c r="D136" s="19">
        <v>8.25</v>
      </c>
      <c r="E136" s="20">
        <f t="shared" si="10"/>
        <v>75.899999999999991</v>
      </c>
      <c r="F136" s="12" t="str">
        <f t="shared" si="11"/>
        <v/>
      </c>
      <c r="G136" s="12" t="str">
        <f t="shared" si="12"/>
        <v/>
      </c>
    </row>
    <row r="137" spans="1:7" x14ac:dyDescent="0.3">
      <c r="A137" t="s">
        <v>264</v>
      </c>
      <c r="B137" t="s">
        <v>265</v>
      </c>
      <c r="C137" s="13" t="s">
        <v>10</v>
      </c>
      <c r="D137" s="19">
        <v>8.6449999999999996</v>
      </c>
      <c r="E137" s="20">
        <f t="shared" si="10"/>
        <v>102.011</v>
      </c>
      <c r="F137" s="12" t="str">
        <f t="shared" si="11"/>
        <v/>
      </c>
      <c r="G137" s="12" t="str">
        <f t="shared" si="12"/>
        <v/>
      </c>
    </row>
    <row r="138" spans="1:7" x14ac:dyDescent="0.3">
      <c r="A138" t="s">
        <v>266</v>
      </c>
      <c r="B138" t="s">
        <v>267</v>
      </c>
      <c r="C138" s="13" t="s">
        <v>11</v>
      </c>
      <c r="D138" s="19">
        <v>8.6449999999999996</v>
      </c>
      <c r="E138" s="20">
        <f t="shared" si="10"/>
        <v>79.533999999999992</v>
      </c>
      <c r="F138" s="12" t="str">
        <f t="shared" si="11"/>
        <v/>
      </c>
      <c r="G138" s="12" t="str">
        <f t="shared" si="12"/>
        <v/>
      </c>
    </row>
    <row r="139" spans="1:7" x14ac:dyDescent="0.3">
      <c r="A139" t="s">
        <v>268</v>
      </c>
      <c r="B139" t="s">
        <v>269</v>
      </c>
      <c r="C139" s="13" t="s">
        <v>10</v>
      </c>
      <c r="D139" s="19">
        <v>5</v>
      </c>
      <c r="E139" s="20">
        <f t="shared" si="10"/>
        <v>59</v>
      </c>
      <c r="F139" s="12" t="str">
        <f t="shared" si="11"/>
        <v/>
      </c>
      <c r="G139" s="12" t="str">
        <f t="shared" si="12"/>
        <v/>
      </c>
    </row>
    <row r="140" spans="1:7" x14ac:dyDescent="0.3">
      <c r="A140" t="s">
        <v>270</v>
      </c>
      <c r="B140" t="s">
        <v>271</v>
      </c>
      <c r="C140" s="13" t="s">
        <v>11</v>
      </c>
      <c r="D140" s="19">
        <v>5</v>
      </c>
      <c r="E140" s="20">
        <f t="shared" si="10"/>
        <v>46</v>
      </c>
      <c r="F140" s="12" t="str">
        <f t="shared" si="11"/>
        <v/>
      </c>
      <c r="G140" s="12" t="str">
        <f t="shared" si="12"/>
        <v/>
      </c>
    </row>
    <row r="141" spans="1:7" x14ac:dyDescent="0.3">
      <c r="A141" t="s">
        <v>272</v>
      </c>
      <c r="B141" t="s">
        <v>273</v>
      </c>
      <c r="C141" s="13" t="s">
        <v>10</v>
      </c>
      <c r="D141" s="19">
        <v>4.8</v>
      </c>
      <c r="E141" s="20">
        <f t="shared" si="10"/>
        <v>56.64</v>
      </c>
      <c r="F141" s="12" t="str">
        <f t="shared" si="11"/>
        <v/>
      </c>
      <c r="G141" s="12" t="str">
        <f t="shared" si="12"/>
        <v/>
      </c>
    </row>
    <row r="142" spans="1:7" x14ac:dyDescent="0.3">
      <c r="A142" t="s">
        <v>274</v>
      </c>
      <c r="B142" t="s">
        <v>275</v>
      </c>
      <c r="C142" s="13" t="s">
        <v>11</v>
      </c>
      <c r="D142" s="19">
        <v>4.8</v>
      </c>
      <c r="E142" s="20">
        <f t="shared" si="10"/>
        <v>44.16</v>
      </c>
      <c r="F142" s="12" t="str">
        <f t="shared" si="11"/>
        <v/>
      </c>
      <c r="G142" s="12" t="str">
        <f t="shared" si="12"/>
        <v/>
      </c>
    </row>
    <row r="143" spans="1:7" x14ac:dyDescent="0.3">
      <c r="A143" t="s">
        <v>276</v>
      </c>
      <c r="B143" t="s">
        <v>277</v>
      </c>
      <c r="C143" s="13" t="s">
        <v>14</v>
      </c>
      <c r="D143" s="19">
        <v>0.63</v>
      </c>
      <c r="E143" s="20">
        <f t="shared" si="10"/>
        <v>0.85680000000000012</v>
      </c>
      <c r="F143" s="12" t="str">
        <f t="shared" si="11"/>
        <v/>
      </c>
      <c r="G143" s="12" t="str">
        <f t="shared" si="12"/>
        <v/>
      </c>
    </row>
    <row r="144" spans="1:7" x14ac:dyDescent="0.3">
      <c r="A144" t="s">
        <v>278</v>
      </c>
      <c r="B144" t="s">
        <v>279</v>
      </c>
      <c r="C144" s="13" t="s">
        <v>15</v>
      </c>
      <c r="D144" s="19">
        <v>1</v>
      </c>
      <c r="E144" s="20">
        <f t="shared" si="10"/>
        <v>0.41</v>
      </c>
      <c r="F144" s="12" t="str">
        <f t="shared" si="11"/>
        <v/>
      </c>
      <c r="G144" s="12" t="str">
        <f t="shared" si="12"/>
        <v/>
      </c>
    </row>
    <row r="145" spans="1:7" x14ac:dyDescent="0.3">
      <c r="A145" t="s">
        <v>280</v>
      </c>
      <c r="B145" t="s">
        <v>281</v>
      </c>
      <c r="C145" s="13" t="s">
        <v>16</v>
      </c>
      <c r="D145" s="19">
        <v>1</v>
      </c>
      <c r="E145" s="20">
        <f t="shared" si="10"/>
        <v>1.28</v>
      </c>
      <c r="F145" s="12" t="str">
        <f t="shared" si="11"/>
        <v/>
      </c>
      <c r="G145" s="12" t="str">
        <f t="shared" si="12"/>
        <v/>
      </c>
    </row>
    <row r="146" spans="1:7" x14ac:dyDescent="0.3">
      <c r="A146" t="s">
        <v>282</v>
      </c>
      <c r="B146" t="s">
        <v>283</v>
      </c>
      <c r="C146" s="13" t="s">
        <v>12</v>
      </c>
      <c r="D146" s="19">
        <v>1.5</v>
      </c>
      <c r="E146" s="20">
        <f t="shared" si="10"/>
        <v>5.85</v>
      </c>
      <c r="F146" s="12" t="str">
        <f t="shared" si="11"/>
        <v/>
      </c>
      <c r="G146" s="12" t="str">
        <f t="shared" si="12"/>
        <v/>
      </c>
    </row>
    <row r="147" spans="1:7" x14ac:dyDescent="0.3">
      <c r="A147" t="s">
        <v>284</v>
      </c>
      <c r="B147" t="s">
        <v>285</v>
      </c>
      <c r="C147" s="13" t="s">
        <v>17</v>
      </c>
      <c r="D147" s="19">
        <v>1</v>
      </c>
      <c r="E147" s="20">
        <f t="shared" si="10"/>
        <v>5.07</v>
      </c>
      <c r="F147" s="12" t="str">
        <f t="shared" si="11"/>
        <v/>
      </c>
      <c r="G147" s="12" t="str">
        <f t="shared" si="12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6" activePane="bottomLeft" state="frozen"/>
      <selection pane="bottomLeft" activeCell="B11" sqref="B11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286</v>
      </c>
    </row>
    <row r="2" spans="1:7" x14ac:dyDescent="0.3">
      <c r="A2" s="22" t="s">
        <v>287</v>
      </c>
    </row>
    <row r="4" spans="1:7" ht="15.6" customHeight="1" x14ac:dyDescent="0.3">
      <c r="A4" s="15" t="s">
        <v>288</v>
      </c>
    </row>
    <row r="5" spans="1:7" ht="27.6" customHeight="1" x14ac:dyDescent="0.3">
      <c r="A5" s="23" t="s">
        <v>289</v>
      </c>
      <c r="B5" s="23" t="s">
        <v>19</v>
      </c>
      <c r="C5" s="23" t="s">
        <v>290</v>
      </c>
      <c r="D5" s="23" t="s">
        <v>4</v>
      </c>
      <c r="E5" s="23" t="s">
        <v>291</v>
      </c>
      <c r="F5" s="23" t="s">
        <v>6</v>
      </c>
      <c r="G5" s="23" t="s">
        <v>7</v>
      </c>
    </row>
    <row r="6" spans="1:7" x14ac:dyDescent="0.3">
      <c r="A6" t="s">
        <v>292</v>
      </c>
      <c r="B6" t="s">
        <v>293</v>
      </c>
      <c r="C6" s="18">
        <v>0.624</v>
      </c>
      <c r="D6" s="17"/>
      <c r="E6" s="18">
        <f t="shared" ref="E6:E27" si="0">IF(ISNUMBER($C6),$C6*(1+IF(ISNUMBER($D6),$D6,0)),"")</f>
        <v>0.624</v>
      </c>
      <c r="F6" s="21"/>
      <c r="G6" s="21"/>
    </row>
    <row r="7" spans="1:7" x14ac:dyDescent="0.3">
      <c r="A7" t="s">
        <v>294</v>
      </c>
      <c r="B7" t="s">
        <v>295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296</v>
      </c>
      <c r="B8" t="s">
        <v>297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298</v>
      </c>
      <c r="B9" t="s">
        <v>299</v>
      </c>
      <c r="C9" s="18">
        <v>0.84240000000000004</v>
      </c>
      <c r="D9" s="17"/>
      <c r="E9" s="18">
        <f t="shared" si="0"/>
        <v>0.84240000000000004</v>
      </c>
      <c r="F9" s="21"/>
      <c r="G9" s="21"/>
    </row>
    <row r="10" spans="1:7" x14ac:dyDescent="0.3">
      <c r="A10" t="s">
        <v>300</v>
      </c>
      <c r="B10" t="s">
        <v>301</v>
      </c>
      <c r="C10" s="18">
        <v>2.9483999999999999</v>
      </c>
      <c r="D10" s="17"/>
      <c r="E10" s="18">
        <f t="shared" si="0"/>
        <v>2.9483999999999999</v>
      </c>
      <c r="F10" s="21"/>
      <c r="G10" s="21"/>
    </row>
    <row r="11" spans="1:7" x14ac:dyDescent="0.3">
      <c r="A11" t="s">
        <v>302</v>
      </c>
      <c r="B11" t="s">
        <v>303</v>
      </c>
      <c r="C11" s="18">
        <v>0.21840000000000001</v>
      </c>
      <c r="D11" s="17"/>
      <c r="E11" s="18">
        <f t="shared" si="0"/>
        <v>0.21840000000000001</v>
      </c>
      <c r="F11" s="21"/>
      <c r="G11" s="21"/>
    </row>
    <row r="12" spans="1:7" x14ac:dyDescent="0.3">
      <c r="A12" t="s">
        <v>304</v>
      </c>
      <c r="B12" t="s">
        <v>305</v>
      </c>
      <c r="C12" s="18">
        <v>0.65239999999999998</v>
      </c>
      <c r="D12" s="17"/>
      <c r="E12" s="18">
        <f t="shared" si="0"/>
        <v>0.65239999999999998</v>
      </c>
      <c r="F12" s="21"/>
      <c r="G12" s="21"/>
    </row>
    <row r="13" spans="1:7" x14ac:dyDescent="0.3">
      <c r="A13" t="s">
        <v>306</v>
      </c>
      <c r="B13" t="s">
        <v>307</v>
      </c>
      <c r="C13" s="18">
        <v>2.1528</v>
      </c>
      <c r="D13" s="17"/>
      <c r="E13" s="18">
        <f t="shared" si="0"/>
        <v>2.1528</v>
      </c>
      <c r="F13" s="21"/>
      <c r="G13" s="21"/>
    </row>
    <row r="14" spans="1:7" x14ac:dyDescent="0.3">
      <c r="A14" t="s">
        <v>308</v>
      </c>
      <c r="B14" t="s">
        <v>309</v>
      </c>
      <c r="C14" s="18">
        <v>2.7256</v>
      </c>
      <c r="D14" s="17"/>
      <c r="E14" s="18">
        <f t="shared" si="0"/>
        <v>2.7256</v>
      </c>
      <c r="F14" s="21"/>
      <c r="G14" s="21"/>
    </row>
    <row r="15" spans="1:7" x14ac:dyDescent="0.3">
      <c r="A15" t="s">
        <v>310</v>
      </c>
      <c r="B15" t="s">
        <v>311</v>
      </c>
      <c r="C15" s="18">
        <v>2.6856960000000001</v>
      </c>
      <c r="D15" s="17"/>
      <c r="E15" s="18">
        <f t="shared" si="0"/>
        <v>2.6856960000000001</v>
      </c>
      <c r="F15" s="21"/>
      <c r="G15" s="21"/>
    </row>
    <row r="16" spans="1:7" x14ac:dyDescent="0.3">
      <c r="A16" t="s">
        <v>312</v>
      </c>
      <c r="B16" t="s">
        <v>313</v>
      </c>
      <c r="C16" s="18">
        <v>2.6856960000000001</v>
      </c>
      <c r="D16" s="17"/>
      <c r="E16" s="18">
        <f t="shared" si="0"/>
        <v>2.6856960000000001</v>
      </c>
      <c r="F16" s="21"/>
      <c r="G16" s="21"/>
    </row>
    <row r="17" spans="1:7" x14ac:dyDescent="0.3">
      <c r="A17" t="s">
        <v>314</v>
      </c>
      <c r="B17" t="s">
        <v>315</v>
      </c>
      <c r="C17" s="18">
        <v>7.0012800000000004</v>
      </c>
      <c r="D17" s="17"/>
      <c r="E17" s="18">
        <f t="shared" si="0"/>
        <v>7.0012800000000004</v>
      </c>
      <c r="F17" s="21"/>
      <c r="G17" s="21"/>
    </row>
    <row r="18" spans="1:7" x14ac:dyDescent="0.3">
      <c r="A18" t="s">
        <v>316</v>
      </c>
      <c r="B18" t="s">
        <v>317</v>
      </c>
      <c r="C18" s="18">
        <v>2.169</v>
      </c>
      <c r="D18" s="17"/>
      <c r="E18" s="18">
        <f t="shared" si="0"/>
        <v>2.169</v>
      </c>
      <c r="F18" s="21"/>
      <c r="G18" s="21"/>
    </row>
    <row r="19" spans="1:7" x14ac:dyDescent="0.3">
      <c r="A19" t="s">
        <v>318</v>
      </c>
      <c r="B19" t="s">
        <v>319</v>
      </c>
      <c r="C19" s="18">
        <v>2.169</v>
      </c>
      <c r="D19" s="17"/>
      <c r="E19" s="18">
        <f t="shared" si="0"/>
        <v>2.169</v>
      </c>
      <c r="F19" s="21"/>
      <c r="G19" s="21"/>
    </row>
    <row r="20" spans="1:7" x14ac:dyDescent="0.3">
      <c r="A20" t="s">
        <v>320</v>
      </c>
      <c r="B20" t="s">
        <v>321</v>
      </c>
      <c r="C20" s="18">
        <v>7.3788</v>
      </c>
      <c r="D20" s="17"/>
      <c r="E20" s="18">
        <f t="shared" si="0"/>
        <v>7.3788</v>
      </c>
      <c r="F20" s="21"/>
      <c r="G20" s="21"/>
    </row>
    <row r="21" spans="1:7" x14ac:dyDescent="0.3">
      <c r="A21" t="s">
        <v>322</v>
      </c>
      <c r="B21" t="s">
        <v>323</v>
      </c>
      <c r="C21" s="18">
        <v>4.5708000000000002</v>
      </c>
      <c r="D21" s="17"/>
      <c r="E21" s="18">
        <f t="shared" si="0"/>
        <v>4.5708000000000002</v>
      </c>
      <c r="F21" s="21"/>
      <c r="G21" s="21"/>
    </row>
    <row r="22" spans="1:7" x14ac:dyDescent="0.3">
      <c r="A22" t="s">
        <v>324</v>
      </c>
      <c r="B22" t="s">
        <v>325</v>
      </c>
      <c r="C22" s="18">
        <v>2.54</v>
      </c>
      <c r="D22" s="17"/>
      <c r="E22" s="18">
        <f t="shared" si="0"/>
        <v>2.54</v>
      </c>
      <c r="F22" s="21"/>
      <c r="G22" s="21"/>
    </row>
    <row r="23" spans="1:7" x14ac:dyDescent="0.3">
      <c r="A23" t="s">
        <v>326</v>
      </c>
      <c r="B23" t="s">
        <v>327</v>
      </c>
      <c r="C23" s="18">
        <v>0.51949999999999996</v>
      </c>
      <c r="D23" s="17"/>
      <c r="E23" s="18">
        <f t="shared" si="0"/>
        <v>0.51949999999999996</v>
      </c>
      <c r="F23" s="21"/>
      <c r="G23" s="21"/>
    </row>
    <row r="24" spans="1:7" x14ac:dyDescent="0.3">
      <c r="A24" t="s">
        <v>328</v>
      </c>
      <c r="B24" t="s">
        <v>329</v>
      </c>
      <c r="C24" s="18">
        <v>0.51949999999999996</v>
      </c>
      <c r="D24" s="17"/>
      <c r="E24" s="18">
        <f t="shared" si="0"/>
        <v>0.51949999999999996</v>
      </c>
      <c r="F24" s="21"/>
      <c r="G24" s="21"/>
    </row>
    <row r="25" spans="1:7" x14ac:dyDescent="0.3">
      <c r="A25" t="s">
        <v>330</v>
      </c>
      <c r="B25" t="s">
        <v>331</v>
      </c>
      <c r="C25" s="18">
        <v>0.45137500000000003</v>
      </c>
      <c r="D25" s="17"/>
      <c r="E25" s="18">
        <f t="shared" si="0"/>
        <v>0.45137500000000003</v>
      </c>
      <c r="F25" s="21"/>
      <c r="G25" s="21"/>
    </row>
    <row r="26" spans="1:7" x14ac:dyDescent="0.3">
      <c r="A26" t="s">
        <v>332</v>
      </c>
      <c r="B26" t="s">
        <v>333</v>
      </c>
      <c r="C26" s="18">
        <v>0.136355</v>
      </c>
      <c r="D26" s="17"/>
      <c r="E26" s="18">
        <f t="shared" si="0"/>
        <v>0.136355</v>
      </c>
      <c r="F26" s="21"/>
      <c r="G26" s="21"/>
    </row>
    <row r="27" spans="1:7" x14ac:dyDescent="0.3">
      <c r="A27" t="s">
        <v>334</v>
      </c>
      <c r="B27" t="s">
        <v>335</v>
      </c>
      <c r="C27" s="18"/>
      <c r="D27" s="17"/>
      <c r="E27" s="18" t="str">
        <f t="shared" si="0"/>
        <v/>
      </c>
      <c r="F27" s="21"/>
      <c r="G27" s="21"/>
    </row>
    <row r="28" spans="1:7" x14ac:dyDescent="0.3">
      <c r="C28" s="18"/>
      <c r="D28" s="17"/>
      <c r="E28" s="18"/>
      <c r="F28" s="21"/>
      <c r="G28" s="21"/>
    </row>
    <row r="29" spans="1:7" x14ac:dyDescent="0.3">
      <c r="C29" s="18"/>
      <c r="D29" s="17"/>
      <c r="E29" s="18"/>
      <c r="F29" s="21"/>
      <c r="G29" s="21"/>
    </row>
    <row r="30" spans="1:7" x14ac:dyDescent="0.3">
      <c r="C30" s="18"/>
      <c r="D30" s="17"/>
      <c r="E30" s="18"/>
      <c r="F30" s="21"/>
      <c r="G30" s="21"/>
    </row>
    <row r="31" spans="1:7" x14ac:dyDescent="0.3">
      <c r="C31" s="18"/>
      <c r="D31" s="17"/>
      <c r="E31" s="18"/>
      <c r="F31" s="21"/>
      <c r="G31" s="21"/>
    </row>
    <row r="32" spans="1:7" x14ac:dyDescent="0.3">
      <c r="C32" s="18"/>
      <c r="D32" s="17"/>
      <c r="E32" s="18"/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336</v>
      </c>
    </row>
    <row r="37" spans="1:7" ht="27.6" customHeight="1" x14ac:dyDescent="0.3">
      <c r="A37" s="23" t="s">
        <v>18</v>
      </c>
      <c r="B37" s="23" t="s">
        <v>19</v>
      </c>
      <c r="C37" s="23" t="s">
        <v>289</v>
      </c>
      <c r="D37" s="23" t="s">
        <v>21</v>
      </c>
      <c r="E37" s="23" t="s">
        <v>22</v>
      </c>
      <c r="F37" s="23" t="s">
        <v>23</v>
      </c>
    </row>
    <row r="38" spans="1:7" x14ac:dyDescent="0.3">
      <c r="A38" t="s">
        <v>292</v>
      </c>
      <c r="B38" t="str">
        <f t="shared" ref="B38:B59" si="1">IFERROR(VLOOKUP($C38,$A$6:$G$27,2,FALSE),"")</f>
        <v>Piastra giunzione montanti centrali 200x100x4 (8 fori Ø 11)</v>
      </c>
      <c r="C38" t="s">
        <v>292</v>
      </c>
      <c r="D38" s="20">
        <f t="shared" ref="D38:D59" si="2">IF(ISNUMBER(VLOOKUP($C38,$A$6:$G$27,5,FALSE)),VLOOKUP($C38,$A$6:$G$27,5,FALSE),"")</f>
        <v>0.624</v>
      </c>
      <c r="E38" s="12" t="str">
        <f t="shared" ref="E38:E59" si="3">IF(AND(ISNUMBER(VLOOKUP($C38,$A$6:$G$27,3,FALSE)),ISNUMBER(VLOOKUP($C38,$A$6:$G$27,6,FALSE))),VLOOKUP($C38,$A$6:$G$27,3,FALSE)*VLOOKUP($C38,$A$6:$G$27,6,FALSE),"")</f>
        <v/>
      </c>
      <c r="F38" s="12" t="str">
        <f t="shared" ref="F38:F59" si="4">IF(AND(ISNUMBER(VLOOKUP($C38,$A$6:$G$27,3,FALSE)),ISNUMBER(VLOOKUP($C38,$A$6:$G$27,4,FALSE)),VLOOKUP($C38,$A$6:$G$27,4,FALSE)&gt;0,ISNUMBER(VLOOKUP($C38,$A$6:$G$27,7,FALSE))),VLOOKUP($C38,$A$6:$G$27,3,FALSE)*(1+VLOOKUP($C38,$A$6:$G$27,4,FALSE))*VLOOKUP($C38,$A$6:$G$27,7,FALSE),"")</f>
        <v/>
      </c>
    </row>
    <row r="39" spans="1:7" x14ac:dyDescent="0.3">
      <c r="A39" t="s">
        <v>294</v>
      </c>
      <c r="B39" t="str">
        <f t="shared" si="1"/>
        <v>Piastra giunzione montanti esterna 240x70x6 (12 fori Ø 11)</v>
      </c>
      <c r="C39" t="s">
        <v>294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296</v>
      </c>
      <c r="B40" t="str">
        <f t="shared" si="1"/>
        <v>Piastra giunzione montanti interna 240x25x6 (6 fori Ø 11)</v>
      </c>
      <c r="C40" t="s">
        <v>296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298</v>
      </c>
      <c r="B41" t="str">
        <f t="shared" si="1"/>
        <v>Supporto superiore inclinometro</v>
      </c>
      <c r="C41" t="s">
        <v>298</v>
      </c>
      <c r="D41" s="20">
        <f t="shared" si="2"/>
        <v>0.84240000000000004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300</v>
      </c>
      <c r="B42" t="str">
        <f t="shared" si="1"/>
        <v>Supporto inferiore inclinometro</v>
      </c>
      <c r="C42" t="s">
        <v>300</v>
      </c>
      <c r="D42" s="20">
        <f t="shared" si="2"/>
        <v>2.9483999999999999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302</v>
      </c>
      <c r="B43" t="str">
        <f t="shared" si="1"/>
        <v>Piastra ad L supporto fine corsa</v>
      </c>
      <c r="C43" t="s">
        <v>302</v>
      </c>
      <c r="D43" s="20">
        <f t="shared" si="2"/>
        <v>0.21840000000000001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304</v>
      </c>
      <c r="B44" t="str">
        <f t="shared" si="1"/>
        <v>Leva battente sensore fine corsa</v>
      </c>
      <c r="C44" t="s">
        <v>304</v>
      </c>
      <c r="D44" s="20">
        <f t="shared" si="2"/>
        <v>0.65239999999999998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306</v>
      </c>
      <c r="B45" t="str">
        <f t="shared" si="1"/>
        <v>Supporto laterale testa cuscinetto</v>
      </c>
      <c r="C45" t="s">
        <v>306</v>
      </c>
      <c r="D45" s="20">
        <f t="shared" si="2"/>
        <v>2.1528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308</v>
      </c>
      <c r="B46" t="str">
        <f t="shared" si="1"/>
        <v>Supporto testa cuscinetto</v>
      </c>
      <c r="C46" t="s">
        <v>308</v>
      </c>
      <c r="D46" s="20">
        <f t="shared" si="2"/>
        <v>2.7256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310</v>
      </c>
      <c r="B47" t="str">
        <f t="shared" si="1"/>
        <v>Angolare 40x40x4 lungo 1076 mm. supporto inferiore</v>
      </c>
      <c r="C47" t="s">
        <v>310</v>
      </c>
      <c r="D47" s="20">
        <f t="shared" si="2"/>
        <v>2.6856960000000001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312</v>
      </c>
      <c r="B48" t="str">
        <f t="shared" si="1"/>
        <v>Angolare 40x40x4 lungo1076 mm. supporto superiore</v>
      </c>
      <c r="C48" t="s">
        <v>312</v>
      </c>
      <c r="D48" s="20">
        <f t="shared" si="2"/>
        <v>2.6856960000000001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314</v>
      </c>
      <c r="B49" t="str">
        <f t="shared" si="1"/>
        <v>Palo MAX lungo mt.2,040</v>
      </c>
      <c r="C49" t="s">
        <v>314</v>
      </c>
      <c r="D49" s="20">
        <f t="shared" si="2"/>
        <v>7.0012800000000004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316</v>
      </c>
      <c r="B50" t="str">
        <f t="shared" si="1"/>
        <v>Angolare 40x40x4 lungo 869 mm. superiore</v>
      </c>
      <c r="C50" t="s">
        <v>316</v>
      </c>
      <c r="D50" s="20">
        <f t="shared" si="2"/>
        <v>2.169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318</v>
      </c>
      <c r="B51" t="str">
        <f t="shared" si="1"/>
        <v>Angolare 40x40x4 lungo 869 mm. inferiore</v>
      </c>
      <c r="C51" t="s">
        <v>318</v>
      </c>
      <c r="D51" s="20">
        <f t="shared" si="2"/>
        <v>2.169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320</v>
      </c>
      <c r="B52" t="str">
        <f t="shared" si="1"/>
        <v>Palo MAX lungo mt.2,150</v>
      </c>
      <c r="C52" t="s">
        <v>320</v>
      </c>
      <c r="D52" s="20">
        <f t="shared" si="2"/>
        <v>7.3788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322</v>
      </c>
      <c r="B53" t="str">
        <f t="shared" si="1"/>
        <v>Supporto laterale testa riduttore</v>
      </c>
      <c r="C53" t="s">
        <v>322</v>
      </c>
      <c r="D53" s="20">
        <f t="shared" si="2"/>
        <v>4.5708000000000002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324</v>
      </c>
      <c r="B54" t="str">
        <f t="shared" si="1"/>
        <v>Testa riduttore pilastro motore</v>
      </c>
      <c r="C54" t="s">
        <v>324</v>
      </c>
      <c r="D54" s="20">
        <f t="shared" si="2"/>
        <v>2.54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326</v>
      </c>
      <c r="B55" t="str">
        <f t="shared" si="1"/>
        <v>Angolare 30x30x4 lungo 370 mm. superiore</v>
      </c>
      <c r="C55" t="s">
        <v>326</v>
      </c>
      <c r="D55" s="20">
        <f t="shared" si="2"/>
        <v>0.51949999999999996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328</v>
      </c>
      <c r="B56" t="str">
        <f t="shared" si="1"/>
        <v>Angolare 30x30x4 lungo 370 mm. inferiore</v>
      </c>
      <c r="C56" t="s">
        <v>328</v>
      </c>
      <c r="D56" s="20">
        <f t="shared" si="2"/>
        <v>0.51949999999999996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330</v>
      </c>
      <c r="B57" t="str">
        <f t="shared" si="1"/>
        <v>Piatto 50X5X230 supporto sensori</v>
      </c>
      <c r="C57" t="s">
        <v>330</v>
      </c>
      <c r="D57" s="20">
        <f t="shared" si="2"/>
        <v>0.45137500000000003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332</v>
      </c>
      <c r="B58" t="str">
        <f t="shared" si="1"/>
        <v>Piatto 30X3X193 leva sensore temperatura pannello</v>
      </c>
      <c r="C58" t="s">
        <v>332</v>
      </c>
      <c r="D58" s="20">
        <f t="shared" si="2"/>
        <v>0.136355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334</v>
      </c>
      <c r="B59" t="str">
        <f t="shared" si="1"/>
        <v>Asta supporto anemometro</v>
      </c>
      <c r="C59" t="s">
        <v>334</v>
      </c>
      <c r="D59" s="20" t="str">
        <f t="shared" si="2"/>
        <v/>
      </c>
      <c r="E59" s="12" t="str">
        <f t="shared" si="3"/>
        <v/>
      </c>
      <c r="F59" s="12" t="str">
        <f t="shared" si="4"/>
        <v/>
      </c>
    </row>
    <row r="60" spans="1:6" x14ac:dyDescent="0.3">
      <c r="D60" s="20"/>
      <c r="E60" s="12"/>
      <c r="F60" s="12"/>
    </row>
    <row r="61" spans="1:6" x14ac:dyDescent="0.3">
      <c r="D61" s="20"/>
      <c r="E61" s="12"/>
      <c r="F61" s="12"/>
    </row>
    <row r="62" spans="1:6" x14ac:dyDescent="0.3">
      <c r="D62" s="20"/>
      <c r="E62" s="12"/>
      <c r="F62" s="12"/>
    </row>
    <row r="63" spans="1:6" x14ac:dyDescent="0.3">
      <c r="D63" s="20"/>
      <c r="E63" s="12"/>
      <c r="F63" s="12"/>
    </row>
    <row r="64" spans="1:6" x14ac:dyDescent="0.3">
      <c r="D64" s="20"/>
      <c r="E64" s="12"/>
      <c r="F64" s="12"/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337</v>
      </c>
    </row>
    <row r="2" spans="1:4" x14ac:dyDescent="0.3">
      <c r="A2" s="22" t="s">
        <v>338</v>
      </c>
    </row>
    <row r="4" spans="1:4" ht="15.6" customHeight="1" x14ac:dyDescent="0.3">
      <c r="A4" s="15" t="s">
        <v>339</v>
      </c>
    </row>
    <row r="5" spans="1:4" x14ac:dyDescent="0.3">
      <c r="A5" s="23" t="s">
        <v>18</v>
      </c>
      <c r="B5" s="23" t="s">
        <v>19</v>
      </c>
      <c r="C5" s="23" t="s">
        <v>340</v>
      </c>
      <c r="D5" s="23" t="s">
        <v>341</v>
      </c>
    </row>
    <row r="6" spans="1:4" x14ac:dyDescent="0.3">
      <c r="A6" t="s">
        <v>342</v>
      </c>
      <c r="B6" t="s">
        <v>343</v>
      </c>
      <c r="C6" s="24"/>
      <c r="D6" s="25"/>
    </row>
    <row r="7" spans="1:4" x14ac:dyDescent="0.3">
      <c r="A7" t="s">
        <v>344</v>
      </c>
      <c r="B7" t="s">
        <v>345</v>
      </c>
      <c r="C7" s="24">
        <v>2.4500000000000001E-2</v>
      </c>
      <c r="D7" s="25"/>
    </row>
    <row r="8" spans="1:4" x14ac:dyDescent="0.3">
      <c r="A8" t="s">
        <v>346</v>
      </c>
      <c r="B8" t="s">
        <v>347</v>
      </c>
      <c r="C8" s="24">
        <v>3.0499999999999999E-2</v>
      </c>
      <c r="D8" s="25"/>
    </row>
    <row r="9" spans="1:4" x14ac:dyDescent="0.3">
      <c r="A9" t="s">
        <v>348</v>
      </c>
      <c r="B9" t="s">
        <v>349</v>
      </c>
      <c r="C9" s="24">
        <v>0.21</v>
      </c>
      <c r="D9" s="25"/>
    </row>
    <row r="10" spans="1:4" x14ac:dyDescent="0.3">
      <c r="A10" t="s">
        <v>350</v>
      </c>
      <c r="B10" t="s">
        <v>351</v>
      </c>
      <c r="C10" s="24">
        <v>9.5000000000000001E-2</v>
      </c>
      <c r="D10" s="25"/>
    </row>
    <row r="11" spans="1:4" x14ac:dyDescent="0.3">
      <c r="A11" t="s">
        <v>352</v>
      </c>
      <c r="B11" t="s">
        <v>353</v>
      </c>
      <c r="C11" s="24">
        <v>2.4500000000000001E-2</v>
      </c>
      <c r="D11" s="25"/>
    </row>
    <row r="12" spans="1:4" x14ac:dyDescent="0.3">
      <c r="A12" t="s">
        <v>354</v>
      </c>
      <c r="B12" t="s">
        <v>355</v>
      </c>
      <c r="C12" s="24">
        <v>3.0499999999999999E-2</v>
      </c>
      <c r="D12" s="25"/>
    </row>
    <row r="13" spans="1:4" x14ac:dyDescent="0.3">
      <c r="A13" t="s">
        <v>356</v>
      </c>
      <c r="B13" t="s">
        <v>357</v>
      </c>
      <c r="C13" s="24">
        <v>5.1999999999999998E-2</v>
      </c>
      <c r="D13" s="25"/>
    </row>
    <row r="14" spans="1:4" x14ac:dyDescent="0.3">
      <c r="A14" t="s">
        <v>358</v>
      </c>
      <c r="B14" t="s">
        <v>359</v>
      </c>
      <c r="C14" s="24">
        <v>0.11</v>
      </c>
      <c r="D14" s="25"/>
    </row>
    <row r="15" spans="1:4" x14ac:dyDescent="0.3">
      <c r="A15" t="s">
        <v>360</v>
      </c>
      <c r="B15" t="s">
        <v>361</v>
      </c>
      <c r="C15" s="24">
        <v>3.0999999999999999E-3</v>
      </c>
      <c r="D15" s="25"/>
    </row>
    <row r="16" spans="1:4" x14ac:dyDescent="0.3">
      <c r="A16" t="s">
        <v>362</v>
      </c>
      <c r="B16" t="s">
        <v>363</v>
      </c>
      <c r="C16" s="24">
        <v>4.1999999999999997E-3</v>
      </c>
      <c r="D16" s="25"/>
    </row>
    <row r="17" spans="1:4" x14ac:dyDescent="0.3">
      <c r="A17" t="s">
        <v>364</v>
      </c>
      <c r="B17" t="s">
        <v>365</v>
      </c>
      <c r="C17" s="24">
        <v>2.5999999999999999E-2</v>
      </c>
      <c r="D17" s="25"/>
    </row>
    <row r="18" spans="1:4" x14ac:dyDescent="0.3">
      <c r="A18" t="s">
        <v>366</v>
      </c>
      <c r="B18" t="s">
        <v>367</v>
      </c>
      <c r="C18" s="24">
        <v>5.4000000000000003E-3</v>
      </c>
      <c r="D18" s="25"/>
    </row>
    <row r="19" spans="1:4" x14ac:dyDescent="0.3">
      <c r="A19" t="s">
        <v>368</v>
      </c>
      <c r="B19" t="s">
        <v>369</v>
      </c>
      <c r="C19" s="24">
        <v>6.1999999999999998E-3</v>
      </c>
      <c r="D19" s="25"/>
    </row>
    <row r="20" spans="1:4" x14ac:dyDescent="0.3">
      <c r="A20" t="s">
        <v>370</v>
      </c>
      <c r="B20" t="s">
        <v>369</v>
      </c>
      <c r="C20" s="24">
        <v>7.0000000000000001E-3</v>
      </c>
      <c r="D20" s="25"/>
    </row>
    <row r="21" spans="1:4" x14ac:dyDescent="0.3">
      <c r="A21" t="s">
        <v>371</v>
      </c>
      <c r="B21" t="s">
        <v>372</v>
      </c>
      <c r="C21" s="24">
        <v>4.9000000000000002E-2</v>
      </c>
      <c r="D21" s="25"/>
    </row>
    <row r="22" spans="1:4" x14ac:dyDescent="0.3">
      <c r="A22" t="s">
        <v>373</v>
      </c>
      <c r="B22" t="s">
        <v>374</v>
      </c>
      <c r="C22" s="24">
        <v>1.12E-2</v>
      </c>
      <c r="D22" s="25"/>
    </row>
    <row r="23" spans="1:4" x14ac:dyDescent="0.3">
      <c r="A23" t="s">
        <v>375</v>
      </c>
      <c r="B23" t="s">
        <v>376</v>
      </c>
      <c r="C23" s="24">
        <v>1.29E-2</v>
      </c>
      <c r="D23" s="25"/>
    </row>
    <row r="24" spans="1:4" x14ac:dyDescent="0.3">
      <c r="A24" t="s">
        <v>377</v>
      </c>
      <c r="B24" t="s">
        <v>378</v>
      </c>
      <c r="C24" s="24">
        <v>1.4500000000000001E-2</v>
      </c>
      <c r="D24" s="25"/>
    </row>
    <row r="25" spans="1:4" x14ac:dyDescent="0.3">
      <c r="A25" t="s">
        <v>379</v>
      </c>
      <c r="B25" t="s">
        <v>380</v>
      </c>
      <c r="C25" s="24">
        <v>4.7999999999999996E-3</v>
      </c>
      <c r="D25" s="25"/>
    </row>
    <row r="26" spans="1:4" x14ac:dyDescent="0.3">
      <c r="A26" t="s">
        <v>381</v>
      </c>
      <c r="B26" t="s">
        <v>382</v>
      </c>
      <c r="C26" s="24">
        <v>8.9999999999999993E-3</v>
      </c>
      <c r="D26" s="25"/>
    </row>
    <row r="27" spans="1:4" x14ac:dyDescent="0.3">
      <c r="A27" t="s">
        <v>383</v>
      </c>
      <c r="B27" t="s">
        <v>384</v>
      </c>
      <c r="C27" s="24">
        <v>3.5999999999999997E-2</v>
      </c>
      <c r="D27" s="25"/>
    </row>
    <row r="28" spans="1:4" x14ac:dyDescent="0.3">
      <c r="A28" t="s">
        <v>385</v>
      </c>
      <c r="B28" t="s">
        <v>386</v>
      </c>
      <c r="C28" s="24">
        <v>1.1000000000000001E-3</v>
      </c>
      <c r="D28" s="25"/>
    </row>
    <row r="29" spans="1:4" x14ac:dyDescent="0.3">
      <c r="A29" t="s">
        <v>387</v>
      </c>
      <c r="B29" t="s">
        <v>388</v>
      </c>
      <c r="C29" s="24">
        <v>2.0999999999999999E-3</v>
      </c>
      <c r="D29" s="25"/>
    </row>
    <row r="30" spans="1:4" x14ac:dyDescent="0.3">
      <c r="A30" t="s">
        <v>389</v>
      </c>
      <c r="B30" t="s">
        <v>390</v>
      </c>
      <c r="C30" s="24">
        <v>4.7999999999999996E-3</v>
      </c>
      <c r="D30" s="25"/>
    </row>
    <row r="31" spans="1:4" x14ac:dyDescent="0.3">
      <c r="A31" t="s">
        <v>391</v>
      </c>
      <c r="B31" t="s">
        <v>392</v>
      </c>
      <c r="C31" s="24">
        <v>3.8999999999999998E-3</v>
      </c>
      <c r="D31" s="25"/>
    </row>
    <row r="32" spans="1:4" x14ac:dyDescent="0.3">
      <c r="A32" t="s">
        <v>393</v>
      </c>
      <c r="B32" t="s">
        <v>394</v>
      </c>
      <c r="C32" s="24">
        <v>1.35E-2</v>
      </c>
      <c r="D32" s="25"/>
    </row>
    <row r="33" spans="1:4" x14ac:dyDescent="0.3">
      <c r="A33" t="s">
        <v>395</v>
      </c>
      <c r="B33" t="s">
        <v>396</v>
      </c>
      <c r="C33" s="24">
        <v>5.0000000000000001E-4</v>
      </c>
      <c r="D33" s="25"/>
    </row>
    <row r="34" spans="1:4" x14ac:dyDescent="0.3">
      <c r="A34" t="s">
        <v>397</v>
      </c>
      <c r="B34" t="s">
        <v>398</v>
      </c>
      <c r="C34" s="24">
        <v>1.1000000000000001E-3</v>
      </c>
      <c r="D34" s="25"/>
    </row>
    <row r="35" spans="1:4" x14ac:dyDescent="0.3">
      <c r="A35" t="s">
        <v>399</v>
      </c>
      <c r="B35" t="s">
        <v>400</v>
      </c>
      <c r="C35" s="24">
        <v>2.0999999999999999E-3</v>
      </c>
      <c r="D35" s="25"/>
    </row>
    <row r="36" spans="1:4" x14ac:dyDescent="0.3">
      <c r="A36" t="s">
        <v>401</v>
      </c>
      <c r="B36" t="s">
        <v>402</v>
      </c>
      <c r="C36" s="24">
        <v>4.1999999999999997E-3</v>
      </c>
      <c r="D36" s="25"/>
    </row>
    <row r="38" spans="1:4" ht="15.6" customHeight="1" x14ac:dyDescent="0.3">
      <c r="A38" s="15" t="s">
        <v>403</v>
      </c>
    </row>
    <row r="39" spans="1:4" ht="27.6" customHeight="1" x14ac:dyDescent="0.3">
      <c r="A39" s="23" t="s">
        <v>18</v>
      </c>
      <c r="B39" s="23" t="s">
        <v>19</v>
      </c>
      <c r="C39" s="23" t="s">
        <v>21</v>
      </c>
      <c r="D39" s="23" t="s">
        <v>404</v>
      </c>
    </row>
    <row r="40" spans="1:4" x14ac:dyDescent="0.3">
      <c r="A40" t="s">
        <v>342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344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346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348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350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352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354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356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358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360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362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364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366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368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370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371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373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375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377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379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381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383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385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387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389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391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393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395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397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399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401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8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405</v>
      </c>
    </row>
    <row r="2" spans="1:4" x14ac:dyDescent="0.3">
      <c r="A2" s="22" t="s">
        <v>406</v>
      </c>
    </row>
    <row r="4" spans="1:4" x14ac:dyDescent="0.3">
      <c r="A4" s="23" t="s">
        <v>18</v>
      </c>
      <c r="B4" s="23" t="s">
        <v>19</v>
      </c>
      <c r="C4" s="23" t="s">
        <v>340</v>
      </c>
      <c r="D4" s="23" t="s">
        <v>341</v>
      </c>
    </row>
    <row r="5" spans="1:4" x14ac:dyDescent="0.3">
      <c r="A5" t="s">
        <v>407</v>
      </c>
      <c r="B5" t="s">
        <v>408</v>
      </c>
      <c r="C5" s="18">
        <v>50</v>
      </c>
      <c r="D5" s="28">
        <v>300</v>
      </c>
    </row>
    <row r="6" spans="1:4" x14ac:dyDescent="0.3">
      <c r="A6" t="s">
        <v>409</v>
      </c>
      <c r="B6" t="s">
        <v>410</v>
      </c>
      <c r="C6" s="18">
        <v>2</v>
      </c>
      <c r="D6" s="28">
        <v>13</v>
      </c>
    </row>
    <row r="7" spans="1:4" x14ac:dyDescent="0.3">
      <c r="A7" t="s">
        <v>411</v>
      </c>
      <c r="B7" t="s">
        <v>412</v>
      </c>
      <c r="C7" s="18"/>
      <c r="D7" s="28"/>
    </row>
    <row r="8" spans="1:4" x14ac:dyDescent="0.3">
      <c r="A8" t="s">
        <v>413</v>
      </c>
      <c r="B8" t="s">
        <v>414</v>
      </c>
      <c r="C8" s="18"/>
      <c r="D8" s="28"/>
    </row>
    <row r="9" spans="1:4" x14ac:dyDescent="0.3">
      <c r="A9" t="s">
        <v>415</v>
      </c>
      <c r="B9" t="s">
        <v>416</v>
      </c>
      <c r="C9" s="18"/>
      <c r="D9" s="28"/>
    </row>
    <row r="10" spans="1:4" x14ac:dyDescent="0.3">
      <c r="A10" t="s">
        <v>417</v>
      </c>
      <c r="B10" t="s">
        <v>418</v>
      </c>
      <c r="C10" s="18"/>
      <c r="D10" s="28"/>
    </row>
    <row r="11" spans="1:4" x14ac:dyDescent="0.3">
      <c r="A11" t="s">
        <v>419</v>
      </c>
      <c r="B11" t="s">
        <v>420</v>
      </c>
      <c r="C11" s="18"/>
      <c r="D11" s="28"/>
    </row>
    <row r="12" spans="1:4" x14ac:dyDescent="0.3">
      <c r="A12" t="s">
        <v>421</v>
      </c>
      <c r="B12" t="s">
        <v>422</v>
      </c>
      <c r="C12" s="18"/>
      <c r="D12" s="28"/>
    </row>
    <row r="13" spans="1:4" x14ac:dyDescent="0.3">
      <c r="A13" t="s">
        <v>423</v>
      </c>
      <c r="B13" t="s">
        <v>424</v>
      </c>
      <c r="C13" s="18"/>
      <c r="D13" s="28"/>
    </row>
    <row r="14" spans="1:4" x14ac:dyDescent="0.3">
      <c r="A14" t="s">
        <v>425</v>
      </c>
      <c r="B14" t="s">
        <v>426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427</v>
      </c>
    </row>
    <row r="2" spans="1:9" x14ac:dyDescent="0.3">
      <c r="A2" s="2" t="s">
        <v>428</v>
      </c>
    </row>
    <row r="4" spans="1:9" ht="27.6" customHeight="1" x14ac:dyDescent="0.3">
      <c r="A4" s="3" t="s">
        <v>429</v>
      </c>
      <c r="B4" s="3" t="s">
        <v>18</v>
      </c>
      <c r="C4" s="3" t="s">
        <v>19</v>
      </c>
      <c r="D4" s="3" t="s">
        <v>430</v>
      </c>
      <c r="E4" s="3" t="s">
        <v>431</v>
      </c>
      <c r="F4" s="8" t="s">
        <v>21</v>
      </c>
      <c r="G4" s="3" t="s">
        <v>432</v>
      </c>
      <c r="H4" s="3" t="s">
        <v>433</v>
      </c>
      <c r="I4" s="3" t="s">
        <v>434</v>
      </c>
    </row>
    <row r="5" spans="1:9" x14ac:dyDescent="0.3">
      <c r="A5" s="11">
        <v>1</v>
      </c>
      <c r="B5" s="4" t="s">
        <v>232</v>
      </c>
      <c r="C5" s="4" t="s">
        <v>233</v>
      </c>
      <c r="D5" s="4" t="s">
        <v>435</v>
      </c>
      <c r="E5" s="11" t="s">
        <v>436</v>
      </c>
      <c r="F5" s="9">
        <f>IFERROR(VLOOKUP($B5,'SCHEDA STRUTTURA'!$A$17:$E$417,5,FALSE),"")</f>
        <v>84.960000000000008</v>
      </c>
      <c r="G5" s="5"/>
      <c r="H5" s="4" t="s">
        <v>437</v>
      </c>
      <c r="I5" s="11">
        <v>2</v>
      </c>
    </row>
    <row r="6" spans="1:9" x14ac:dyDescent="0.3">
      <c r="A6" s="11">
        <v>2</v>
      </c>
      <c r="B6" s="4" t="s">
        <v>234</v>
      </c>
      <c r="C6" s="4" t="s">
        <v>235</v>
      </c>
      <c r="D6" s="4" t="s">
        <v>435</v>
      </c>
      <c r="E6" s="11" t="s">
        <v>436</v>
      </c>
      <c r="F6" s="9">
        <f>IFERROR(VLOOKUP($B6,'SCHEDA STRUTTURA'!$A$17:$E$417,5,FALSE),"")</f>
        <v>66.239999999999995</v>
      </c>
      <c r="G6" s="5"/>
      <c r="H6" s="4" t="s">
        <v>437</v>
      </c>
      <c r="I6" s="11">
        <v>1</v>
      </c>
    </row>
    <row r="7" spans="1:9" x14ac:dyDescent="0.3">
      <c r="A7" s="11">
        <v>3</v>
      </c>
      <c r="B7" s="4" t="s">
        <v>236</v>
      </c>
      <c r="C7" s="4" t="s">
        <v>237</v>
      </c>
      <c r="D7" s="4" t="s">
        <v>435</v>
      </c>
      <c r="E7" s="11" t="s">
        <v>436</v>
      </c>
      <c r="F7" s="9">
        <f>IFERROR(VLOOKUP($B7,'SCHEDA STRUTTURA'!$A$17:$E$417,5,FALSE),"")</f>
        <v>97.350000000000009</v>
      </c>
      <c r="G7" s="5"/>
      <c r="H7" s="4" t="s">
        <v>437</v>
      </c>
      <c r="I7" s="11">
        <v>1</v>
      </c>
    </row>
    <row r="8" spans="1:9" x14ac:dyDescent="0.3">
      <c r="A8" s="11">
        <v>4</v>
      </c>
      <c r="B8" s="4" t="s">
        <v>238</v>
      </c>
      <c r="C8" s="4" t="s">
        <v>239</v>
      </c>
      <c r="D8" s="4" t="s">
        <v>435</v>
      </c>
      <c r="E8" s="11" t="s">
        <v>436</v>
      </c>
      <c r="F8" s="9">
        <f>IFERROR(VLOOKUP($B8,'SCHEDA STRUTTURA'!$A$17:$E$417,5,FALSE),"")</f>
        <v>75.899999999999991</v>
      </c>
      <c r="G8" s="5"/>
      <c r="H8" s="4" t="s">
        <v>437</v>
      </c>
      <c r="I8" s="11">
        <v>1</v>
      </c>
    </row>
    <row r="9" spans="1:9" x14ac:dyDescent="0.3">
      <c r="A9" s="11">
        <v>5</v>
      </c>
      <c r="B9" s="4" t="s">
        <v>240</v>
      </c>
      <c r="C9" s="4" t="s">
        <v>241</v>
      </c>
      <c r="D9" s="4" t="s">
        <v>435</v>
      </c>
      <c r="E9" s="11" t="s">
        <v>436</v>
      </c>
      <c r="F9" s="9">
        <f>IFERROR(VLOOKUP($B9,'SCHEDA STRUTTURA'!$A$17:$E$417,5,FALSE),"")</f>
        <v>102.66</v>
      </c>
      <c r="G9" s="5"/>
      <c r="H9" s="4" t="s">
        <v>437</v>
      </c>
      <c r="I9" s="11">
        <v>3</v>
      </c>
    </row>
    <row r="10" spans="1:9" x14ac:dyDescent="0.3">
      <c r="A10" s="11">
        <v>6</v>
      </c>
      <c r="B10" s="4" t="s">
        <v>242</v>
      </c>
      <c r="C10" s="4" t="s">
        <v>243</v>
      </c>
      <c r="D10" s="4" t="s">
        <v>435</v>
      </c>
      <c r="E10" s="11" t="s">
        <v>436</v>
      </c>
      <c r="F10" s="9">
        <f>IFERROR(VLOOKUP($B10,'SCHEDA STRUTTURA'!$A$17:$E$417,5,FALSE),"")</f>
        <v>80.039999999999992</v>
      </c>
      <c r="G10" s="5"/>
      <c r="H10" s="4" t="s">
        <v>437</v>
      </c>
      <c r="I10" s="11">
        <v>1</v>
      </c>
    </row>
    <row r="11" spans="1:9" x14ac:dyDescent="0.3">
      <c r="A11" s="11">
        <v>7</v>
      </c>
      <c r="B11" s="4" t="s">
        <v>244</v>
      </c>
      <c r="C11" s="4" t="s">
        <v>245</v>
      </c>
      <c r="D11" s="4" t="s">
        <v>435</v>
      </c>
      <c r="E11" s="11" t="s">
        <v>436</v>
      </c>
      <c r="F11" s="9">
        <f>IFERROR(VLOOKUP($B11,'SCHEDA STRUTTURA'!$A$17:$E$417,5,FALSE),"")</f>
        <v>59</v>
      </c>
      <c r="G11" s="5"/>
      <c r="H11" s="4" t="s">
        <v>437</v>
      </c>
      <c r="I11" s="11">
        <v>1</v>
      </c>
    </row>
    <row r="12" spans="1:9" x14ac:dyDescent="0.3">
      <c r="A12" s="11">
        <v>8</v>
      </c>
      <c r="B12" s="4" t="s">
        <v>246</v>
      </c>
      <c r="C12" s="4" t="s">
        <v>247</v>
      </c>
      <c r="D12" s="4" t="s">
        <v>435</v>
      </c>
      <c r="E12" s="11" t="s">
        <v>436</v>
      </c>
      <c r="F12" s="9">
        <f>IFERROR(VLOOKUP($B12,'SCHEDA STRUTTURA'!$A$17:$E$417,5,FALSE),"")</f>
        <v>46</v>
      </c>
      <c r="G12" s="5"/>
      <c r="H12" s="4" t="s">
        <v>437</v>
      </c>
      <c r="I12" s="11">
        <v>1</v>
      </c>
    </row>
    <row r="13" spans="1:9" x14ac:dyDescent="0.3">
      <c r="A13" s="11">
        <v>9</v>
      </c>
      <c r="B13" s="4" t="s">
        <v>248</v>
      </c>
      <c r="C13" s="4" t="s">
        <v>249</v>
      </c>
      <c r="D13" s="4" t="s">
        <v>435</v>
      </c>
      <c r="E13" s="11" t="s">
        <v>436</v>
      </c>
      <c r="F13" s="9">
        <f>IFERROR(VLOOKUP($B13,'SCHEDA STRUTTURA'!$A$17:$E$417,5,FALSE),"")</f>
        <v>72.570000000000007</v>
      </c>
      <c r="G13" s="5"/>
      <c r="H13" s="4" t="s">
        <v>437</v>
      </c>
      <c r="I13" s="11">
        <v>1</v>
      </c>
    </row>
    <row r="14" spans="1:9" x14ac:dyDescent="0.3">
      <c r="A14" s="11">
        <v>10</v>
      </c>
      <c r="B14" s="4" t="s">
        <v>250</v>
      </c>
      <c r="C14" s="4" t="s">
        <v>251</v>
      </c>
      <c r="D14" s="4" t="s">
        <v>435</v>
      </c>
      <c r="E14" s="11" t="s">
        <v>436</v>
      </c>
      <c r="F14" s="9">
        <f>IFERROR(VLOOKUP($B14,'SCHEDA STRUTTURA'!$A$17:$E$417,5,FALSE),"")</f>
        <v>56.58</v>
      </c>
      <c r="G14" s="5"/>
      <c r="H14" s="4" t="s">
        <v>437</v>
      </c>
      <c r="I14" s="11">
        <v>1</v>
      </c>
    </row>
    <row r="15" spans="1:9" x14ac:dyDescent="0.3">
      <c r="A15" s="11">
        <v>11</v>
      </c>
      <c r="B15" s="4" t="s">
        <v>252</v>
      </c>
      <c r="C15" s="4" t="s">
        <v>253</v>
      </c>
      <c r="D15" s="4" t="s">
        <v>435</v>
      </c>
      <c r="E15" s="11" t="s">
        <v>436</v>
      </c>
      <c r="F15" s="9">
        <f>IFERROR(VLOOKUP($B15,'SCHEDA STRUTTURA'!$A$17:$E$417,5,FALSE),"")</f>
        <v>74.34</v>
      </c>
      <c r="G15" s="5"/>
      <c r="H15" s="4" t="s">
        <v>437</v>
      </c>
      <c r="I15" s="11">
        <v>1</v>
      </c>
    </row>
    <row r="16" spans="1:9" x14ac:dyDescent="0.3">
      <c r="A16" s="11">
        <v>12</v>
      </c>
      <c r="B16" s="4" t="s">
        <v>254</v>
      </c>
      <c r="C16" s="4" t="s">
        <v>255</v>
      </c>
      <c r="D16" s="4" t="s">
        <v>435</v>
      </c>
      <c r="E16" s="11" t="s">
        <v>436</v>
      </c>
      <c r="F16" s="9">
        <f>IFERROR(VLOOKUP($B16,'SCHEDA STRUTTURA'!$A$17:$E$417,5,FALSE),"")</f>
        <v>57.959999999999994</v>
      </c>
      <c r="G16" s="5"/>
      <c r="H16" s="4" t="s">
        <v>437</v>
      </c>
      <c r="I16" s="11">
        <v>1</v>
      </c>
    </row>
    <row r="17" spans="1:9" x14ac:dyDescent="0.3">
      <c r="A17" s="11">
        <v>13</v>
      </c>
      <c r="B17" s="4" t="s">
        <v>256</v>
      </c>
      <c r="C17" s="4" t="s">
        <v>257</v>
      </c>
      <c r="D17" s="4" t="s">
        <v>435</v>
      </c>
      <c r="E17" s="11" t="s">
        <v>436</v>
      </c>
      <c r="F17" s="9">
        <f>IFERROR(VLOOKUP($B17,'SCHEDA STRUTTURA'!$A$17:$E$417,5,FALSE),"")</f>
        <v>79.720800000000011</v>
      </c>
      <c r="G17" s="5"/>
      <c r="H17" s="4" t="s">
        <v>437</v>
      </c>
      <c r="I17" s="11">
        <v>1</v>
      </c>
    </row>
    <row r="18" spans="1:9" x14ac:dyDescent="0.3">
      <c r="A18" s="11">
        <v>14</v>
      </c>
      <c r="B18" s="4" t="s">
        <v>258</v>
      </c>
      <c r="C18" s="4" t="s">
        <v>259</v>
      </c>
      <c r="D18" s="4" t="s">
        <v>435</v>
      </c>
      <c r="E18" s="11" t="s">
        <v>436</v>
      </c>
      <c r="F18" s="9">
        <f>IFERROR(VLOOKUP($B18,'SCHEDA STRUTTURA'!$A$17:$E$417,5,FALSE),"")</f>
        <v>62.155200000000001</v>
      </c>
      <c r="G18" s="5"/>
      <c r="H18" s="4" t="s">
        <v>437</v>
      </c>
      <c r="I18" s="11">
        <v>1</v>
      </c>
    </row>
    <row r="19" spans="1:9" x14ac:dyDescent="0.3">
      <c r="A19" s="11">
        <v>15</v>
      </c>
      <c r="B19" s="4" t="s">
        <v>260</v>
      </c>
      <c r="C19" s="4" t="s">
        <v>261</v>
      </c>
      <c r="D19" s="4" t="s">
        <v>435</v>
      </c>
      <c r="E19" s="11" t="s">
        <v>436</v>
      </c>
      <c r="F19" s="9">
        <f>IFERROR(VLOOKUP($B19,'SCHEDA STRUTTURA'!$A$17:$E$417,5,FALSE),"")</f>
        <v>97.350000000000009</v>
      </c>
      <c r="G19" s="5"/>
      <c r="H19" s="4" t="s">
        <v>437</v>
      </c>
      <c r="I19" s="11">
        <v>1</v>
      </c>
    </row>
    <row r="20" spans="1:9" x14ac:dyDescent="0.3">
      <c r="A20" s="11">
        <v>16</v>
      </c>
      <c r="B20" s="4" t="s">
        <v>262</v>
      </c>
      <c r="C20" s="4" t="s">
        <v>263</v>
      </c>
      <c r="D20" s="4" t="s">
        <v>435</v>
      </c>
      <c r="E20" s="11" t="s">
        <v>436</v>
      </c>
      <c r="F20" s="9">
        <f>IFERROR(VLOOKUP($B20,'SCHEDA STRUTTURA'!$A$17:$E$417,5,FALSE),"")</f>
        <v>75.899999999999991</v>
      </c>
      <c r="G20" s="5"/>
      <c r="H20" s="4" t="s">
        <v>437</v>
      </c>
      <c r="I20" s="11">
        <v>1</v>
      </c>
    </row>
    <row r="21" spans="1:9" x14ac:dyDescent="0.3">
      <c r="A21" s="11">
        <v>17</v>
      </c>
      <c r="B21" s="4" t="s">
        <v>264</v>
      </c>
      <c r="C21" s="4" t="s">
        <v>265</v>
      </c>
      <c r="D21" s="4" t="s">
        <v>435</v>
      </c>
      <c r="E21" s="11" t="s">
        <v>436</v>
      </c>
      <c r="F21" s="9">
        <f>IFERROR(VLOOKUP($B21,'SCHEDA STRUTTURA'!$A$17:$E$417,5,FALSE),"")</f>
        <v>102.011</v>
      </c>
      <c r="G21" s="5"/>
      <c r="H21" s="4" t="s">
        <v>437</v>
      </c>
      <c r="I21" s="11">
        <v>1</v>
      </c>
    </row>
    <row r="22" spans="1:9" x14ac:dyDescent="0.3">
      <c r="A22" s="11">
        <v>18</v>
      </c>
      <c r="B22" s="4" t="s">
        <v>266</v>
      </c>
      <c r="C22" s="4" t="s">
        <v>267</v>
      </c>
      <c r="D22" s="4" t="s">
        <v>435</v>
      </c>
      <c r="E22" s="11" t="s">
        <v>436</v>
      </c>
      <c r="F22" s="9">
        <f>IFERROR(VLOOKUP($B22,'SCHEDA STRUTTURA'!$A$17:$E$417,5,FALSE),"")</f>
        <v>79.533999999999992</v>
      </c>
      <c r="G22" s="5"/>
      <c r="H22" s="4" t="s">
        <v>437</v>
      </c>
      <c r="I22" s="11">
        <v>1</v>
      </c>
    </row>
    <row r="23" spans="1:9" x14ac:dyDescent="0.3">
      <c r="A23" s="11">
        <v>19</v>
      </c>
      <c r="B23" s="4" t="s">
        <v>268</v>
      </c>
      <c r="C23" s="4" t="s">
        <v>269</v>
      </c>
      <c r="D23" s="4" t="s">
        <v>435</v>
      </c>
      <c r="E23" s="11" t="s">
        <v>436</v>
      </c>
      <c r="F23" s="9">
        <f>IFERROR(VLOOKUP($B23,'SCHEDA STRUTTURA'!$A$17:$E$417,5,FALSE),"")</f>
        <v>59</v>
      </c>
      <c r="G23" s="5"/>
      <c r="H23" s="4" t="s">
        <v>437</v>
      </c>
      <c r="I23" s="11">
        <v>1</v>
      </c>
    </row>
    <row r="24" spans="1:9" x14ac:dyDescent="0.3">
      <c r="A24" s="11">
        <v>20</v>
      </c>
      <c r="B24" s="4" t="s">
        <v>270</v>
      </c>
      <c r="C24" s="4" t="s">
        <v>271</v>
      </c>
      <c r="D24" s="4" t="s">
        <v>435</v>
      </c>
      <c r="E24" s="11" t="s">
        <v>436</v>
      </c>
      <c r="F24" s="9">
        <f>IFERROR(VLOOKUP($B24,'SCHEDA STRUTTURA'!$A$17:$E$417,5,FALSE),"")</f>
        <v>46</v>
      </c>
      <c r="G24" s="5"/>
      <c r="H24" s="4" t="s">
        <v>437</v>
      </c>
      <c r="I24" s="11">
        <v>1</v>
      </c>
    </row>
    <row r="25" spans="1:9" x14ac:dyDescent="0.3">
      <c r="A25" s="11">
        <v>21</v>
      </c>
      <c r="B25" s="4" t="s">
        <v>272</v>
      </c>
      <c r="C25" s="4" t="s">
        <v>273</v>
      </c>
      <c r="D25" s="4" t="s">
        <v>435</v>
      </c>
      <c r="E25" s="11" t="s">
        <v>436</v>
      </c>
      <c r="F25" s="9">
        <f>IFERROR(VLOOKUP($B25,'SCHEDA STRUTTURA'!$A$17:$E$417,5,FALSE),"")</f>
        <v>56.64</v>
      </c>
      <c r="G25" s="5"/>
      <c r="H25" s="4" t="s">
        <v>437</v>
      </c>
      <c r="I25" s="11">
        <v>1</v>
      </c>
    </row>
    <row r="26" spans="1:9" x14ac:dyDescent="0.3">
      <c r="A26" s="11">
        <v>22</v>
      </c>
      <c r="B26" s="4" t="s">
        <v>274</v>
      </c>
      <c r="C26" s="4" t="s">
        <v>275</v>
      </c>
      <c r="D26" s="4" t="s">
        <v>435</v>
      </c>
      <c r="E26" s="11" t="s">
        <v>436</v>
      </c>
      <c r="F26" s="9">
        <f>IFERROR(VLOOKUP($B26,'SCHEDA STRUTTURA'!$A$17:$E$417,5,FALSE),"")</f>
        <v>44.16</v>
      </c>
      <c r="G26" s="5"/>
      <c r="H26" s="4" t="s">
        <v>437</v>
      </c>
      <c r="I26" s="11">
        <v>1</v>
      </c>
    </row>
    <row r="27" spans="1:9" x14ac:dyDescent="0.3">
      <c r="A27" s="11">
        <v>23</v>
      </c>
      <c r="B27" s="4" t="s">
        <v>284</v>
      </c>
      <c r="C27" s="4" t="s">
        <v>285</v>
      </c>
      <c r="D27" s="4" t="s">
        <v>435</v>
      </c>
      <c r="E27" s="11" t="s">
        <v>436</v>
      </c>
      <c r="F27" s="9">
        <f>IFERROR(VLOOKUP($B27,'SCHEDA STRUTTURA'!$A$16:$E$416,5,FALSE),"")</f>
        <v>5.07</v>
      </c>
      <c r="G27" s="5"/>
      <c r="H27" s="4" t="s">
        <v>437</v>
      </c>
      <c r="I27" s="11">
        <v>5</v>
      </c>
    </row>
    <row r="28" spans="1:9" x14ac:dyDescent="0.3">
      <c r="A28" s="11">
        <v>24</v>
      </c>
      <c r="B28" s="4" t="s">
        <v>276</v>
      </c>
      <c r="C28" s="4" t="s">
        <v>277</v>
      </c>
      <c r="D28" s="4" t="s">
        <v>435</v>
      </c>
      <c r="E28" s="11" t="s">
        <v>436</v>
      </c>
      <c r="F28" s="9">
        <f>IFERROR(VLOOKUP($B28,'SCHEDA STRUTTURA'!$A$17:$E$417,5,FALSE),"")</f>
        <v>0.85680000000000012</v>
      </c>
      <c r="G28" s="5"/>
      <c r="H28" s="4" t="s">
        <v>438</v>
      </c>
      <c r="I28" s="11">
        <v>1</v>
      </c>
    </row>
    <row r="29" spans="1:9" x14ac:dyDescent="0.3">
      <c r="A29" s="11">
        <v>25</v>
      </c>
      <c r="B29" s="4" t="s">
        <v>278</v>
      </c>
      <c r="C29" s="4" t="s">
        <v>279</v>
      </c>
      <c r="D29" s="4" t="s">
        <v>435</v>
      </c>
      <c r="E29" s="11" t="s">
        <v>436</v>
      </c>
      <c r="F29" s="9">
        <f>IFERROR(VLOOKUP($B29,'SCHEDA STRUTTURA'!$A$17:$E$417,5,FALSE),"")</f>
        <v>0.41</v>
      </c>
      <c r="G29" s="5"/>
      <c r="H29" s="4" t="s">
        <v>438</v>
      </c>
      <c r="I29" s="11">
        <v>1</v>
      </c>
    </row>
    <row r="30" spans="1:9" x14ac:dyDescent="0.3">
      <c r="A30" s="11">
        <v>26</v>
      </c>
      <c r="B30" s="4" t="s">
        <v>280</v>
      </c>
      <c r="C30" s="4" t="s">
        <v>281</v>
      </c>
      <c r="D30" s="4" t="s">
        <v>435</v>
      </c>
      <c r="E30" s="11" t="s">
        <v>436</v>
      </c>
      <c r="F30" s="9">
        <f>IFERROR(VLOOKUP($B30,'SCHEDA STRUTTURA'!$A$17:$E$417,5,FALSE),"")</f>
        <v>1.28</v>
      </c>
      <c r="G30" s="5"/>
      <c r="H30" s="4" t="s">
        <v>438</v>
      </c>
      <c r="I30" s="11">
        <v>1</v>
      </c>
    </row>
    <row r="31" spans="1:9" x14ac:dyDescent="0.3">
      <c r="A31" s="11">
        <v>27</v>
      </c>
      <c r="B31" s="4" t="s">
        <v>282</v>
      </c>
      <c r="C31" s="4" t="s">
        <v>283</v>
      </c>
      <c r="D31" s="4" t="s">
        <v>435</v>
      </c>
      <c r="E31" s="11" t="s">
        <v>436</v>
      </c>
      <c r="F31" s="9">
        <f>IFERROR(VLOOKUP($B31,'SCHEDA STRUTTURA'!$A$17:$E$417,5,FALSE),"")</f>
        <v>5.85</v>
      </c>
      <c r="G31" s="5"/>
      <c r="H31" s="4" t="s">
        <v>438</v>
      </c>
      <c r="I31" s="11">
        <v>1</v>
      </c>
    </row>
    <row r="32" spans="1:9" x14ac:dyDescent="0.3">
      <c r="A32" s="11">
        <v>28</v>
      </c>
      <c r="B32" s="4" t="s">
        <v>439</v>
      </c>
      <c r="C32" s="4" t="s">
        <v>440</v>
      </c>
      <c r="D32" s="4" t="s">
        <v>435</v>
      </c>
      <c r="E32" s="11" t="s">
        <v>436</v>
      </c>
      <c r="F32" s="9" t="str">
        <f>IFERROR(VLOOKUP($B32,'SCHEDA STRUTTURA'!$A$17:$E$417,5,FALSE),"")</f>
        <v/>
      </c>
      <c r="G32" s="5"/>
      <c r="H32" s="4" t="s">
        <v>438</v>
      </c>
      <c r="I32" s="11">
        <v>1</v>
      </c>
    </row>
    <row r="33" spans="1:9" x14ac:dyDescent="0.3">
      <c r="A33" s="11">
        <v>29</v>
      </c>
      <c r="B33" s="4" t="s">
        <v>298</v>
      </c>
      <c r="C33" s="4" t="s">
        <v>299</v>
      </c>
      <c r="D33" s="4" t="s">
        <v>435</v>
      </c>
      <c r="E33" s="11" t="s">
        <v>436</v>
      </c>
      <c r="F33" s="9">
        <f>IFERROR(VLOOKUP($B33,'SCHEDA PEZZI SPECIALI'!$A$38:$F$400,4,FALSE),"")</f>
        <v>0.84240000000000004</v>
      </c>
      <c r="G33" s="5"/>
      <c r="H33" s="4" t="s">
        <v>441</v>
      </c>
      <c r="I33" s="11">
        <v>1</v>
      </c>
    </row>
    <row r="34" spans="1:9" x14ac:dyDescent="0.3">
      <c r="A34" s="11">
        <v>30</v>
      </c>
      <c r="B34" s="4" t="s">
        <v>300</v>
      </c>
      <c r="C34" s="4" t="s">
        <v>301</v>
      </c>
      <c r="D34" s="4" t="s">
        <v>435</v>
      </c>
      <c r="E34" s="11" t="s">
        <v>436</v>
      </c>
      <c r="F34" s="9">
        <f>IFERROR(VLOOKUP($B34,'SCHEDA PEZZI SPECIALI'!$A$38:$F$400,4,FALSE),"")</f>
        <v>2.9483999999999999</v>
      </c>
      <c r="G34" s="5"/>
      <c r="H34" s="4" t="s">
        <v>441</v>
      </c>
      <c r="I34" s="11">
        <v>1</v>
      </c>
    </row>
    <row r="35" spans="1:9" x14ac:dyDescent="0.3">
      <c r="A35" s="11">
        <v>31</v>
      </c>
      <c r="B35" s="4" t="s">
        <v>302</v>
      </c>
      <c r="C35" s="4" t="s">
        <v>303</v>
      </c>
      <c r="D35" s="4" t="s">
        <v>435</v>
      </c>
      <c r="E35" s="11" t="s">
        <v>436</v>
      </c>
      <c r="F35" s="9">
        <f>IFERROR(VLOOKUP($B35,'SCHEDA PEZZI SPECIALI'!$A$38:$F$400,4,FALSE),"")</f>
        <v>0.21840000000000001</v>
      </c>
      <c r="G35" s="5"/>
      <c r="H35" s="4" t="s">
        <v>442</v>
      </c>
      <c r="I35" s="11">
        <v>1</v>
      </c>
    </row>
    <row r="36" spans="1:9" x14ac:dyDescent="0.3">
      <c r="A36" s="11">
        <v>32</v>
      </c>
      <c r="B36" s="4" t="s">
        <v>304</v>
      </c>
      <c r="C36" s="4" t="s">
        <v>305</v>
      </c>
      <c r="D36" s="4" t="s">
        <v>435</v>
      </c>
      <c r="E36" s="11" t="s">
        <v>436</v>
      </c>
      <c r="F36" s="9">
        <f>IFERROR(VLOOKUP($B36,'SCHEDA PEZZI SPECIALI'!$A$38:$F$400,4,FALSE),"")</f>
        <v>0.65239999999999998</v>
      </c>
      <c r="G36" s="5"/>
      <c r="H36" s="4" t="s">
        <v>442</v>
      </c>
      <c r="I36" s="11">
        <v>1</v>
      </c>
    </row>
    <row r="37" spans="1:9" x14ac:dyDescent="0.3">
      <c r="A37" s="11">
        <v>33</v>
      </c>
      <c r="B37" s="4" t="s">
        <v>24</v>
      </c>
      <c r="C37" s="4" t="s">
        <v>25</v>
      </c>
      <c r="D37" s="4" t="s">
        <v>435</v>
      </c>
      <c r="E37" s="11" t="s">
        <v>436</v>
      </c>
      <c r="F37" s="9">
        <f>IFERROR(VLOOKUP($B37,'SCHEDA STRUTTURA'!$A$17:$E$417,5,FALSE),"")</f>
        <v>29.669999999999998</v>
      </c>
      <c r="G37" s="5"/>
      <c r="H37" s="4" t="s">
        <v>443</v>
      </c>
      <c r="I37" s="11">
        <v>1</v>
      </c>
    </row>
    <row r="38" spans="1:9" x14ac:dyDescent="0.3">
      <c r="A38" s="11">
        <v>34</v>
      </c>
      <c r="B38" s="4" t="s">
        <v>66</v>
      </c>
      <c r="C38" s="4" t="s">
        <v>67</v>
      </c>
      <c r="D38" s="4" t="s">
        <v>435</v>
      </c>
      <c r="E38" s="11" t="s">
        <v>436</v>
      </c>
      <c r="F38" s="9">
        <f>IFERROR(VLOOKUP($B38,'SCHEDA STRUTTURA'!$A$17:$E$417,5,FALSE),"")</f>
        <v>25.07</v>
      </c>
      <c r="G38" s="5"/>
      <c r="H38" s="4" t="s">
        <v>443</v>
      </c>
      <c r="I38" s="11">
        <v>1</v>
      </c>
    </row>
    <row r="39" spans="1:9" x14ac:dyDescent="0.3">
      <c r="A39" s="11">
        <v>35</v>
      </c>
      <c r="B39" s="4" t="s">
        <v>30</v>
      </c>
      <c r="C39" s="4" t="s">
        <v>31</v>
      </c>
      <c r="D39" s="4" t="s">
        <v>435</v>
      </c>
      <c r="E39" s="11" t="s">
        <v>436</v>
      </c>
      <c r="F39" s="9">
        <f>IFERROR(VLOOKUP($B39,'SCHEDA STRUTTURA'!$A$17:$E$417,5,FALSE),"")</f>
        <v>36.119999999999997</v>
      </c>
      <c r="G39" s="5"/>
      <c r="H39" s="4" t="s">
        <v>443</v>
      </c>
      <c r="I39" s="11">
        <v>1</v>
      </c>
    </row>
    <row r="40" spans="1:9" x14ac:dyDescent="0.3">
      <c r="A40" s="11">
        <v>36</v>
      </c>
      <c r="B40" s="4" t="s">
        <v>72</v>
      </c>
      <c r="C40" s="4" t="s">
        <v>73</v>
      </c>
      <c r="D40" s="4" t="s">
        <v>435</v>
      </c>
      <c r="E40" s="11" t="s">
        <v>436</v>
      </c>
      <c r="F40" s="9">
        <f>IFERROR(VLOOKUP($B40,'SCHEDA STRUTTURA'!$A$17:$E$417,5,FALSE),"")</f>
        <v>30.52</v>
      </c>
      <c r="G40" s="5"/>
      <c r="H40" s="4" t="s">
        <v>443</v>
      </c>
      <c r="I40" s="11">
        <v>1</v>
      </c>
    </row>
    <row r="41" spans="1:9" x14ac:dyDescent="0.3">
      <c r="A41" s="11">
        <v>37</v>
      </c>
      <c r="B41" s="4" t="s">
        <v>32</v>
      </c>
      <c r="C41" s="4" t="s">
        <v>33</v>
      </c>
      <c r="D41" s="4" t="s">
        <v>435</v>
      </c>
      <c r="E41" s="11" t="s">
        <v>436</v>
      </c>
      <c r="F41" s="9">
        <f>IFERROR(VLOOKUP($B41,'SCHEDA STRUTTURA'!$A$17:$E$417,5,FALSE),"")</f>
        <v>37.409999999999997</v>
      </c>
      <c r="G41" s="5"/>
      <c r="H41" s="4" t="s">
        <v>443</v>
      </c>
      <c r="I41" s="11">
        <v>1</v>
      </c>
    </row>
    <row r="42" spans="1:9" x14ac:dyDescent="0.3">
      <c r="A42" s="11">
        <v>38</v>
      </c>
      <c r="B42" s="4" t="s">
        <v>74</v>
      </c>
      <c r="C42" s="4" t="s">
        <v>75</v>
      </c>
      <c r="D42" s="4" t="s">
        <v>435</v>
      </c>
      <c r="E42" s="11" t="s">
        <v>436</v>
      </c>
      <c r="F42" s="9">
        <f>IFERROR(VLOOKUP($B42,'SCHEDA STRUTTURA'!$A$17:$E$417,5,FALSE),"")</f>
        <v>31.61</v>
      </c>
      <c r="G42" s="5"/>
      <c r="H42" s="4" t="s">
        <v>443</v>
      </c>
      <c r="I42" s="11">
        <v>1</v>
      </c>
    </row>
    <row r="43" spans="1:9" x14ac:dyDescent="0.3">
      <c r="A43" s="11">
        <v>39</v>
      </c>
      <c r="B43" s="4" t="s">
        <v>34</v>
      </c>
      <c r="C43" s="4" t="s">
        <v>35</v>
      </c>
      <c r="D43" s="4" t="s">
        <v>435</v>
      </c>
      <c r="E43" s="11" t="s">
        <v>436</v>
      </c>
      <c r="F43" s="9">
        <f>IFERROR(VLOOKUP($B43,'SCHEDA STRUTTURA'!$A$17:$E$417,5,FALSE),"")</f>
        <v>38.700000000000003</v>
      </c>
      <c r="G43" s="5"/>
      <c r="H43" s="4" t="s">
        <v>443</v>
      </c>
      <c r="I43" s="11">
        <v>1</v>
      </c>
    </row>
    <row r="44" spans="1:9" x14ac:dyDescent="0.3">
      <c r="A44" s="11">
        <v>40</v>
      </c>
      <c r="B44" s="4" t="s">
        <v>76</v>
      </c>
      <c r="C44" s="4" t="s">
        <v>77</v>
      </c>
      <c r="D44" s="4" t="s">
        <v>435</v>
      </c>
      <c r="E44" s="11" t="s">
        <v>436</v>
      </c>
      <c r="F44" s="9">
        <f>IFERROR(VLOOKUP($B44,'SCHEDA STRUTTURA'!$A$17:$E$417,5,FALSE),"")</f>
        <v>32.700000000000003</v>
      </c>
      <c r="G44" s="5"/>
      <c r="H44" s="4" t="s">
        <v>443</v>
      </c>
      <c r="I44" s="11">
        <v>1</v>
      </c>
    </row>
    <row r="45" spans="1:9" x14ac:dyDescent="0.3">
      <c r="A45" s="11">
        <v>41</v>
      </c>
      <c r="B45" s="4" t="s">
        <v>36</v>
      </c>
      <c r="C45" s="4" t="s">
        <v>37</v>
      </c>
      <c r="D45" s="4" t="s">
        <v>435</v>
      </c>
      <c r="E45" s="11" t="s">
        <v>436</v>
      </c>
      <c r="F45" s="9">
        <f>IFERROR(VLOOKUP($B45,'SCHEDA STRUTTURA'!$A$17:$E$417,5,FALSE),"")</f>
        <v>39.99</v>
      </c>
      <c r="G45" s="5"/>
      <c r="H45" s="4" t="s">
        <v>443</v>
      </c>
      <c r="I45" s="11">
        <v>1</v>
      </c>
    </row>
    <row r="46" spans="1:9" x14ac:dyDescent="0.3">
      <c r="A46" s="11">
        <v>42</v>
      </c>
      <c r="B46" s="4" t="s">
        <v>78</v>
      </c>
      <c r="C46" s="4" t="s">
        <v>79</v>
      </c>
      <c r="D46" s="4" t="s">
        <v>435</v>
      </c>
      <c r="E46" s="11" t="s">
        <v>436</v>
      </c>
      <c r="F46" s="9">
        <f>IFERROR(VLOOKUP($B46,'SCHEDA STRUTTURA'!$A$17:$E$417,5,FALSE),"")</f>
        <v>33.79</v>
      </c>
      <c r="G46" s="5"/>
      <c r="H46" s="4" t="s">
        <v>443</v>
      </c>
      <c r="I46" s="11">
        <v>1</v>
      </c>
    </row>
    <row r="47" spans="1:9" x14ac:dyDescent="0.3">
      <c r="A47" s="11">
        <v>43</v>
      </c>
      <c r="B47" s="4" t="s">
        <v>38</v>
      </c>
      <c r="C47" s="4" t="s">
        <v>39</v>
      </c>
      <c r="D47" s="4" t="s">
        <v>435</v>
      </c>
      <c r="E47" s="11" t="s">
        <v>436</v>
      </c>
      <c r="F47" s="9">
        <f>IFERROR(VLOOKUP($B47,'SCHEDA STRUTTURA'!$A$17:$E$417,5,FALSE),"")</f>
        <v>41.28</v>
      </c>
      <c r="G47" s="5"/>
      <c r="H47" s="4" t="s">
        <v>443</v>
      </c>
      <c r="I47" s="11">
        <v>1</v>
      </c>
    </row>
    <row r="48" spans="1:9" x14ac:dyDescent="0.3">
      <c r="A48" s="11">
        <v>44</v>
      </c>
      <c r="B48" s="4" t="s">
        <v>80</v>
      </c>
      <c r="C48" s="4" t="s">
        <v>81</v>
      </c>
      <c r="D48" s="4" t="s">
        <v>435</v>
      </c>
      <c r="E48" s="11" t="s">
        <v>436</v>
      </c>
      <c r="F48" s="9">
        <f>IFERROR(VLOOKUP($B48,'SCHEDA STRUTTURA'!$A$17:$E$417,5,FALSE),"")</f>
        <v>34.880000000000003</v>
      </c>
      <c r="G48" s="5"/>
      <c r="H48" s="4" t="s">
        <v>443</v>
      </c>
      <c r="I48" s="11">
        <v>1</v>
      </c>
    </row>
    <row r="49" spans="1:9" x14ac:dyDescent="0.3">
      <c r="A49" s="11">
        <v>45</v>
      </c>
      <c r="B49" s="4" t="s">
        <v>40</v>
      </c>
      <c r="C49" s="4" t="s">
        <v>41</v>
      </c>
      <c r="D49" s="4" t="s">
        <v>435</v>
      </c>
      <c r="E49" s="11" t="s">
        <v>436</v>
      </c>
      <c r="F49" s="9">
        <f>IFERROR(VLOOKUP($B49,'SCHEDA STRUTTURA'!$A$17:$E$417,5,FALSE),"")</f>
        <v>42.57</v>
      </c>
      <c r="G49" s="5"/>
      <c r="H49" s="4" t="s">
        <v>443</v>
      </c>
      <c r="I49" s="11">
        <v>1</v>
      </c>
    </row>
    <row r="50" spans="1:9" x14ac:dyDescent="0.3">
      <c r="A50" s="11">
        <v>46</v>
      </c>
      <c r="B50" s="4" t="s">
        <v>82</v>
      </c>
      <c r="C50" s="4" t="s">
        <v>83</v>
      </c>
      <c r="D50" s="4" t="s">
        <v>435</v>
      </c>
      <c r="E50" s="11" t="s">
        <v>436</v>
      </c>
      <c r="F50" s="9">
        <f>IFERROR(VLOOKUP($B50,'SCHEDA STRUTTURA'!$A$17:$E$417,5,FALSE),"")</f>
        <v>35.97</v>
      </c>
      <c r="G50" s="5"/>
      <c r="H50" s="4" t="s">
        <v>443</v>
      </c>
      <c r="I50" s="11">
        <v>1</v>
      </c>
    </row>
    <row r="51" spans="1:9" x14ac:dyDescent="0.3">
      <c r="A51" s="11">
        <v>47</v>
      </c>
      <c r="B51" s="4" t="s">
        <v>42</v>
      </c>
      <c r="C51" s="4" t="s">
        <v>43</v>
      </c>
      <c r="D51" s="4" t="s">
        <v>435</v>
      </c>
      <c r="E51" s="11" t="s">
        <v>436</v>
      </c>
      <c r="F51" s="9">
        <f>IFERROR(VLOOKUP($B51,'SCHEDA STRUTTURA'!$A$17:$E$417,5,FALSE),"")</f>
        <v>43.86</v>
      </c>
      <c r="G51" s="5"/>
      <c r="H51" s="4" t="s">
        <v>443</v>
      </c>
      <c r="I51" s="11">
        <v>1</v>
      </c>
    </row>
    <row r="52" spans="1:9" x14ac:dyDescent="0.3">
      <c r="A52" s="11">
        <v>48</v>
      </c>
      <c r="B52" s="4" t="s">
        <v>84</v>
      </c>
      <c r="C52" s="4" t="s">
        <v>85</v>
      </c>
      <c r="D52" s="4" t="s">
        <v>435</v>
      </c>
      <c r="E52" s="11" t="s">
        <v>436</v>
      </c>
      <c r="F52" s="9">
        <f>IFERROR(VLOOKUP($B52,'SCHEDA STRUTTURA'!$A$17:$E$417,5,FALSE),"")</f>
        <v>37.06</v>
      </c>
      <c r="G52" s="5"/>
      <c r="H52" s="4" t="s">
        <v>443</v>
      </c>
      <c r="I52" s="11">
        <v>1</v>
      </c>
    </row>
    <row r="53" spans="1:9" x14ac:dyDescent="0.3">
      <c r="A53" s="11">
        <v>49</v>
      </c>
      <c r="B53" s="4" t="s">
        <v>44</v>
      </c>
      <c r="C53" s="4" t="s">
        <v>45</v>
      </c>
      <c r="D53" s="4" t="s">
        <v>435</v>
      </c>
      <c r="E53" s="11" t="s">
        <v>436</v>
      </c>
      <c r="F53" s="9">
        <f>IFERROR(VLOOKUP($B53,'SCHEDA STRUTTURA'!$A$17:$E$417,5,FALSE),"")</f>
        <v>45.15</v>
      </c>
      <c r="G53" s="5"/>
      <c r="H53" s="4" t="s">
        <v>443</v>
      </c>
      <c r="I53" s="11">
        <v>1</v>
      </c>
    </row>
    <row r="54" spans="1:9" x14ac:dyDescent="0.3">
      <c r="A54" s="11">
        <v>50</v>
      </c>
      <c r="B54" s="4" t="s">
        <v>86</v>
      </c>
      <c r="C54" s="4" t="s">
        <v>87</v>
      </c>
      <c r="D54" s="4" t="s">
        <v>435</v>
      </c>
      <c r="E54" s="11" t="s">
        <v>436</v>
      </c>
      <c r="F54" s="9">
        <f>IFERROR(VLOOKUP($B54,'SCHEDA STRUTTURA'!$A$17:$E$417,5,FALSE),"")</f>
        <v>38.15</v>
      </c>
      <c r="G54" s="5"/>
      <c r="H54" s="4" t="s">
        <v>443</v>
      </c>
      <c r="I54" s="11">
        <v>1</v>
      </c>
    </row>
    <row r="55" spans="1:9" x14ac:dyDescent="0.3">
      <c r="A55" s="11">
        <v>51</v>
      </c>
      <c r="B55" s="4" t="s">
        <v>46</v>
      </c>
      <c r="C55" s="4" t="s">
        <v>47</v>
      </c>
      <c r="D55" s="4" t="s">
        <v>435</v>
      </c>
      <c r="E55" s="11" t="s">
        <v>436</v>
      </c>
      <c r="F55" s="9">
        <f>IFERROR(VLOOKUP($B55,'SCHEDA STRUTTURA'!$A$17:$E$417,5,FALSE),"")</f>
        <v>46.440000000000005</v>
      </c>
      <c r="G55" s="5"/>
      <c r="H55" s="4" t="s">
        <v>443</v>
      </c>
      <c r="I55" s="11">
        <v>1</v>
      </c>
    </row>
    <row r="56" spans="1:9" x14ac:dyDescent="0.3">
      <c r="A56" s="11">
        <v>52</v>
      </c>
      <c r="B56" s="4" t="s">
        <v>88</v>
      </c>
      <c r="C56" s="4" t="s">
        <v>89</v>
      </c>
      <c r="D56" s="4" t="s">
        <v>435</v>
      </c>
      <c r="E56" s="11" t="s">
        <v>436</v>
      </c>
      <c r="F56" s="9">
        <f>IFERROR(VLOOKUP($B56,'SCHEDA STRUTTURA'!$A$17:$E$417,5,FALSE),"")</f>
        <v>39.24</v>
      </c>
      <c r="G56" s="5"/>
      <c r="H56" s="4" t="s">
        <v>443</v>
      </c>
      <c r="I56" s="11">
        <v>1</v>
      </c>
    </row>
    <row r="57" spans="1:9" x14ac:dyDescent="0.3">
      <c r="A57" s="11">
        <v>53</v>
      </c>
      <c r="B57" s="4" t="s">
        <v>48</v>
      </c>
      <c r="C57" s="4" t="s">
        <v>49</v>
      </c>
      <c r="D57" s="4" t="s">
        <v>435</v>
      </c>
      <c r="E57" s="11" t="s">
        <v>436</v>
      </c>
      <c r="F57" s="9">
        <f>IFERROR(VLOOKUP($B57,'SCHEDA STRUTTURA'!$A$17:$E$417,5,FALSE),"")</f>
        <v>47.730000000000004</v>
      </c>
      <c r="G57" s="5"/>
      <c r="H57" s="4" t="s">
        <v>443</v>
      </c>
      <c r="I57" s="11">
        <v>1</v>
      </c>
    </row>
    <row r="58" spans="1:9" x14ac:dyDescent="0.3">
      <c r="A58" s="11">
        <v>54</v>
      </c>
      <c r="B58" s="4" t="s">
        <v>90</v>
      </c>
      <c r="C58" s="4" t="s">
        <v>91</v>
      </c>
      <c r="D58" s="4" t="s">
        <v>435</v>
      </c>
      <c r="E58" s="11" t="s">
        <v>436</v>
      </c>
      <c r="F58" s="9">
        <f>IFERROR(VLOOKUP($B58,'SCHEDA STRUTTURA'!$A$17:$E$417,5,FALSE),"")</f>
        <v>40.330000000000005</v>
      </c>
      <c r="G58" s="5"/>
      <c r="H58" s="4" t="s">
        <v>443</v>
      </c>
      <c r="I58" s="11">
        <v>1</v>
      </c>
    </row>
    <row r="59" spans="1:9" x14ac:dyDescent="0.3">
      <c r="A59" s="11">
        <v>55</v>
      </c>
      <c r="B59" s="4" t="s">
        <v>50</v>
      </c>
      <c r="C59" s="4" t="s">
        <v>51</v>
      </c>
      <c r="D59" s="4" t="s">
        <v>435</v>
      </c>
      <c r="E59" s="11" t="s">
        <v>436</v>
      </c>
      <c r="F59" s="9">
        <f>IFERROR(VLOOKUP($B59,'SCHEDA STRUTTURA'!$A$17:$E$417,5,FALSE),"")</f>
        <v>49.019999999999996</v>
      </c>
      <c r="G59" s="5"/>
      <c r="H59" s="4" t="s">
        <v>443</v>
      </c>
      <c r="I59" s="11">
        <v>1</v>
      </c>
    </row>
    <row r="60" spans="1:9" x14ac:dyDescent="0.3">
      <c r="A60" s="11">
        <v>56</v>
      </c>
      <c r="B60" s="4" t="s">
        <v>92</v>
      </c>
      <c r="C60" s="4" t="s">
        <v>93</v>
      </c>
      <c r="D60" s="4" t="s">
        <v>435</v>
      </c>
      <c r="E60" s="11" t="s">
        <v>436</v>
      </c>
      <c r="F60" s="9">
        <f>IFERROR(VLOOKUP($B60,'SCHEDA STRUTTURA'!$A$17:$E$417,5,FALSE),"")</f>
        <v>41.42</v>
      </c>
      <c r="G60" s="5"/>
      <c r="H60" s="4" t="s">
        <v>443</v>
      </c>
      <c r="I60" s="11">
        <v>1</v>
      </c>
    </row>
    <row r="61" spans="1:9" x14ac:dyDescent="0.3">
      <c r="A61" s="11">
        <v>57</v>
      </c>
      <c r="B61" s="4" t="s">
        <v>52</v>
      </c>
      <c r="C61" s="4" t="s">
        <v>53</v>
      </c>
      <c r="D61" s="4" t="s">
        <v>435</v>
      </c>
      <c r="E61" s="11" t="s">
        <v>436</v>
      </c>
      <c r="F61" s="9">
        <f>IFERROR(VLOOKUP($B61,'SCHEDA STRUTTURA'!$A$17:$E$417,5,FALSE),"")</f>
        <v>50.31</v>
      </c>
      <c r="G61" s="5"/>
      <c r="H61" s="4" t="s">
        <v>443</v>
      </c>
      <c r="I61" s="11">
        <v>1</v>
      </c>
    </row>
    <row r="62" spans="1:9" x14ac:dyDescent="0.3">
      <c r="A62" s="11">
        <v>58</v>
      </c>
      <c r="B62" s="4" t="s">
        <v>94</v>
      </c>
      <c r="C62" s="4" t="s">
        <v>95</v>
      </c>
      <c r="D62" s="4" t="s">
        <v>435</v>
      </c>
      <c r="E62" s="11" t="s">
        <v>436</v>
      </c>
      <c r="F62" s="9">
        <f>IFERROR(VLOOKUP($B62,'SCHEDA STRUTTURA'!$A$17:$E$417,5,FALSE),"")</f>
        <v>42.51</v>
      </c>
      <c r="G62" s="5"/>
      <c r="H62" s="4" t="s">
        <v>443</v>
      </c>
      <c r="I62" s="11">
        <v>1</v>
      </c>
    </row>
    <row r="63" spans="1:9" x14ac:dyDescent="0.3">
      <c r="A63" s="11">
        <v>59</v>
      </c>
      <c r="B63" s="4" t="s">
        <v>54</v>
      </c>
      <c r="C63" s="4" t="s">
        <v>55</v>
      </c>
      <c r="D63" s="4" t="s">
        <v>435</v>
      </c>
      <c r="E63" s="11" t="s">
        <v>436</v>
      </c>
      <c r="F63" s="9">
        <f>IFERROR(VLOOKUP($B63,'SCHEDA STRUTTURA'!$A$17:$E$417,5,FALSE),"")</f>
        <v>51.6</v>
      </c>
      <c r="G63" s="5"/>
      <c r="H63" s="4" t="s">
        <v>443</v>
      </c>
      <c r="I63" s="11">
        <v>1</v>
      </c>
    </row>
    <row r="64" spans="1:9" x14ac:dyDescent="0.3">
      <c r="A64" s="11">
        <v>60</v>
      </c>
      <c r="B64" s="4" t="s">
        <v>96</v>
      </c>
      <c r="C64" s="4" t="s">
        <v>97</v>
      </c>
      <c r="D64" s="4" t="s">
        <v>435</v>
      </c>
      <c r="E64" s="11" t="s">
        <v>436</v>
      </c>
      <c r="F64" s="9">
        <f>IFERROR(VLOOKUP($B64,'SCHEDA STRUTTURA'!$A$17:$E$417,5,FALSE),"")</f>
        <v>43.6</v>
      </c>
      <c r="G64" s="5"/>
      <c r="H64" s="4" t="s">
        <v>443</v>
      </c>
      <c r="I64" s="11">
        <v>1</v>
      </c>
    </row>
    <row r="65" spans="1:9" x14ac:dyDescent="0.3">
      <c r="A65" s="11">
        <v>61</v>
      </c>
      <c r="B65" s="4" t="s">
        <v>56</v>
      </c>
      <c r="C65" s="4" t="s">
        <v>57</v>
      </c>
      <c r="D65" s="4" t="s">
        <v>435</v>
      </c>
      <c r="E65" s="11" t="s">
        <v>436</v>
      </c>
      <c r="F65" s="9">
        <f>IFERROR(VLOOKUP($B65,'SCHEDA STRUTTURA'!$A$17:$E$417,5,FALSE),"")</f>
        <v>52.889999999999993</v>
      </c>
      <c r="G65" s="5"/>
      <c r="H65" s="4" t="s">
        <v>443</v>
      </c>
      <c r="I65" s="11">
        <v>1</v>
      </c>
    </row>
    <row r="66" spans="1:9" x14ac:dyDescent="0.3">
      <c r="A66" s="11">
        <v>62</v>
      </c>
      <c r="B66" s="4" t="s">
        <v>98</v>
      </c>
      <c r="C66" s="4" t="s">
        <v>99</v>
      </c>
      <c r="D66" s="4" t="s">
        <v>435</v>
      </c>
      <c r="E66" s="11" t="s">
        <v>436</v>
      </c>
      <c r="F66" s="9">
        <f>IFERROR(VLOOKUP($B66,'SCHEDA STRUTTURA'!$A$17:$E$417,5,FALSE),"")</f>
        <v>44.69</v>
      </c>
      <c r="G66" s="5"/>
      <c r="H66" s="4" t="s">
        <v>443</v>
      </c>
      <c r="I66" s="11">
        <v>1</v>
      </c>
    </row>
    <row r="67" spans="1:9" x14ac:dyDescent="0.3">
      <c r="A67" s="11">
        <v>63</v>
      </c>
      <c r="B67" s="4" t="s">
        <v>58</v>
      </c>
      <c r="C67" s="4" t="s">
        <v>59</v>
      </c>
      <c r="D67" s="4" t="s">
        <v>435</v>
      </c>
      <c r="E67" s="11" t="s">
        <v>436</v>
      </c>
      <c r="F67" s="9">
        <f>IFERROR(VLOOKUP($B67,'SCHEDA STRUTTURA'!$A$17:$E$417,5,FALSE),"")</f>
        <v>54.180000000000007</v>
      </c>
      <c r="G67" s="5"/>
      <c r="H67" s="4" t="s">
        <v>443</v>
      </c>
      <c r="I67" s="11">
        <v>1</v>
      </c>
    </row>
    <row r="68" spans="1:9" x14ac:dyDescent="0.3">
      <c r="A68" s="11">
        <v>64</v>
      </c>
      <c r="B68" s="4" t="s">
        <v>100</v>
      </c>
      <c r="C68" s="4" t="s">
        <v>101</v>
      </c>
      <c r="D68" s="4" t="s">
        <v>435</v>
      </c>
      <c r="E68" s="11" t="s">
        <v>436</v>
      </c>
      <c r="F68" s="9">
        <f>IFERROR(VLOOKUP($B68,'SCHEDA STRUTTURA'!$A$17:$E$417,5,FALSE),"")</f>
        <v>45.78</v>
      </c>
      <c r="G68" s="5"/>
      <c r="H68" s="4" t="s">
        <v>443</v>
      </c>
      <c r="I68" s="11">
        <v>1</v>
      </c>
    </row>
    <row r="69" spans="1:9" x14ac:dyDescent="0.3">
      <c r="A69" s="11">
        <v>65</v>
      </c>
      <c r="B69" s="4" t="s">
        <v>60</v>
      </c>
      <c r="C69" s="4" t="s">
        <v>61</v>
      </c>
      <c r="D69" s="4" t="s">
        <v>435</v>
      </c>
      <c r="E69" s="11" t="s">
        <v>436</v>
      </c>
      <c r="F69" s="9">
        <f>IFERROR(VLOOKUP($B69,'SCHEDA STRUTTURA'!$A$17:$E$417,5,FALSE),"")</f>
        <v>55.47</v>
      </c>
      <c r="G69" s="5"/>
      <c r="H69" s="4" t="s">
        <v>443</v>
      </c>
      <c r="I69" s="11">
        <v>1</v>
      </c>
    </row>
    <row r="70" spans="1:9" x14ac:dyDescent="0.3">
      <c r="A70" s="11">
        <v>66</v>
      </c>
      <c r="B70" s="4" t="s">
        <v>102</v>
      </c>
      <c r="C70" s="4" t="s">
        <v>103</v>
      </c>
      <c r="D70" s="4" t="s">
        <v>435</v>
      </c>
      <c r="E70" s="11" t="s">
        <v>436</v>
      </c>
      <c r="F70" s="9">
        <f>IFERROR(VLOOKUP($B70,'SCHEDA STRUTTURA'!$A$17:$E$417,5,FALSE),"")</f>
        <v>46.87</v>
      </c>
      <c r="G70" s="5"/>
      <c r="H70" s="4" t="s">
        <v>443</v>
      </c>
      <c r="I70" s="11">
        <v>1</v>
      </c>
    </row>
    <row r="71" spans="1:9" x14ac:dyDescent="0.3">
      <c r="A71" s="11">
        <v>67</v>
      </c>
      <c r="B71" s="4" t="s">
        <v>62</v>
      </c>
      <c r="C71" s="4" t="s">
        <v>63</v>
      </c>
      <c r="D71" s="4" t="s">
        <v>435</v>
      </c>
      <c r="E71" s="11" t="s">
        <v>436</v>
      </c>
      <c r="F71" s="9">
        <f>IFERROR(VLOOKUP($B71,'SCHEDA STRUTTURA'!$A$17:$E$417,5,FALSE),"")</f>
        <v>56.760000000000005</v>
      </c>
      <c r="G71" s="5"/>
      <c r="H71" s="4" t="s">
        <v>443</v>
      </c>
      <c r="I71" s="11">
        <v>1</v>
      </c>
    </row>
    <row r="72" spans="1:9" x14ac:dyDescent="0.3">
      <c r="A72" s="11">
        <v>68</v>
      </c>
      <c r="B72" s="4" t="s">
        <v>104</v>
      </c>
      <c r="C72" s="4" t="s">
        <v>105</v>
      </c>
      <c r="D72" s="4" t="s">
        <v>435</v>
      </c>
      <c r="E72" s="11" t="s">
        <v>436</v>
      </c>
      <c r="F72" s="9">
        <f>IFERROR(VLOOKUP($B72,'SCHEDA STRUTTURA'!$A$17:$E$417,5,FALSE),"")</f>
        <v>47.960000000000008</v>
      </c>
      <c r="G72" s="5"/>
      <c r="H72" s="4" t="s">
        <v>443</v>
      </c>
      <c r="I72" s="11">
        <v>1</v>
      </c>
    </row>
    <row r="73" spans="1:9" x14ac:dyDescent="0.3">
      <c r="A73" s="11">
        <v>69</v>
      </c>
      <c r="B73" s="4" t="s">
        <v>64</v>
      </c>
      <c r="C73" s="4" t="s">
        <v>65</v>
      </c>
      <c r="D73" s="4" t="s">
        <v>435</v>
      </c>
      <c r="E73" s="11" t="s">
        <v>436</v>
      </c>
      <c r="F73" s="9">
        <f>IFERROR(VLOOKUP($B73,'SCHEDA STRUTTURA'!$A$17:$E$417,5,FALSE),"")</f>
        <v>58.050000000000004</v>
      </c>
      <c r="G73" s="5"/>
      <c r="H73" s="4" t="s">
        <v>443</v>
      </c>
      <c r="I73" s="11">
        <v>1</v>
      </c>
    </row>
    <row r="74" spans="1:9" x14ac:dyDescent="0.3">
      <c r="A74" s="11">
        <v>70</v>
      </c>
      <c r="B74" s="4" t="s">
        <v>106</v>
      </c>
      <c r="C74" s="4" t="s">
        <v>107</v>
      </c>
      <c r="D74" s="4" t="s">
        <v>435</v>
      </c>
      <c r="E74" s="11" t="s">
        <v>436</v>
      </c>
      <c r="F74" s="9">
        <f>IFERROR(VLOOKUP($B74,'SCHEDA STRUTTURA'!$A$17:$E$417,5,FALSE),"")</f>
        <v>49.050000000000004</v>
      </c>
      <c r="G74" s="5"/>
      <c r="H74" s="4" t="s">
        <v>443</v>
      </c>
      <c r="I74" s="11">
        <v>1</v>
      </c>
    </row>
    <row r="75" spans="1:9" x14ac:dyDescent="0.3">
      <c r="A75" s="11">
        <v>71</v>
      </c>
      <c r="B75" s="4" t="s">
        <v>26</v>
      </c>
      <c r="C75" s="4" t="s">
        <v>27</v>
      </c>
      <c r="D75" s="4" t="s">
        <v>435</v>
      </c>
      <c r="E75" s="11" t="s">
        <v>436</v>
      </c>
      <c r="F75" s="9">
        <f>IFERROR(VLOOKUP($B75,'SCHEDA STRUTTURA'!$A$17:$E$417,5,FALSE),"")</f>
        <v>29.669999999999998</v>
      </c>
      <c r="G75" s="5"/>
      <c r="H75" s="4" t="s">
        <v>444</v>
      </c>
      <c r="I75" s="11">
        <v>1</v>
      </c>
    </row>
    <row r="76" spans="1:9" x14ac:dyDescent="0.3">
      <c r="A76" s="11">
        <v>72</v>
      </c>
      <c r="B76" s="4" t="s">
        <v>68</v>
      </c>
      <c r="C76" s="4" t="s">
        <v>69</v>
      </c>
      <c r="D76" s="4" t="s">
        <v>435</v>
      </c>
      <c r="E76" s="11" t="s">
        <v>436</v>
      </c>
      <c r="F76" s="9">
        <f>IFERROR(VLOOKUP($B76,'SCHEDA STRUTTURA'!$A$17:$E$417,5,FALSE),"")</f>
        <v>25.07</v>
      </c>
      <c r="G76" s="5"/>
      <c r="H76" s="4" t="s">
        <v>444</v>
      </c>
      <c r="I76" s="11">
        <v>1</v>
      </c>
    </row>
    <row r="77" spans="1:9" x14ac:dyDescent="0.3">
      <c r="A77" s="11">
        <v>73</v>
      </c>
      <c r="B77" s="4" t="s">
        <v>28</v>
      </c>
      <c r="C77" s="4" t="s">
        <v>29</v>
      </c>
      <c r="D77" s="4" t="s">
        <v>435</v>
      </c>
      <c r="E77" s="11" t="s">
        <v>436</v>
      </c>
      <c r="F77" s="9">
        <f>IFERROR(VLOOKUP($B77,'SCHEDA STRUTTURA'!$A$17:$E$417,5,FALSE),"")</f>
        <v>29.669999999999998</v>
      </c>
      <c r="G77" s="5"/>
      <c r="H77" s="4" t="s">
        <v>445</v>
      </c>
      <c r="I77" s="11">
        <v>1</v>
      </c>
    </row>
    <row r="78" spans="1:9" x14ac:dyDescent="0.3">
      <c r="A78" s="11">
        <v>74</v>
      </c>
      <c r="B78" s="4" t="s">
        <v>70</v>
      </c>
      <c r="C78" s="4" t="s">
        <v>71</v>
      </c>
      <c r="D78" s="4" t="s">
        <v>435</v>
      </c>
      <c r="E78" s="11" t="s">
        <v>436</v>
      </c>
      <c r="F78" s="9">
        <f>IFERROR(VLOOKUP($B78,'SCHEDA STRUTTURA'!$A$17:$E$417,5,FALSE),"")</f>
        <v>25.07</v>
      </c>
      <c r="G78" s="5"/>
      <c r="H78" s="4" t="s">
        <v>445</v>
      </c>
      <c r="I78" s="11">
        <v>1</v>
      </c>
    </row>
    <row r="79" spans="1:9" x14ac:dyDescent="0.3">
      <c r="A79" s="11">
        <v>75</v>
      </c>
      <c r="B79" s="4" t="s">
        <v>306</v>
      </c>
      <c r="C79" s="4" t="s">
        <v>307</v>
      </c>
      <c r="D79" s="4" t="s">
        <v>435</v>
      </c>
      <c r="E79" s="11" t="s">
        <v>436</v>
      </c>
      <c r="F79" s="9">
        <f>IFERROR(VLOOKUP($B79,'SCHEDA PEZZI SPECIALI'!$A$38:$F$400,4,FALSE),"")</f>
        <v>2.1528</v>
      </c>
      <c r="G79" s="5"/>
      <c r="H79" s="4" t="s">
        <v>443</v>
      </c>
      <c r="I79" s="11">
        <v>1</v>
      </c>
    </row>
    <row r="80" spans="1:9" x14ac:dyDescent="0.3">
      <c r="A80" s="11">
        <v>76</v>
      </c>
      <c r="B80" s="4" t="s">
        <v>308</v>
      </c>
      <c r="C80" s="4" t="s">
        <v>309</v>
      </c>
      <c r="D80" s="4" t="s">
        <v>435</v>
      </c>
      <c r="E80" s="11" t="s">
        <v>436</v>
      </c>
      <c r="F80" s="9">
        <f>IFERROR(VLOOKUP($B80,'SCHEDA PEZZI SPECIALI'!$A$38:$F$400,4,FALSE),"")</f>
        <v>2.7256</v>
      </c>
      <c r="G80" s="5"/>
      <c r="H80" s="4" t="s">
        <v>443</v>
      </c>
      <c r="I80" s="11">
        <v>1</v>
      </c>
    </row>
    <row r="81" spans="1:9" x14ac:dyDescent="0.3">
      <c r="A81" s="11">
        <v>77</v>
      </c>
      <c r="B81" s="4" t="s">
        <v>310</v>
      </c>
      <c r="C81" s="4" t="s">
        <v>311</v>
      </c>
      <c r="D81" s="4" t="s">
        <v>435</v>
      </c>
      <c r="E81" s="11" t="s">
        <v>436</v>
      </c>
      <c r="F81" s="9">
        <f>IFERROR(VLOOKUP($B81,'SCHEDA PEZZI SPECIALI'!$A$38:$F$400,4,FALSE),"")</f>
        <v>2.6856960000000001</v>
      </c>
      <c r="G81" s="5"/>
      <c r="H81" s="4" t="s">
        <v>444</v>
      </c>
      <c r="I81" s="11">
        <v>1</v>
      </c>
    </row>
    <row r="82" spans="1:9" x14ac:dyDescent="0.3">
      <c r="A82" s="11">
        <v>78</v>
      </c>
      <c r="B82" s="4" t="s">
        <v>312</v>
      </c>
      <c r="C82" s="4" t="s">
        <v>313</v>
      </c>
      <c r="D82" s="4" t="s">
        <v>435</v>
      </c>
      <c r="E82" s="11" t="s">
        <v>436</v>
      </c>
      <c r="F82" s="9">
        <f>IFERROR(VLOOKUP($B82,'SCHEDA PEZZI SPECIALI'!$A$38:$F$400,4,FALSE),"")</f>
        <v>2.6856960000000001</v>
      </c>
      <c r="G82" s="5"/>
      <c r="H82" s="4" t="s">
        <v>444</v>
      </c>
      <c r="I82" s="11">
        <v>1</v>
      </c>
    </row>
    <row r="83" spans="1:9" x14ac:dyDescent="0.3">
      <c r="A83" s="11">
        <v>79</v>
      </c>
      <c r="B83" s="4" t="s">
        <v>314</v>
      </c>
      <c r="C83" s="4" t="s">
        <v>315</v>
      </c>
      <c r="D83" s="4" t="s">
        <v>435</v>
      </c>
      <c r="E83" s="11" t="s">
        <v>436</v>
      </c>
      <c r="F83" s="9">
        <f>IFERROR(VLOOKUP($B83,'SCHEDA PEZZI SPECIALI'!$A$38:$F$400,4,FALSE),"")</f>
        <v>7.0012800000000004</v>
      </c>
      <c r="G83" s="5"/>
      <c r="H83" s="4" t="s">
        <v>444</v>
      </c>
      <c r="I83" s="11">
        <v>1</v>
      </c>
    </row>
    <row r="84" spans="1:9" x14ac:dyDescent="0.3">
      <c r="A84" s="11">
        <v>80</v>
      </c>
      <c r="B84" s="4" t="s">
        <v>316</v>
      </c>
      <c r="C84" s="4" t="s">
        <v>317</v>
      </c>
      <c r="D84" s="4" t="s">
        <v>435</v>
      </c>
      <c r="E84" s="11" t="s">
        <v>436</v>
      </c>
      <c r="F84" s="9">
        <f>IFERROR(VLOOKUP($B84,'SCHEDA PEZZI SPECIALI'!$A$38:$F$400,4,FALSE),"")</f>
        <v>2.169</v>
      </c>
      <c r="G84" s="5"/>
      <c r="H84" s="4" t="s">
        <v>445</v>
      </c>
      <c r="I84" s="11">
        <v>1</v>
      </c>
    </row>
    <row r="85" spans="1:9" x14ac:dyDescent="0.3">
      <c r="A85" s="11">
        <v>81</v>
      </c>
      <c r="B85" s="4" t="s">
        <v>318</v>
      </c>
      <c r="C85" s="4" t="s">
        <v>319</v>
      </c>
      <c r="D85" s="4" t="s">
        <v>435</v>
      </c>
      <c r="E85" s="11" t="s">
        <v>436</v>
      </c>
      <c r="F85" s="9">
        <f>IFERROR(VLOOKUP($B85,'SCHEDA PEZZI SPECIALI'!$A$38:$F$400,4,FALSE),"")</f>
        <v>2.169</v>
      </c>
      <c r="G85" s="5"/>
      <c r="H85" s="4" t="s">
        <v>445</v>
      </c>
      <c r="I85" s="11">
        <v>1</v>
      </c>
    </row>
    <row r="86" spans="1:9" x14ac:dyDescent="0.3">
      <c r="A86" s="11">
        <v>82</v>
      </c>
      <c r="B86" s="4" t="s">
        <v>320</v>
      </c>
      <c r="C86" s="4" t="s">
        <v>321</v>
      </c>
      <c r="D86" s="4" t="s">
        <v>435</v>
      </c>
      <c r="E86" s="11" t="s">
        <v>436</v>
      </c>
      <c r="F86" s="9">
        <f>IFERROR(VLOOKUP($B86,'SCHEDA PEZZI SPECIALI'!$A$38:$F$400,4,FALSE),"")</f>
        <v>7.3788</v>
      </c>
      <c r="G86" s="5"/>
      <c r="H86" s="4" t="s">
        <v>445</v>
      </c>
      <c r="I86" s="11">
        <v>1</v>
      </c>
    </row>
    <row r="87" spans="1:9" x14ac:dyDescent="0.3">
      <c r="A87" s="11">
        <v>83</v>
      </c>
      <c r="B87" s="4" t="s">
        <v>116</v>
      </c>
      <c r="C87" s="4" t="s">
        <v>117</v>
      </c>
      <c r="D87" s="4" t="s">
        <v>435</v>
      </c>
      <c r="E87" s="11" t="s">
        <v>436</v>
      </c>
      <c r="F87" s="9">
        <f>IFERROR(VLOOKUP($B87,'SCHEDA STRUTTURA'!$A$17:$E$417,5,FALSE),"")</f>
        <v>38.700000000000003</v>
      </c>
      <c r="G87" s="5"/>
      <c r="H87" s="4" t="s">
        <v>446</v>
      </c>
      <c r="I87" s="11">
        <v>2</v>
      </c>
    </row>
    <row r="88" spans="1:9" x14ac:dyDescent="0.3">
      <c r="A88" s="11">
        <v>84</v>
      </c>
      <c r="B88" s="4" t="s">
        <v>138</v>
      </c>
      <c r="C88" s="4" t="s">
        <v>139</v>
      </c>
      <c r="D88" s="4" t="s">
        <v>435</v>
      </c>
      <c r="E88" s="11" t="s">
        <v>436</v>
      </c>
      <c r="F88" s="9">
        <f>IFERROR(VLOOKUP($B88,'SCHEDA STRUTTURA'!$A$17:$E$417,5,FALSE),"")</f>
        <v>32.700000000000003</v>
      </c>
      <c r="G88" s="5"/>
      <c r="H88" s="4" t="s">
        <v>447</v>
      </c>
      <c r="I88" s="11">
        <v>1</v>
      </c>
    </row>
    <row r="89" spans="1:9" x14ac:dyDescent="0.3">
      <c r="A89" s="11">
        <v>85</v>
      </c>
      <c r="B89" s="4" t="s">
        <v>108</v>
      </c>
      <c r="C89" s="4" t="s">
        <v>109</v>
      </c>
      <c r="D89" s="4" t="s">
        <v>435</v>
      </c>
      <c r="E89" s="11" t="s">
        <v>436</v>
      </c>
      <c r="F89" s="9">
        <f>IFERROR(VLOOKUP($B89,'SCHEDA STRUTTURA'!$A$17:$E$417,5,FALSE),"")</f>
        <v>33.54</v>
      </c>
      <c r="G89" s="5"/>
      <c r="H89" s="4" t="s">
        <v>447</v>
      </c>
      <c r="I89" s="11">
        <v>1</v>
      </c>
    </row>
    <row r="90" spans="1:9" x14ac:dyDescent="0.3">
      <c r="A90" s="11">
        <v>86</v>
      </c>
      <c r="B90" s="4" t="s">
        <v>130</v>
      </c>
      <c r="C90" s="4" t="s">
        <v>131</v>
      </c>
      <c r="D90" s="4" t="s">
        <v>435</v>
      </c>
      <c r="E90" s="11" t="s">
        <v>436</v>
      </c>
      <c r="F90" s="9">
        <f>IFERROR(VLOOKUP($B90,'SCHEDA STRUTTURA'!$A$17:$E$417,5,FALSE),"")</f>
        <v>28.340000000000003</v>
      </c>
      <c r="G90" s="5"/>
      <c r="H90" s="4" t="s">
        <v>447</v>
      </c>
      <c r="I90" s="11">
        <v>1</v>
      </c>
    </row>
    <row r="91" spans="1:9" x14ac:dyDescent="0.3">
      <c r="A91" s="11">
        <v>87</v>
      </c>
      <c r="B91" s="4" t="s">
        <v>110</v>
      </c>
      <c r="C91" s="4" t="s">
        <v>111</v>
      </c>
      <c r="D91" s="4" t="s">
        <v>435</v>
      </c>
      <c r="E91" s="11" t="s">
        <v>436</v>
      </c>
      <c r="F91" s="9">
        <f>IFERROR(VLOOKUP($B91,'SCHEDA STRUTTURA'!$A$17:$E$417,5,FALSE),"")</f>
        <v>34.830000000000005</v>
      </c>
      <c r="G91" s="5"/>
      <c r="H91" s="4" t="s">
        <v>447</v>
      </c>
      <c r="I91" s="11">
        <v>1</v>
      </c>
    </row>
    <row r="92" spans="1:9" x14ac:dyDescent="0.3">
      <c r="A92" s="11">
        <v>88</v>
      </c>
      <c r="B92" s="4" t="s">
        <v>132</v>
      </c>
      <c r="C92" s="4" t="s">
        <v>133</v>
      </c>
      <c r="D92" s="4" t="s">
        <v>435</v>
      </c>
      <c r="E92" s="11" t="s">
        <v>436</v>
      </c>
      <c r="F92" s="9">
        <f>IFERROR(VLOOKUP($B92,'SCHEDA STRUTTURA'!$A$17:$E$417,5,FALSE),"")</f>
        <v>29.430000000000003</v>
      </c>
      <c r="G92" s="5"/>
      <c r="H92" s="4" t="s">
        <v>447</v>
      </c>
      <c r="I92" s="11">
        <v>1</v>
      </c>
    </row>
    <row r="93" spans="1:9" x14ac:dyDescent="0.3">
      <c r="A93" s="11">
        <v>89</v>
      </c>
      <c r="B93" s="4" t="s">
        <v>112</v>
      </c>
      <c r="C93" s="4" t="s">
        <v>113</v>
      </c>
      <c r="D93" s="4" t="s">
        <v>435</v>
      </c>
      <c r="E93" s="11" t="s">
        <v>436</v>
      </c>
      <c r="F93" s="9">
        <f>IFERROR(VLOOKUP($B93,'SCHEDA STRUTTURA'!$A$17:$E$417,5,FALSE),"")</f>
        <v>36.119999999999997</v>
      </c>
      <c r="G93" s="5"/>
      <c r="H93" s="4" t="s">
        <v>447</v>
      </c>
      <c r="I93" s="11">
        <v>1</v>
      </c>
    </row>
    <row r="94" spans="1:9" x14ac:dyDescent="0.3">
      <c r="A94" s="11">
        <v>90</v>
      </c>
      <c r="B94" s="4" t="s">
        <v>134</v>
      </c>
      <c r="C94" s="4" t="s">
        <v>135</v>
      </c>
      <c r="D94" s="4" t="s">
        <v>435</v>
      </c>
      <c r="E94" s="11" t="s">
        <v>436</v>
      </c>
      <c r="F94" s="9">
        <f>IFERROR(VLOOKUP($B94,'SCHEDA STRUTTURA'!$A$17:$E$417,5,FALSE),"")</f>
        <v>30.52</v>
      </c>
      <c r="G94" s="5"/>
      <c r="H94" s="4" t="s">
        <v>447</v>
      </c>
      <c r="I94" s="11">
        <v>1</v>
      </c>
    </row>
    <row r="95" spans="1:9" x14ac:dyDescent="0.3">
      <c r="A95" s="11">
        <v>91</v>
      </c>
      <c r="B95" s="4" t="s">
        <v>114</v>
      </c>
      <c r="C95" s="4" t="s">
        <v>115</v>
      </c>
      <c r="D95" s="4" t="s">
        <v>435</v>
      </c>
      <c r="E95" s="11" t="s">
        <v>436</v>
      </c>
      <c r="F95" s="9">
        <f>IFERROR(VLOOKUP($B95,'SCHEDA STRUTTURA'!$A$17:$E$417,5,FALSE),"")</f>
        <v>37.409999999999997</v>
      </c>
      <c r="G95" s="5"/>
      <c r="H95" s="4" t="s">
        <v>447</v>
      </c>
      <c r="I95" s="11">
        <v>1</v>
      </c>
    </row>
    <row r="96" spans="1:9" x14ac:dyDescent="0.3">
      <c r="A96" s="11">
        <v>92</v>
      </c>
      <c r="B96" s="4" t="s">
        <v>136</v>
      </c>
      <c r="C96" s="4" t="s">
        <v>137</v>
      </c>
      <c r="D96" s="4" t="s">
        <v>435</v>
      </c>
      <c r="E96" s="11" t="s">
        <v>436</v>
      </c>
      <c r="F96" s="9">
        <f>IFERROR(VLOOKUP($B96,'SCHEDA STRUTTURA'!$A$17:$E$417,5,FALSE),"")</f>
        <v>31.61</v>
      </c>
      <c r="G96" s="5"/>
      <c r="H96" s="4" t="s">
        <v>447</v>
      </c>
      <c r="I96" s="11">
        <v>1</v>
      </c>
    </row>
    <row r="97" spans="1:9" x14ac:dyDescent="0.3">
      <c r="A97" s="11">
        <v>93</v>
      </c>
      <c r="B97" s="4" t="s">
        <v>118</v>
      </c>
      <c r="C97" s="4" t="s">
        <v>119</v>
      </c>
      <c r="D97" s="4" t="s">
        <v>435</v>
      </c>
      <c r="E97" s="11" t="s">
        <v>436</v>
      </c>
      <c r="F97" s="9">
        <f>IFERROR(VLOOKUP($B97,'SCHEDA STRUTTURA'!$A$17:$E$417,5,FALSE),"")</f>
        <v>39.99</v>
      </c>
      <c r="G97" s="5"/>
      <c r="H97" s="4" t="s">
        <v>447</v>
      </c>
      <c r="I97" s="11">
        <v>1</v>
      </c>
    </row>
    <row r="98" spans="1:9" x14ac:dyDescent="0.3">
      <c r="A98" s="11">
        <v>94</v>
      </c>
      <c r="B98" s="4" t="s">
        <v>140</v>
      </c>
      <c r="C98" s="4" t="s">
        <v>141</v>
      </c>
      <c r="D98" s="4" t="s">
        <v>435</v>
      </c>
      <c r="E98" s="11" t="s">
        <v>436</v>
      </c>
      <c r="F98" s="9">
        <f>IFERROR(VLOOKUP($B98,'SCHEDA STRUTTURA'!$A$17:$E$417,5,FALSE),"")</f>
        <v>33.79</v>
      </c>
      <c r="G98" s="5"/>
      <c r="H98" s="4" t="s">
        <v>447</v>
      </c>
      <c r="I98" s="11">
        <v>1</v>
      </c>
    </row>
    <row r="99" spans="1:9" x14ac:dyDescent="0.3">
      <c r="A99" s="11">
        <v>95</v>
      </c>
      <c r="B99" s="4" t="s">
        <v>120</v>
      </c>
      <c r="C99" s="4" t="s">
        <v>121</v>
      </c>
      <c r="D99" s="4" t="s">
        <v>435</v>
      </c>
      <c r="E99" s="11" t="s">
        <v>436</v>
      </c>
      <c r="F99" s="9">
        <f>IFERROR(VLOOKUP($B99,'SCHEDA STRUTTURA'!$A$17:$E$417,5,FALSE),"")</f>
        <v>41.28</v>
      </c>
      <c r="G99" s="5"/>
      <c r="H99" s="4" t="s">
        <v>447</v>
      </c>
      <c r="I99" s="11">
        <v>1</v>
      </c>
    </row>
    <row r="100" spans="1:9" x14ac:dyDescent="0.3">
      <c r="A100" s="11">
        <v>96</v>
      </c>
      <c r="B100" s="4" t="s">
        <v>142</v>
      </c>
      <c r="C100" s="4" t="s">
        <v>143</v>
      </c>
      <c r="D100" s="4" t="s">
        <v>435</v>
      </c>
      <c r="E100" s="11" t="s">
        <v>436</v>
      </c>
      <c r="F100" s="9">
        <f>IFERROR(VLOOKUP($B100,'SCHEDA STRUTTURA'!$A$17:$E$417,5,FALSE),"")</f>
        <v>34.880000000000003</v>
      </c>
      <c r="G100" s="5"/>
      <c r="H100" s="4" t="s">
        <v>447</v>
      </c>
      <c r="I100" s="11">
        <v>1</v>
      </c>
    </row>
    <row r="101" spans="1:9" x14ac:dyDescent="0.3">
      <c r="A101" s="11">
        <v>97</v>
      </c>
      <c r="B101" s="4" t="s">
        <v>122</v>
      </c>
      <c r="C101" s="4" t="s">
        <v>123</v>
      </c>
      <c r="D101" s="4" t="s">
        <v>435</v>
      </c>
      <c r="E101" s="11" t="s">
        <v>436</v>
      </c>
      <c r="F101" s="9">
        <f>IFERROR(VLOOKUP($B101,'SCHEDA STRUTTURA'!$A$17:$E$417,5,FALSE),"")</f>
        <v>42.57</v>
      </c>
      <c r="G101" s="5"/>
      <c r="H101" s="4" t="s">
        <v>447</v>
      </c>
      <c r="I101" s="11">
        <v>1</v>
      </c>
    </row>
    <row r="102" spans="1:9" x14ac:dyDescent="0.3">
      <c r="A102" s="11">
        <v>98</v>
      </c>
      <c r="B102" s="4" t="s">
        <v>144</v>
      </c>
      <c r="C102" s="4" t="s">
        <v>145</v>
      </c>
      <c r="D102" s="4" t="s">
        <v>435</v>
      </c>
      <c r="E102" s="11" t="s">
        <v>436</v>
      </c>
      <c r="F102" s="9">
        <f>IFERROR(VLOOKUP($B102,'SCHEDA STRUTTURA'!$A$17:$E$417,5,FALSE),"")</f>
        <v>35.97</v>
      </c>
      <c r="G102" s="5"/>
      <c r="H102" s="4" t="s">
        <v>447</v>
      </c>
      <c r="I102" s="11">
        <v>1</v>
      </c>
    </row>
    <row r="103" spans="1:9" x14ac:dyDescent="0.3">
      <c r="A103" s="11">
        <v>99</v>
      </c>
      <c r="B103" s="4" t="s">
        <v>124</v>
      </c>
      <c r="C103" s="4" t="s">
        <v>125</v>
      </c>
      <c r="D103" s="4" t="s">
        <v>435</v>
      </c>
      <c r="E103" s="11" t="s">
        <v>436</v>
      </c>
      <c r="F103" s="9">
        <f>IFERROR(VLOOKUP($B103,'SCHEDA STRUTTURA'!$A$17:$E$417,5,FALSE),"")</f>
        <v>43.86</v>
      </c>
      <c r="G103" s="5"/>
      <c r="H103" s="4" t="s">
        <v>447</v>
      </c>
      <c r="I103" s="11">
        <v>1</v>
      </c>
    </row>
    <row r="104" spans="1:9" x14ac:dyDescent="0.3">
      <c r="A104" s="11">
        <v>100</v>
      </c>
      <c r="B104" s="4" t="s">
        <v>146</v>
      </c>
      <c r="C104" s="4" t="s">
        <v>147</v>
      </c>
      <c r="D104" s="4" t="s">
        <v>435</v>
      </c>
      <c r="E104" s="11" t="s">
        <v>436</v>
      </c>
      <c r="F104" s="9">
        <f>IFERROR(VLOOKUP($B104,'SCHEDA STRUTTURA'!$A$17:$E$417,5,FALSE),"")</f>
        <v>37.06</v>
      </c>
      <c r="G104" s="5"/>
      <c r="H104" s="4" t="s">
        <v>447</v>
      </c>
      <c r="I104" s="11">
        <v>1</v>
      </c>
    </row>
    <row r="105" spans="1:9" x14ac:dyDescent="0.3">
      <c r="A105" s="11">
        <v>101</v>
      </c>
      <c r="B105" s="4" t="s">
        <v>126</v>
      </c>
      <c r="C105" s="4" t="s">
        <v>127</v>
      </c>
      <c r="D105" s="4" t="s">
        <v>435</v>
      </c>
      <c r="E105" s="11" t="s">
        <v>436</v>
      </c>
      <c r="F105" s="9">
        <f>IFERROR(VLOOKUP($B105,'SCHEDA STRUTTURA'!$A$17:$E$417,5,FALSE),"")</f>
        <v>45.15</v>
      </c>
      <c r="G105" s="5"/>
      <c r="H105" s="4" t="s">
        <v>447</v>
      </c>
      <c r="I105" s="11">
        <v>1</v>
      </c>
    </row>
    <row r="106" spans="1:9" x14ac:dyDescent="0.3">
      <c r="A106" s="11">
        <v>102</v>
      </c>
      <c r="B106" s="4" t="s">
        <v>148</v>
      </c>
      <c r="C106" s="4" t="s">
        <v>149</v>
      </c>
      <c r="D106" s="4" t="s">
        <v>435</v>
      </c>
      <c r="E106" s="11" t="s">
        <v>436</v>
      </c>
      <c r="F106" s="9">
        <f>IFERROR(VLOOKUP($B106,'SCHEDA STRUTTURA'!$A$17:$E$417,5,FALSE),"")</f>
        <v>38.15</v>
      </c>
      <c r="G106" s="5"/>
      <c r="H106" s="4" t="s">
        <v>447</v>
      </c>
      <c r="I106" s="11">
        <v>1</v>
      </c>
    </row>
    <row r="107" spans="1:9" x14ac:dyDescent="0.3">
      <c r="A107" s="11">
        <v>103</v>
      </c>
      <c r="B107" s="4" t="s">
        <v>128</v>
      </c>
      <c r="C107" s="4" t="s">
        <v>129</v>
      </c>
      <c r="D107" s="4" t="s">
        <v>435</v>
      </c>
      <c r="E107" s="11" t="s">
        <v>436</v>
      </c>
      <c r="F107" s="9">
        <f>IFERROR(VLOOKUP($B107,'SCHEDA STRUTTURA'!$A$17:$E$417,5,FALSE),"")</f>
        <v>46.440000000000005</v>
      </c>
      <c r="G107" s="5"/>
      <c r="H107" s="4" t="s">
        <v>447</v>
      </c>
      <c r="I107" s="11">
        <v>1</v>
      </c>
    </row>
    <row r="108" spans="1:9" x14ac:dyDescent="0.3">
      <c r="A108" s="11">
        <v>104</v>
      </c>
      <c r="B108" s="4" t="s">
        <v>150</v>
      </c>
      <c r="C108" s="4" t="s">
        <v>151</v>
      </c>
      <c r="D108" s="4" t="s">
        <v>435</v>
      </c>
      <c r="E108" s="11" t="s">
        <v>436</v>
      </c>
      <c r="F108" s="9">
        <f>IFERROR(VLOOKUP($B108,'SCHEDA STRUTTURA'!$A$17:$E$417,5,FALSE),"")</f>
        <v>39.24</v>
      </c>
      <c r="G108" s="5"/>
      <c r="H108" s="4" t="s">
        <v>447</v>
      </c>
      <c r="I108" s="11">
        <v>1</v>
      </c>
    </row>
    <row r="109" spans="1:9" x14ac:dyDescent="0.3">
      <c r="A109" s="11">
        <v>105</v>
      </c>
      <c r="B109" s="4" t="s">
        <v>292</v>
      </c>
      <c r="C109" s="4" t="s">
        <v>293</v>
      </c>
      <c r="D109" s="4" t="s">
        <v>435</v>
      </c>
      <c r="E109" s="11" t="s">
        <v>436</v>
      </c>
      <c r="F109" s="9">
        <f>IFERROR(VLOOKUP($B109,'SCHEDA PEZZI SPECIALI'!$A$38:$F$400,4,FALSE),"")</f>
        <v>0.624</v>
      </c>
      <c r="G109" s="5"/>
      <c r="H109" s="4" t="s">
        <v>446</v>
      </c>
      <c r="I109" s="11">
        <v>2</v>
      </c>
    </row>
    <row r="110" spans="1:9" x14ac:dyDescent="0.3">
      <c r="A110" s="11">
        <v>106</v>
      </c>
      <c r="B110" s="4" t="s">
        <v>294</v>
      </c>
      <c r="C110" s="4" t="s">
        <v>295</v>
      </c>
      <c r="D110" s="4" t="s">
        <v>435</v>
      </c>
      <c r="E110" s="11" t="s">
        <v>436</v>
      </c>
      <c r="F110" s="9">
        <f>IFERROR(VLOOKUP($B110,'SCHEDA PEZZI SPECIALI'!$A$38:$F$400,4,FALSE),"")</f>
        <v>0.78620000000000001</v>
      </c>
      <c r="G110" s="5"/>
      <c r="H110" s="4" t="s">
        <v>446</v>
      </c>
      <c r="I110" s="11">
        <v>2</v>
      </c>
    </row>
    <row r="111" spans="1:9" x14ac:dyDescent="0.3">
      <c r="A111" s="11">
        <v>107</v>
      </c>
      <c r="B111" s="4" t="s">
        <v>296</v>
      </c>
      <c r="C111" s="4" t="s">
        <v>297</v>
      </c>
      <c r="D111" s="4" t="s">
        <v>435</v>
      </c>
      <c r="E111" s="11" t="s">
        <v>436</v>
      </c>
      <c r="F111" s="9">
        <f>IFERROR(VLOOKUP($B111,'SCHEDA PEZZI SPECIALI'!$A$38:$F$400,4,FALSE),"")</f>
        <v>0.28079999999999999</v>
      </c>
      <c r="G111" s="5"/>
      <c r="H111" s="4" t="s">
        <v>446</v>
      </c>
      <c r="I111" s="11">
        <v>2</v>
      </c>
    </row>
    <row r="112" spans="1:9" x14ac:dyDescent="0.3">
      <c r="A112" s="11">
        <v>108</v>
      </c>
      <c r="B112" s="4" t="s">
        <v>152</v>
      </c>
      <c r="C112" s="4" t="s">
        <v>153</v>
      </c>
      <c r="D112" s="4" t="s">
        <v>435</v>
      </c>
      <c r="E112" s="11" t="s">
        <v>436</v>
      </c>
      <c r="F112" s="9">
        <f>IFERROR(VLOOKUP($B112,'SCHEDA STRUTTURA'!$A$17:$E$417,5,FALSE),"")</f>
        <v>28.638000000000002</v>
      </c>
      <c r="G112" s="5"/>
      <c r="H112" s="4" t="s">
        <v>448</v>
      </c>
      <c r="I112" s="11">
        <v>2</v>
      </c>
    </row>
    <row r="113" spans="1:9" x14ac:dyDescent="0.3">
      <c r="A113" s="11">
        <v>109</v>
      </c>
      <c r="B113" s="4" t="s">
        <v>192</v>
      </c>
      <c r="C113" s="4" t="s">
        <v>193</v>
      </c>
      <c r="D113" s="4" t="s">
        <v>435</v>
      </c>
      <c r="E113" s="11" t="s">
        <v>436</v>
      </c>
      <c r="F113" s="9">
        <f>IFERROR(VLOOKUP($B113,'SCHEDA STRUTTURA'!$A$17:$E$417,5,FALSE),"")</f>
        <v>24.198000000000004</v>
      </c>
      <c r="G113" s="5"/>
      <c r="H113" s="4" t="s">
        <v>447</v>
      </c>
      <c r="I113" s="11">
        <v>1</v>
      </c>
    </row>
    <row r="114" spans="1:9" x14ac:dyDescent="0.3">
      <c r="A114" s="11">
        <v>110</v>
      </c>
      <c r="B114" s="4" t="s">
        <v>156</v>
      </c>
      <c r="C114" s="4" t="s">
        <v>157</v>
      </c>
      <c r="D114" s="4" t="s">
        <v>435</v>
      </c>
      <c r="E114" s="11" t="s">
        <v>436</v>
      </c>
      <c r="F114" s="9">
        <f>IFERROR(VLOOKUP($B114,'SCHEDA STRUTTURA'!$A$17:$E$417,5,FALSE),"")</f>
        <v>35.088000000000001</v>
      </c>
      <c r="G114" s="5"/>
      <c r="H114" s="4" t="s">
        <v>447</v>
      </c>
      <c r="I114" s="11">
        <v>1</v>
      </c>
    </row>
    <row r="115" spans="1:9" x14ac:dyDescent="0.3">
      <c r="A115" s="11">
        <v>111</v>
      </c>
      <c r="B115" s="4" t="s">
        <v>196</v>
      </c>
      <c r="C115" s="4" t="s">
        <v>197</v>
      </c>
      <c r="D115" s="4" t="s">
        <v>435</v>
      </c>
      <c r="E115" s="11" t="s">
        <v>436</v>
      </c>
      <c r="F115" s="9">
        <f>IFERROR(VLOOKUP($B115,'SCHEDA STRUTTURA'!$A$17:$E$417,5,FALSE),"")</f>
        <v>29.648000000000003</v>
      </c>
      <c r="G115" s="5"/>
      <c r="H115" s="4" t="s">
        <v>447</v>
      </c>
      <c r="I115" s="11">
        <v>1</v>
      </c>
    </row>
    <row r="116" spans="1:9" x14ac:dyDescent="0.3">
      <c r="A116" s="11">
        <v>112</v>
      </c>
      <c r="B116" s="4" t="s">
        <v>158</v>
      </c>
      <c r="C116" s="4" t="s">
        <v>159</v>
      </c>
      <c r="D116" s="4" t="s">
        <v>435</v>
      </c>
      <c r="E116" s="11" t="s">
        <v>436</v>
      </c>
      <c r="F116" s="9">
        <f>IFERROR(VLOOKUP($B116,'SCHEDA STRUTTURA'!$A$17:$E$417,5,FALSE),"")</f>
        <v>36.378</v>
      </c>
      <c r="G116" s="5"/>
      <c r="H116" s="4" t="s">
        <v>447</v>
      </c>
      <c r="I116" s="11">
        <v>1</v>
      </c>
    </row>
    <row r="117" spans="1:9" x14ac:dyDescent="0.3">
      <c r="A117" s="11">
        <v>113</v>
      </c>
      <c r="B117" s="4" t="s">
        <v>198</v>
      </c>
      <c r="C117" s="4" t="s">
        <v>199</v>
      </c>
      <c r="D117" s="4" t="s">
        <v>435</v>
      </c>
      <c r="E117" s="11" t="s">
        <v>436</v>
      </c>
      <c r="F117" s="9">
        <f>IFERROR(VLOOKUP($B117,'SCHEDA STRUTTURA'!$A$17:$E$417,5,FALSE),"")</f>
        <v>30.738</v>
      </c>
      <c r="G117" s="5"/>
      <c r="H117" s="4" t="s">
        <v>447</v>
      </c>
      <c r="I117" s="11">
        <v>1</v>
      </c>
    </row>
    <row r="118" spans="1:9" x14ac:dyDescent="0.3">
      <c r="A118" s="11">
        <v>114</v>
      </c>
      <c r="B118" s="4" t="s">
        <v>160</v>
      </c>
      <c r="C118" s="4" t="s">
        <v>161</v>
      </c>
      <c r="D118" s="4" t="s">
        <v>435</v>
      </c>
      <c r="E118" s="11" t="s">
        <v>436</v>
      </c>
      <c r="F118" s="9">
        <f>IFERROR(VLOOKUP($B118,'SCHEDA STRUTTURA'!$A$17:$E$417,5,FALSE),"")</f>
        <v>37.667999999999999</v>
      </c>
      <c r="G118" s="5"/>
      <c r="H118" s="4" t="s">
        <v>447</v>
      </c>
      <c r="I118" s="11">
        <v>1</v>
      </c>
    </row>
    <row r="119" spans="1:9" x14ac:dyDescent="0.3">
      <c r="A119" s="11">
        <v>115</v>
      </c>
      <c r="B119" s="4" t="s">
        <v>200</v>
      </c>
      <c r="C119" s="4" t="s">
        <v>201</v>
      </c>
      <c r="D119" s="4" t="s">
        <v>435</v>
      </c>
      <c r="E119" s="11" t="s">
        <v>436</v>
      </c>
      <c r="F119" s="9">
        <f>IFERROR(VLOOKUP($B119,'SCHEDA STRUTTURA'!$A$17:$E$417,5,FALSE),"")</f>
        <v>31.827999999999999</v>
      </c>
      <c r="G119" s="5"/>
      <c r="H119" s="4" t="s">
        <v>447</v>
      </c>
      <c r="I119" s="11">
        <v>1</v>
      </c>
    </row>
    <row r="120" spans="1:9" x14ac:dyDescent="0.3">
      <c r="A120" s="11">
        <v>116</v>
      </c>
      <c r="B120" s="4" t="s">
        <v>162</v>
      </c>
      <c r="C120" s="4" t="s">
        <v>163</v>
      </c>
      <c r="D120" s="4" t="s">
        <v>435</v>
      </c>
      <c r="E120" s="11" t="s">
        <v>436</v>
      </c>
      <c r="F120" s="9">
        <f>IFERROR(VLOOKUP($B120,'SCHEDA STRUTTURA'!$A$17:$E$417,5,FALSE),"")</f>
        <v>38.957999999999998</v>
      </c>
      <c r="G120" s="5"/>
      <c r="H120" s="4" t="s">
        <v>447</v>
      </c>
      <c r="I120" s="11">
        <v>1</v>
      </c>
    </row>
    <row r="121" spans="1:9" x14ac:dyDescent="0.3">
      <c r="A121" s="11">
        <v>117</v>
      </c>
      <c r="B121" s="4" t="s">
        <v>202</v>
      </c>
      <c r="C121" s="4" t="s">
        <v>203</v>
      </c>
      <c r="D121" s="4" t="s">
        <v>435</v>
      </c>
      <c r="E121" s="11" t="s">
        <v>436</v>
      </c>
      <c r="F121" s="9">
        <f>IFERROR(VLOOKUP($B121,'SCHEDA STRUTTURA'!$A$17:$E$417,5,FALSE),"")</f>
        <v>32.917999999999999</v>
      </c>
      <c r="G121" s="5"/>
      <c r="H121" s="4" t="s">
        <v>447</v>
      </c>
      <c r="I121" s="11">
        <v>1</v>
      </c>
    </row>
    <row r="122" spans="1:9" x14ac:dyDescent="0.3">
      <c r="A122" s="11">
        <v>118</v>
      </c>
      <c r="B122" s="4" t="s">
        <v>164</v>
      </c>
      <c r="C122" s="4" t="s">
        <v>165</v>
      </c>
      <c r="D122" s="4" t="s">
        <v>435</v>
      </c>
      <c r="E122" s="11" t="s">
        <v>436</v>
      </c>
      <c r="F122" s="9">
        <f>IFERROR(VLOOKUP($B122,'SCHEDA STRUTTURA'!$A$17:$E$417,5,FALSE),"")</f>
        <v>40.248000000000005</v>
      </c>
      <c r="G122" s="5"/>
      <c r="H122" s="4" t="s">
        <v>447</v>
      </c>
      <c r="I122" s="11">
        <v>1</v>
      </c>
    </row>
    <row r="123" spans="1:9" x14ac:dyDescent="0.3">
      <c r="A123" s="11">
        <v>119</v>
      </c>
      <c r="B123" s="4" t="s">
        <v>204</v>
      </c>
      <c r="C123" s="4" t="s">
        <v>205</v>
      </c>
      <c r="D123" s="4" t="s">
        <v>435</v>
      </c>
      <c r="E123" s="11" t="s">
        <v>436</v>
      </c>
      <c r="F123" s="9">
        <f>IFERROR(VLOOKUP($B123,'SCHEDA STRUTTURA'!$A$17:$E$417,5,FALSE),"")</f>
        <v>34.008000000000003</v>
      </c>
      <c r="G123" s="5"/>
      <c r="H123" s="4" t="s">
        <v>447</v>
      </c>
      <c r="I123" s="11">
        <v>1</v>
      </c>
    </row>
    <row r="124" spans="1:9" x14ac:dyDescent="0.3">
      <c r="A124" s="11">
        <v>120</v>
      </c>
      <c r="B124" s="4" t="s">
        <v>166</v>
      </c>
      <c r="C124" s="4" t="s">
        <v>167</v>
      </c>
      <c r="D124" s="4" t="s">
        <v>435</v>
      </c>
      <c r="E124" s="11" t="s">
        <v>436</v>
      </c>
      <c r="F124" s="9">
        <f>IFERROR(VLOOKUP($B124,'SCHEDA STRUTTURA'!$A$17:$E$417,5,FALSE),"")</f>
        <v>41.538000000000004</v>
      </c>
      <c r="G124" s="5"/>
      <c r="H124" s="4" t="s">
        <v>447</v>
      </c>
      <c r="I124" s="11">
        <v>1</v>
      </c>
    </row>
    <row r="125" spans="1:9" x14ac:dyDescent="0.3">
      <c r="A125" s="11">
        <v>121</v>
      </c>
      <c r="B125" s="4" t="s">
        <v>206</v>
      </c>
      <c r="C125" s="4" t="s">
        <v>207</v>
      </c>
      <c r="D125" s="4" t="s">
        <v>435</v>
      </c>
      <c r="E125" s="11" t="s">
        <v>436</v>
      </c>
      <c r="F125" s="9">
        <f>IFERROR(VLOOKUP($B125,'SCHEDA STRUTTURA'!$A$17:$E$417,5,FALSE),"")</f>
        <v>35.098000000000006</v>
      </c>
      <c r="G125" s="5"/>
      <c r="H125" s="4" t="s">
        <v>447</v>
      </c>
      <c r="I125" s="11">
        <v>1</v>
      </c>
    </row>
    <row r="126" spans="1:9" x14ac:dyDescent="0.3">
      <c r="A126" s="11">
        <v>122</v>
      </c>
      <c r="B126" s="4" t="s">
        <v>168</v>
      </c>
      <c r="C126" s="4" t="s">
        <v>169</v>
      </c>
      <c r="D126" s="4" t="s">
        <v>435</v>
      </c>
      <c r="E126" s="11" t="s">
        <v>436</v>
      </c>
      <c r="F126" s="9">
        <f>IFERROR(VLOOKUP($B126,'SCHEDA STRUTTURA'!$A$17:$E$417,5,FALSE),"")</f>
        <v>42.827999999999996</v>
      </c>
      <c r="G126" s="5"/>
      <c r="H126" s="4" t="s">
        <v>447</v>
      </c>
      <c r="I126" s="11">
        <v>1</v>
      </c>
    </row>
    <row r="127" spans="1:9" x14ac:dyDescent="0.3">
      <c r="A127" s="11">
        <v>123</v>
      </c>
      <c r="B127" s="4" t="s">
        <v>208</v>
      </c>
      <c r="C127" s="4" t="s">
        <v>209</v>
      </c>
      <c r="D127" s="4" t="s">
        <v>435</v>
      </c>
      <c r="E127" s="11" t="s">
        <v>436</v>
      </c>
      <c r="F127" s="9">
        <f>IFERROR(VLOOKUP($B127,'SCHEDA STRUTTURA'!$A$17:$E$417,5,FALSE),"")</f>
        <v>36.188000000000002</v>
      </c>
      <c r="G127" s="5"/>
      <c r="H127" s="4" t="s">
        <v>447</v>
      </c>
      <c r="I127" s="11">
        <v>1</v>
      </c>
    </row>
    <row r="128" spans="1:9" x14ac:dyDescent="0.3">
      <c r="A128" s="11">
        <v>124</v>
      </c>
      <c r="B128" s="4" t="s">
        <v>170</v>
      </c>
      <c r="C128" s="4" t="s">
        <v>171</v>
      </c>
      <c r="D128" s="4" t="s">
        <v>435</v>
      </c>
      <c r="E128" s="11" t="s">
        <v>436</v>
      </c>
      <c r="F128" s="9">
        <f>IFERROR(VLOOKUP($B128,'SCHEDA STRUTTURA'!$A$17:$E$417,5,FALSE),"")</f>
        <v>44.118000000000002</v>
      </c>
      <c r="G128" s="5"/>
      <c r="H128" s="4" t="s">
        <v>447</v>
      </c>
      <c r="I128" s="11">
        <v>1</v>
      </c>
    </row>
    <row r="129" spans="1:9" x14ac:dyDescent="0.3">
      <c r="A129" s="11">
        <v>125</v>
      </c>
      <c r="B129" s="4" t="s">
        <v>210</v>
      </c>
      <c r="C129" s="4" t="s">
        <v>211</v>
      </c>
      <c r="D129" s="4" t="s">
        <v>435</v>
      </c>
      <c r="E129" s="11" t="s">
        <v>436</v>
      </c>
      <c r="F129" s="9">
        <f>IFERROR(VLOOKUP($B129,'SCHEDA STRUTTURA'!$A$17:$E$417,5,FALSE),"")</f>
        <v>37.277999999999999</v>
      </c>
      <c r="G129" s="5"/>
      <c r="H129" s="4" t="s">
        <v>447</v>
      </c>
      <c r="I129" s="11">
        <v>1</v>
      </c>
    </row>
    <row r="130" spans="1:9" x14ac:dyDescent="0.3">
      <c r="A130" s="11">
        <v>126</v>
      </c>
      <c r="B130" s="4" t="s">
        <v>172</v>
      </c>
      <c r="C130" s="4" t="s">
        <v>173</v>
      </c>
      <c r="D130" s="4" t="s">
        <v>435</v>
      </c>
      <c r="E130" s="11" t="s">
        <v>436</v>
      </c>
      <c r="F130" s="9">
        <f>IFERROR(VLOOKUP($B130,'SCHEDA STRUTTURA'!$A$17:$E$417,5,FALSE),"")</f>
        <v>45.408000000000001</v>
      </c>
      <c r="G130" s="5"/>
      <c r="H130" s="4" t="s">
        <v>447</v>
      </c>
      <c r="I130" s="11">
        <v>1</v>
      </c>
    </row>
    <row r="131" spans="1:9" x14ac:dyDescent="0.3">
      <c r="A131" s="11">
        <v>127</v>
      </c>
      <c r="B131" s="4" t="s">
        <v>212</v>
      </c>
      <c r="C131" s="4" t="s">
        <v>213</v>
      </c>
      <c r="D131" s="4" t="s">
        <v>435</v>
      </c>
      <c r="E131" s="11" t="s">
        <v>436</v>
      </c>
      <c r="F131" s="9">
        <f>IFERROR(VLOOKUP($B131,'SCHEDA STRUTTURA'!$A$17:$E$417,5,FALSE),"")</f>
        <v>38.368000000000002</v>
      </c>
      <c r="G131" s="5"/>
      <c r="H131" s="4" t="s">
        <v>447</v>
      </c>
      <c r="I131" s="11">
        <v>1</v>
      </c>
    </row>
    <row r="132" spans="1:9" x14ac:dyDescent="0.3">
      <c r="A132" s="11">
        <v>128</v>
      </c>
      <c r="B132" s="4" t="s">
        <v>174</v>
      </c>
      <c r="C132" s="4" t="s">
        <v>175</v>
      </c>
      <c r="D132" s="4" t="s">
        <v>435</v>
      </c>
      <c r="E132" s="11" t="s">
        <v>436</v>
      </c>
      <c r="F132" s="9">
        <f>IFERROR(VLOOKUP($B132,'SCHEDA STRUTTURA'!$A$17:$E$417,5,FALSE),"")</f>
        <v>46.698</v>
      </c>
      <c r="G132" s="5"/>
      <c r="H132" s="4" t="s">
        <v>447</v>
      </c>
      <c r="I132" s="11">
        <v>1</v>
      </c>
    </row>
    <row r="133" spans="1:9" x14ac:dyDescent="0.3">
      <c r="A133" s="11">
        <v>129</v>
      </c>
      <c r="B133" s="4" t="s">
        <v>214</v>
      </c>
      <c r="C133" s="4" t="s">
        <v>215</v>
      </c>
      <c r="D133" s="4" t="s">
        <v>435</v>
      </c>
      <c r="E133" s="11" t="s">
        <v>436</v>
      </c>
      <c r="F133" s="9">
        <f>IFERROR(VLOOKUP($B133,'SCHEDA STRUTTURA'!$A$17:$E$417,5,FALSE),"")</f>
        <v>39.458000000000006</v>
      </c>
      <c r="G133" s="5"/>
      <c r="H133" s="4" t="s">
        <v>447</v>
      </c>
      <c r="I133" s="11">
        <v>1</v>
      </c>
    </row>
    <row r="134" spans="1:9" x14ac:dyDescent="0.3">
      <c r="A134" s="11">
        <v>130</v>
      </c>
      <c r="B134" s="4" t="s">
        <v>176</v>
      </c>
      <c r="C134" s="4" t="s">
        <v>177</v>
      </c>
      <c r="D134" s="4" t="s">
        <v>435</v>
      </c>
      <c r="E134" s="11" t="s">
        <v>436</v>
      </c>
      <c r="F134" s="9">
        <f>IFERROR(VLOOKUP($B134,'SCHEDA STRUTTURA'!$A$17:$E$417,5,FALSE),"")</f>
        <v>47.988000000000007</v>
      </c>
      <c r="G134" s="5"/>
      <c r="H134" s="4" t="s">
        <v>447</v>
      </c>
      <c r="I134" s="11">
        <v>1</v>
      </c>
    </row>
    <row r="135" spans="1:9" x14ac:dyDescent="0.3">
      <c r="A135" s="11">
        <v>131</v>
      </c>
      <c r="B135" s="4" t="s">
        <v>216</v>
      </c>
      <c r="C135" s="4" t="s">
        <v>217</v>
      </c>
      <c r="D135" s="4" t="s">
        <v>435</v>
      </c>
      <c r="E135" s="11" t="s">
        <v>436</v>
      </c>
      <c r="F135" s="9">
        <f>IFERROR(VLOOKUP($B135,'SCHEDA STRUTTURA'!$A$17:$E$417,5,FALSE),"")</f>
        <v>40.548000000000002</v>
      </c>
      <c r="G135" s="5"/>
      <c r="H135" s="4" t="s">
        <v>447</v>
      </c>
      <c r="I135" s="11">
        <v>1</v>
      </c>
    </row>
    <row r="136" spans="1:9" x14ac:dyDescent="0.3">
      <c r="A136" s="11">
        <v>132</v>
      </c>
      <c r="B136" s="4" t="s">
        <v>178</v>
      </c>
      <c r="C136" s="4" t="s">
        <v>179</v>
      </c>
      <c r="D136" s="4" t="s">
        <v>435</v>
      </c>
      <c r="E136" s="11" t="s">
        <v>436</v>
      </c>
      <c r="F136" s="9">
        <f>IFERROR(VLOOKUP($B136,'SCHEDA STRUTTURA'!$A$17:$E$417,5,FALSE),"")</f>
        <v>49.277999999999999</v>
      </c>
      <c r="G136" s="5"/>
      <c r="H136" s="4" t="s">
        <v>447</v>
      </c>
      <c r="I136" s="11">
        <v>1</v>
      </c>
    </row>
    <row r="137" spans="1:9" x14ac:dyDescent="0.3">
      <c r="A137" s="11">
        <v>133</v>
      </c>
      <c r="B137" s="4" t="s">
        <v>218</v>
      </c>
      <c r="C137" s="4" t="s">
        <v>219</v>
      </c>
      <c r="D137" s="4" t="s">
        <v>435</v>
      </c>
      <c r="E137" s="11" t="s">
        <v>436</v>
      </c>
      <c r="F137" s="9">
        <f>IFERROR(VLOOKUP($B137,'SCHEDA STRUTTURA'!$A$17:$E$417,5,FALSE),"")</f>
        <v>41.637999999999998</v>
      </c>
      <c r="G137" s="5"/>
      <c r="H137" s="4" t="s">
        <v>447</v>
      </c>
      <c r="I137" s="11">
        <v>1</v>
      </c>
    </row>
    <row r="138" spans="1:9" x14ac:dyDescent="0.3">
      <c r="A138" s="11">
        <v>134</v>
      </c>
      <c r="B138" s="4" t="s">
        <v>180</v>
      </c>
      <c r="C138" s="4" t="s">
        <v>181</v>
      </c>
      <c r="D138" s="4" t="s">
        <v>435</v>
      </c>
      <c r="E138" s="11" t="s">
        <v>436</v>
      </c>
      <c r="F138" s="9">
        <f>IFERROR(VLOOKUP($B138,'SCHEDA STRUTTURA'!$A$17:$E$417,5,FALSE),"")</f>
        <v>50.567999999999998</v>
      </c>
      <c r="G138" s="5"/>
      <c r="H138" s="4" t="s">
        <v>447</v>
      </c>
      <c r="I138" s="11">
        <v>1</v>
      </c>
    </row>
    <row r="139" spans="1:9" x14ac:dyDescent="0.3">
      <c r="A139" s="11">
        <v>135</v>
      </c>
      <c r="B139" s="4" t="s">
        <v>220</v>
      </c>
      <c r="C139" s="4" t="s">
        <v>221</v>
      </c>
      <c r="D139" s="4" t="s">
        <v>435</v>
      </c>
      <c r="E139" s="11" t="s">
        <v>436</v>
      </c>
      <c r="F139" s="9">
        <f>IFERROR(VLOOKUP($B139,'SCHEDA STRUTTURA'!$A$17:$E$417,5,FALSE),"")</f>
        <v>42.728000000000002</v>
      </c>
      <c r="G139" s="5"/>
      <c r="H139" s="4" t="s">
        <v>447</v>
      </c>
      <c r="I139" s="11">
        <v>1</v>
      </c>
    </row>
    <row r="140" spans="1:9" x14ac:dyDescent="0.3">
      <c r="A140" s="11">
        <v>136</v>
      </c>
      <c r="B140" s="4" t="s">
        <v>182</v>
      </c>
      <c r="C140" s="4" t="s">
        <v>183</v>
      </c>
      <c r="D140" s="4" t="s">
        <v>435</v>
      </c>
      <c r="E140" s="11" t="s">
        <v>436</v>
      </c>
      <c r="F140" s="9">
        <f>IFERROR(VLOOKUP($B140,'SCHEDA STRUTTURA'!$A$17:$E$417,5,FALSE),"")</f>
        <v>51.857999999999997</v>
      </c>
      <c r="G140" s="5"/>
      <c r="H140" s="4" t="s">
        <v>447</v>
      </c>
      <c r="I140" s="11">
        <v>1</v>
      </c>
    </row>
    <row r="141" spans="1:9" x14ac:dyDescent="0.3">
      <c r="A141" s="11">
        <v>137</v>
      </c>
      <c r="B141" s="4" t="s">
        <v>222</v>
      </c>
      <c r="C141" s="4" t="s">
        <v>223</v>
      </c>
      <c r="D141" s="4" t="s">
        <v>435</v>
      </c>
      <c r="E141" s="11" t="s">
        <v>436</v>
      </c>
      <c r="F141" s="9">
        <f>IFERROR(VLOOKUP($B141,'SCHEDA STRUTTURA'!$A$17:$E$417,5,FALSE),"")</f>
        <v>43.817999999999998</v>
      </c>
      <c r="G141" s="5"/>
      <c r="H141" s="4" t="s">
        <v>447</v>
      </c>
      <c r="I141" s="11">
        <v>1</v>
      </c>
    </row>
    <row r="142" spans="1:9" x14ac:dyDescent="0.3">
      <c r="A142" s="11">
        <v>138</v>
      </c>
      <c r="B142" s="4" t="s">
        <v>184</v>
      </c>
      <c r="C142" s="4" t="s">
        <v>185</v>
      </c>
      <c r="D142" s="4" t="s">
        <v>435</v>
      </c>
      <c r="E142" s="11" t="s">
        <v>436</v>
      </c>
      <c r="F142" s="9">
        <f>IFERROR(VLOOKUP($B142,'SCHEDA STRUTTURA'!$A$17:$E$417,5,FALSE),"")</f>
        <v>53.148000000000003</v>
      </c>
      <c r="G142" s="5"/>
      <c r="H142" s="4" t="s">
        <v>447</v>
      </c>
      <c r="I142" s="11">
        <v>1</v>
      </c>
    </row>
    <row r="143" spans="1:9" x14ac:dyDescent="0.3">
      <c r="A143" s="11">
        <v>139</v>
      </c>
      <c r="B143" s="4" t="s">
        <v>224</v>
      </c>
      <c r="C143" s="4" t="s">
        <v>225</v>
      </c>
      <c r="D143" s="4" t="s">
        <v>435</v>
      </c>
      <c r="E143" s="11" t="s">
        <v>436</v>
      </c>
      <c r="F143" s="9">
        <f>IFERROR(VLOOKUP($B143,'SCHEDA STRUTTURA'!$A$17:$E$417,5,FALSE),"")</f>
        <v>44.908000000000001</v>
      </c>
      <c r="G143" s="5"/>
      <c r="H143" s="4" t="s">
        <v>447</v>
      </c>
      <c r="I143" s="11">
        <v>1</v>
      </c>
    </row>
    <row r="144" spans="1:9" x14ac:dyDescent="0.3">
      <c r="A144" s="11">
        <v>140</v>
      </c>
      <c r="B144" s="4" t="s">
        <v>186</v>
      </c>
      <c r="C144" s="4" t="s">
        <v>187</v>
      </c>
      <c r="D144" s="4" t="s">
        <v>435</v>
      </c>
      <c r="E144" s="11" t="s">
        <v>436</v>
      </c>
      <c r="F144" s="9">
        <f>IFERROR(VLOOKUP($B144,'SCHEDA STRUTTURA'!$A$17:$E$417,5,FALSE),"")</f>
        <v>54.437999999999995</v>
      </c>
      <c r="G144" s="5"/>
      <c r="H144" s="4" t="s">
        <v>447</v>
      </c>
      <c r="I144" s="11">
        <v>1</v>
      </c>
    </row>
    <row r="145" spans="1:9" x14ac:dyDescent="0.3">
      <c r="A145" s="11">
        <v>141</v>
      </c>
      <c r="B145" s="4" t="s">
        <v>226</v>
      </c>
      <c r="C145" s="4" t="s">
        <v>227</v>
      </c>
      <c r="D145" s="4" t="s">
        <v>435</v>
      </c>
      <c r="E145" s="11" t="s">
        <v>436</v>
      </c>
      <c r="F145" s="9">
        <f>IFERROR(VLOOKUP($B145,'SCHEDA STRUTTURA'!$A$17:$E$417,5,FALSE),"")</f>
        <v>45.997999999999998</v>
      </c>
      <c r="G145" s="5"/>
      <c r="H145" s="4" t="s">
        <v>447</v>
      </c>
      <c r="I145" s="11">
        <v>1</v>
      </c>
    </row>
    <row r="146" spans="1:9" x14ac:dyDescent="0.3">
      <c r="A146" s="11">
        <v>142</v>
      </c>
      <c r="B146" s="4" t="s">
        <v>188</v>
      </c>
      <c r="C146" s="4" t="s">
        <v>189</v>
      </c>
      <c r="D146" s="4" t="s">
        <v>435</v>
      </c>
      <c r="E146" s="11" t="s">
        <v>436</v>
      </c>
      <c r="F146" s="9">
        <f>IFERROR(VLOOKUP($B146,'SCHEDA STRUTTURA'!$A$17:$E$417,5,FALSE),"")</f>
        <v>55.728000000000009</v>
      </c>
      <c r="G146" s="5"/>
      <c r="H146" s="4" t="s">
        <v>447</v>
      </c>
      <c r="I146" s="11">
        <v>1</v>
      </c>
    </row>
    <row r="147" spans="1:9" x14ac:dyDescent="0.3">
      <c r="A147" s="11">
        <v>143</v>
      </c>
      <c r="B147" s="4" t="s">
        <v>228</v>
      </c>
      <c r="C147" s="4" t="s">
        <v>229</v>
      </c>
      <c r="D147" s="4" t="s">
        <v>435</v>
      </c>
      <c r="E147" s="11" t="s">
        <v>436</v>
      </c>
      <c r="F147" s="9">
        <f>IFERROR(VLOOKUP($B147,'SCHEDA STRUTTURA'!$A$17:$E$417,5,FALSE),"")</f>
        <v>47.088000000000008</v>
      </c>
      <c r="G147" s="5"/>
      <c r="H147" s="4" t="s">
        <v>447</v>
      </c>
      <c r="I147" s="11">
        <v>1</v>
      </c>
    </row>
    <row r="148" spans="1:9" x14ac:dyDescent="0.3">
      <c r="A148" s="11">
        <v>144</v>
      </c>
      <c r="B148" s="4" t="s">
        <v>190</v>
      </c>
      <c r="C148" s="4" t="s">
        <v>191</v>
      </c>
      <c r="D148" s="4" t="s">
        <v>435</v>
      </c>
      <c r="E148" s="11" t="s">
        <v>436</v>
      </c>
      <c r="F148" s="9">
        <f>IFERROR(VLOOKUP($B148,'SCHEDA STRUTTURA'!$A$17:$E$417,5,FALSE),"")</f>
        <v>57.018000000000001</v>
      </c>
      <c r="G148" s="5"/>
      <c r="H148" s="4" t="s">
        <v>447</v>
      </c>
      <c r="I148" s="11">
        <v>1</v>
      </c>
    </row>
    <row r="149" spans="1:9" x14ac:dyDescent="0.3">
      <c r="A149" s="13">
        <v>145</v>
      </c>
      <c r="B149" t="s">
        <v>230</v>
      </c>
      <c r="C149" t="s">
        <v>231</v>
      </c>
      <c r="D149" t="s">
        <v>435</v>
      </c>
      <c r="E149" s="13" t="s">
        <v>436</v>
      </c>
      <c r="F149" s="14">
        <f>IFERROR(VLOOKUP($B149,'SCHEDA STRUTTURA'!$A$17:$E$417,5,FALSE),"")</f>
        <v>48.177999999999997</v>
      </c>
      <c r="G149" s="12"/>
      <c r="H149" t="s">
        <v>447</v>
      </c>
      <c r="I149" s="13">
        <v>1</v>
      </c>
    </row>
    <row r="150" spans="1:9" x14ac:dyDescent="0.3">
      <c r="A150" s="13">
        <v>146</v>
      </c>
      <c r="B150" t="s">
        <v>154</v>
      </c>
      <c r="C150" t="s">
        <v>155</v>
      </c>
      <c r="D150" t="s">
        <v>435</v>
      </c>
      <c r="E150" s="13" t="s">
        <v>436</v>
      </c>
      <c r="F150" s="14">
        <f>IFERROR(VLOOKUP($B150,'SCHEDA STRUTTURA'!$A$17:$E$417,5,FALSE),"")</f>
        <v>28.638000000000002</v>
      </c>
      <c r="G150" s="12"/>
      <c r="H150" t="s">
        <v>449</v>
      </c>
      <c r="I150" s="13">
        <v>1</v>
      </c>
    </row>
    <row r="151" spans="1:9" x14ac:dyDescent="0.3">
      <c r="A151" s="13">
        <v>147</v>
      </c>
      <c r="B151" t="s">
        <v>194</v>
      </c>
      <c r="C151" t="s">
        <v>195</v>
      </c>
      <c r="D151" t="s">
        <v>435</v>
      </c>
      <c r="E151" s="13" t="s">
        <v>436</v>
      </c>
      <c r="F151" s="14">
        <f>IFERROR(VLOOKUP($B151,'SCHEDA STRUTTURA'!$A$17:$E$417,5,FALSE),"")</f>
        <v>24.198000000000004</v>
      </c>
      <c r="G151" s="12"/>
      <c r="H151" t="s">
        <v>449</v>
      </c>
      <c r="I151" s="13">
        <v>1</v>
      </c>
    </row>
    <row r="152" spans="1:9" x14ac:dyDescent="0.3">
      <c r="A152" s="13">
        <v>148</v>
      </c>
      <c r="B152" t="s">
        <v>322</v>
      </c>
      <c r="C152" t="s">
        <v>323</v>
      </c>
      <c r="D152" t="s">
        <v>435</v>
      </c>
      <c r="E152" s="13" t="s">
        <v>436</v>
      </c>
      <c r="F152" s="9">
        <f>IFERROR(VLOOKUP($B152,'SCHEDA PEZZI SPECIALI'!$A$38:$F$400,4,FALSE),"")</f>
        <v>4.5708000000000002</v>
      </c>
      <c r="G152" s="12"/>
      <c r="H152" t="s">
        <v>447</v>
      </c>
      <c r="I152" s="13">
        <v>1</v>
      </c>
    </row>
    <row r="153" spans="1:9" x14ac:dyDescent="0.3">
      <c r="A153" s="13">
        <v>149</v>
      </c>
      <c r="B153" t="s">
        <v>324</v>
      </c>
      <c r="C153" t="s">
        <v>325</v>
      </c>
      <c r="D153" t="s">
        <v>435</v>
      </c>
      <c r="E153" s="13" t="s">
        <v>436</v>
      </c>
      <c r="F153" s="14">
        <f>IFERROR(VLOOKUP($B153,'SCHEDA PEZZI SPECIALI'!$A$38:$F$400,4,FALSE),"")</f>
        <v>2.54</v>
      </c>
      <c r="G153" s="12"/>
      <c r="H153" t="s">
        <v>447</v>
      </c>
      <c r="I153" s="13">
        <v>1</v>
      </c>
    </row>
    <row r="154" spans="1:9" x14ac:dyDescent="0.3">
      <c r="A154" s="13">
        <v>150</v>
      </c>
      <c r="B154" t="s">
        <v>326</v>
      </c>
      <c r="C154" t="s">
        <v>327</v>
      </c>
      <c r="D154" t="s">
        <v>435</v>
      </c>
      <c r="E154" s="13" t="s">
        <v>436</v>
      </c>
      <c r="F154" s="9">
        <f>IFERROR(VLOOKUP($B154,'SCHEDA PEZZI SPECIALI'!$A$38:$F$400,4,FALSE),"")</f>
        <v>0.51949999999999996</v>
      </c>
      <c r="G154" s="12"/>
      <c r="H154" t="s">
        <v>450</v>
      </c>
      <c r="I154" s="13">
        <v>2</v>
      </c>
    </row>
    <row r="155" spans="1:9" x14ac:dyDescent="0.3">
      <c r="A155" s="13">
        <v>151</v>
      </c>
      <c r="B155" t="s">
        <v>328</v>
      </c>
      <c r="C155" t="s">
        <v>329</v>
      </c>
      <c r="D155" t="s">
        <v>435</v>
      </c>
      <c r="E155" s="13" t="s">
        <v>436</v>
      </c>
      <c r="F155" s="9">
        <f>IFERROR(VLOOKUP($B155,'SCHEDA PEZZI SPECIALI'!$A$38:$F$400,4,FALSE),"")</f>
        <v>0.51949999999999996</v>
      </c>
      <c r="G155" s="12"/>
      <c r="H155" t="s">
        <v>450</v>
      </c>
      <c r="I155" s="13">
        <v>3</v>
      </c>
    </row>
    <row r="156" spans="1:9" x14ac:dyDescent="0.3">
      <c r="A156" s="13">
        <v>152</v>
      </c>
      <c r="B156" t="s">
        <v>330</v>
      </c>
      <c r="C156" t="s">
        <v>331</v>
      </c>
      <c r="D156" t="s">
        <v>435</v>
      </c>
      <c r="E156" s="13" t="s">
        <v>436</v>
      </c>
      <c r="F156" s="9">
        <f>IFERROR(VLOOKUP($B156,'SCHEDA PEZZI SPECIALI'!$A$38:$F$400,4,FALSE),"")</f>
        <v>0.45137500000000003</v>
      </c>
      <c r="G156" s="12"/>
      <c r="H156" t="s">
        <v>451</v>
      </c>
      <c r="I156" s="13">
        <v>1</v>
      </c>
    </row>
    <row r="157" spans="1:9" x14ac:dyDescent="0.3">
      <c r="A157" s="13">
        <v>153</v>
      </c>
      <c r="B157" t="s">
        <v>332</v>
      </c>
      <c r="C157" t="s">
        <v>333</v>
      </c>
      <c r="D157" t="s">
        <v>435</v>
      </c>
      <c r="E157" s="13" t="s">
        <v>436</v>
      </c>
      <c r="F157" s="9">
        <f>IFERROR(VLOOKUP($B157,'SCHEDA PEZZI SPECIALI'!$A$38:$F$400,4,FALSE),"")</f>
        <v>0.136355</v>
      </c>
      <c r="G157" s="12"/>
      <c r="H157" t="s">
        <v>451</v>
      </c>
      <c r="I157" s="13">
        <v>1</v>
      </c>
    </row>
    <row r="158" spans="1:9" x14ac:dyDescent="0.3">
      <c r="A158" s="13">
        <v>154</v>
      </c>
      <c r="B158" t="s">
        <v>334</v>
      </c>
      <c r="C158" t="s">
        <v>335</v>
      </c>
      <c r="D158" t="s">
        <v>435</v>
      </c>
      <c r="E158" s="13" t="s">
        <v>436</v>
      </c>
      <c r="F158" s="9" t="str">
        <f>IFERROR(VLOOKUP($B158,'SCHEDA PEZZI SPECIALI'!$A$38:$F$400,4,FALSE),"")</f>
        <v/>
      </c>
      <c r="G158" s="12"/>
      <c r="H158" t="s">
        <v>451</v>
      </c>
      <c r="I158" s="13">
        <v>1</v>
      </c>
    </row>
    <row r="159" spans="1:9" x14ac:dyDescent="0.3">
      <c r="A159" s="13">
        <v>155</v>
      </c>
      <c r="C159" t="s">
        <v>452</v>
      </c>
      <c r="D159" t="s">
        <v>435</v>
      </c>
      <c r="E159" s="13" t="s">
        <v>436</v>
      </c>
      <c r="F159" s="14"/>
      <c r="G159" s="12"/>
      <c r="I159" s="13"/>
    </row>
    <row r="160" spans="1:9" x14ac:dyDescent="0.3">
      <c r="A160" s="13">
        <v>156</v>
      </c>
      <c r="B160" t="s">
        <v>342</v>
      </c>
      <c r="C160" t="s">
        <v>343</v>
      </c>
      <c r="D160" t="s">
        <v>453</v>
      </c>
      <c r="E160" s="13" t="s">
        <v>436</v>
      </c>
      <c r="F160" s="14" t="str">
        <f>IFERROR(VLOOKUP($B160,'SCHEDA BULLONERIA'!$A$40:$D$400,3,FALSE),"")</f>
        <v/>
      </c>
      <c r="G160" s="12" t="str">
        <f>IFERROR(VLOOKUP($B160,'SCHEDA BULLONERIA'!$A$40:$D$400,4,FALSE),"")</f>
        <v/>
      </c>
      <c r="H160" t="s">
        <v>451</v>
      </c>
      <c r="I160" s="13">
        <v>1</v>
      </c>
    </row>
    <row r="161" spans="1:9" x14ac:dyDescent="0.3">
      <c r="A161" s="13">
        <v>157</v>
      </c>
      <c r="B161" t="s">
        <v>344</v>
      </c>
      <c r="C161" t="s">
        <v>345</v>
      </c>
      <c r="D161" t="s">
        <v>453</v>
      </c>
      <c r="E161" s="13" t="s">
        <v>436</v>
      </c>
      <c r="F161" s="14">
        <f>IFERROR(VLOOKUP($B161,'SCHEDA BULLONERIA'!$A$40:$D$400,3,FALSE),"")</f>
        <v>2.4500000000000001E-2</v>
      </c>
      <c r="G161" s="12" t="str">
        <f>IFERROR(VLOOKUP($B161,'SCHEDA BULLONERIA'!$A$40:$D$400,4,FALSE),"")</f>
        <v/>
      </c>
      <c r="H161" t="s">
        <v>443</v>
      </c>
      <c r="I161" s="13">
        <v>1</v>
      </c>
    </row>
    <row r="162" spans="1:9" x14ac:dyDescent="0.3">
      <c r="A162" s="13">
        <v>158</v>
      </c>
      <c r="B162" t="s">
        <v>346</v>
      </c>
      <c r="C162" t="s">
        <v>347</v>
      </c>
      <c r="D162" t="s">
        <v>453</v>
      </c>
      <c r="E162" s="13" t="s">
        <v>436</v>
      </c>
      <c r="F162" s="14">
        <f>IFERROR(VLOOKUP($B162,'SCHEDA BULLONERIA'!$A$40:$D$400,3,FALSE),"")</f>
        <v>3.0499999999999999E-2</v>
      </c>
      <c r="G162" s="12" t="str">
        <f>IFERROR(VLOOKUP($B162,'SCHEDA BULLONERIA'!$A$40:$D$400,4,FALSE),"")</f>
        <v/>
      </c>
      <c r="H162" t="s">
        <v>446</v>
      </c>
      <c r="I162" s="13">
        <v>3</v>
      </c>
    </row>
    <row r="163" spans="1:9" x14ac:dyDescent="0.3">
      <c r="A163" s="13">
        <v>159</v>
      </c>
      <c r="B163" t="s">
        <v>348</v>
      </c>
      <c r="C163" t="s">
        <v>349</v>
      </c>
      <c r="D163" t="s">
        <v>453</v>
      </c>
      <c r="E163" s="13" t="s">
        <v>436</v>
      </c>
      <c r="F163" s="14">
        <f>IFERROR(VLOOKUP($B163,'SCHEDA BULLONERIA'!$A$40:$D$400,3,FALSE),"")</f>
        <v>0.21</v>
      </c>
      <c r="G163" s="12" t="str">
        <f>IFERROR(VLOOKUP($B163,'SCHEDA BULLONERIA'!$A$40:$D$400,4,FALSE),"")</f>
        <v/>
      </c>
      <c r="H163" t="s">
        <v>443</v>
      </c>
      <c r="I163" s="13">
        <v>1</v>
      </c>
    </row>
    <row r="164" spans="1:9" x14ac:dyDescent="0.3">
      <c r="A164" s="13">
        <v>160</v>
      </c>
      <c r="B164" t="s">
        <v>350</v>
      </c>
      <c r="C164" t="s">
        <v>351</v>
      </c>
      <c r="D164" t="s">
        <v>453</v>
      </c>
      <c r="E164" s="13" t="s">
        <v>436</v>
      </c>
      <c r="F164" s="14">
        <f>IFERROR(VLOOKUP($B164,'SCHEDA BULLONERIA'!$A$40:$D$400,3,FALSE),"")</f>
        <v>9.5000000000000001E-2</v>
      </c>
      <c r="G164" s="12" t="str">
        <f>IFERROR(VLOOKUP($B164,'SCHEDA BULLONERIA'!$A$40:$D$400,4,FALSE),"")</f>
        <v/>
      </c>
      <c r="H164" t="s">
        <v>438</v>
      </c>
      <c r="I164" s="13">
        <v>1</v>
      </c>
    </row>
    <row r="165" spans="1:9" x14ac:dyDescent="0.3">
      <c r="A165" s="13">
        <v>161</v>
      </c>
      <c r="B165" t="s">
        <v>352</v>
      </c>
      <c r="C165" t="s">
        <v>353</v>
      </c>
      <c r="D165" t="s">
        <v>453</v>
      </c>
      <c r="E165" s="13" t="s">
        <v>436</v>
      </c>
      <c r="F165" s="14">
        <f>IFERROR(VLOOKUP($B165,'SCHEDA BULLONERIA'!$A$40:$D$400,3,FALSE),"")</f>
        <v>2.4500000000000001E-2</v>
      </c>
      <c r="G165" s="12" t="str">
        <f>IFERROR(VLOOKUP($B165,'SCHEDA BULLONERIA'!$A$40:$D$400,4,FALSE),"")</f>
        <v/>
      </c>
      <c r="H165" t="s">
        <v>437</v>
      </c>
      <c r="I165" s="13">
        <v>5</v>
      </c>
    </row>
    <row r="166" spans="1:9" x14ac:dyDescent="0.3">
      <c r="A166" s="13">
        <v>162</v>
      </c>
      <c r="B166" t="s">
        <v>354</v>
      </c>
      <c r="C166" t="s">
        <v>355</v>
      </c>
      <c r="D166" t="s">
        <v>453</v>
      </c>
      <c r="E166" s="13" t="s">
        <v>436</v>
      </c>
      <c r="F166" s="14">
        <f>IFERROR(VLOOKUP($B166,'SCHEDA BULLONERIA'!$A$40:$D$400,3,FALSE),"")</f>
        <v>3.0499999999999999E-2</v>
      </c>
      <c r="G166" s="12" t="str">
        <f>IFERROR(VLOOKUP($B166,'SCHEDA BULLONERIA'!$A$40:$D$400,4,FALSE),"")</f>
        <v/>
      </c>
      <c r="H166" t="s">
        <v>446</v>
      </c>
      <c r="I166" s="13">
        <v>3</v>
      </c>
    </row>
    <row r="167" spans="1:9" x14ac:dyDescent="0.3">
      <c r="A167" s="13">
        <v>163</v>
      </c>
      <c r="B167" t="s">
        <v>356</v>
      </c>
      <c r="C167" t="s">
        <v>357</v>
      </c>
      <c r="D167" t="s">
        <v>453</v>
      </c>
      <c r="E167" s="13" t="s">
        <v>436</v>
      </c>
      <c r="F167" s="14">
        <f>IFERROR(VLOOKUP($B167,'SCHEDA BULLONERIA'!$A$40:$D$400,3,FALSE),"")</f>
        <v>5.1999999999999998E-2</v>
      </c>
      <c r="G167" s="12" t="str">
        <f>IFERROR(VLOOKUP($B167,'SCHEDA BULLONERIA'!$A$40:$D$400,4,FALSE),"")</f>
        <v/>
      </c>
      <c r="H167" t="s">
        <v>442</v>
      </c>
      <c r="I167" s="13">
        <v>1</v>
      </c>
    </row>
    <row r="168" spans="1:9" x14ac:dyDescent="0.3">
      <c r="A168" s="13">
        <v>164</v>
      </c>
      <c r="B168" t="s">
        <v>358</v>
      </c>
      <c r="C168" t="s">
        <v>359</v>
      </c>
      <c r="D168" t="s">
        <v>453</v>
      </c>
      <c r="E168" s="13" t="s">
        <v>436</v>
      </c>
      <c r="F168" s="14">
        <f>IFERROR(VLOOKUP($B168,'SCHEDA BULLONERIA'!$A$40:$D$400,3,FALSE),"")</f>
        <v>0.11</v>
      </c>
      <c r="G168" s="12" t="str">
        <f>IFERROR(VLOOKUP($B168,'SCHEDA BULLONERIA'!$A$40:$D$400,4,FALSE),"")</f>
        <v/>
      </c>
      <c r="H168" t="s">
        <v>447</v>
      </c>
      <c r="I168" s="13">
        <v>1</v>
      </c>
    </row>
    <row r="169" spans="1:9" x14ac:dyDescent="0.3">
      <c r="A169" s="13">
        <v>165</v>
      </c>
      <c r="B169" t="s">
        <v>360</v>
      </c>
      <c r="C169" t="s">
        <v>361</v>
      </c>
      <c r="D169" t="s">
        <v>453</v>
      </c>
      <c r="E169" s="13" t="s">
        <v>436</v>
      </c>
      <c r="F169" s="14">
        <f>IFERROR(VLOOKUP($B169,'SCHEDA BULLONERIA'!$A$40:$D$400,3,FALSE),"")</f>
        <v>3.0999999999999999E-3</v>
      </c>
      <c r="G169" s="12" t="str">
        <f>IFERROR(VLOOKUP($B169,'SCHEDA BULLONERIA'!$A$40:$D$400,4,FALSE),"")</f>
        <v/>
      </c>
      <c r="H169" t="s">
        <v>451</v>
      </c>
      <c r="I169" s="13">
        <v>3</v>
      </c>
    </row>
    <row r="170" spans="1:9" x14ac:dyDescent="0.3">
      <c r="A170" s="13">
        <v>166</v>
      </c>
      <c r="B170" t="s">
        <v>362</v>
      </c>
      <c r="C170" t="s">
        <v>363</v>
      </c>
      <c r="D170" t="s">
        <v>453</v>
      </c>
      <c r="E170" s="13" t="s">
        <v>436</v>
      </c>
      <c r="F170" s="14">
        <f>IFERROR(VLOOKUP($B170,'SCHEDA BULLONERIA'!$A$40:$D$400,3,FALSE),"")</f>
        <v>4.1999999999999997E-3</v>
      </c>
      <c r="G170" s="12" t="str">
        <f>IFERROR(VLOOKUP($B170,'SCHEDA BULLONERIA'!$A$40:$D$400,4,FALSE),"")</f>
        <v/>
      </c>
      <c r="H170" t="s">
        <v>442</v>
      </c>
      <c r="I170" s="13">
        <v>1</v>
      </c>
    </row>
    <row r="171" spans="1:9" x14ac:dyDescent="0.3">
      <c r="A171" s="13">
        <v>167</v>
      </c>
      <c r="B171" t="s">
        <v>364</v>
      </c>
      <c r="C171" t="s">
        <v>365</v>
      </c>
      <c r="D171" t="s">
        <v>453</v>
      </c>
      <c r="E171" s="13" t="s">
        <v>436</v>
      </c>
      <c r="F171" s="14">
        <f>IFERROR(VLOOKUP($B171,'SCHEDA BULLONERIA'!$A$40:$D$400,3,FALSE),"")</f>
        <v>2.5999999999999999E-2</v>
      </c>
      <c r="G171" s="12" t="str">
        <f>IFERROR(VLOOKUP($B171,'SCHEDA BULLONERIA'!$A$40:$D$400,4,FALSE),"")</f>
        <v/>
      </c>
      <c r="H171" t="s">
        <v>438</v>
      </c>
      <c r="I171" s="13">
        <v>1</v>
      </c>
    </row>
    <row r="172" spans="1:9" x14ac:dyDescent="0.3">
      <c r="A172" s="13">
        <v>168</v>
      </c>
      <c r="B172" t="s">
        <v>366</v>
      </c>
      <c r="C172" t="s">
        <v>367</v>
      </c>
      <c r="D172" t="s">
        <v>453</v>
      </c>
      <c r="E172" s="13" t="s">
        <v>436</v>
      </c>
      <c r="F172" s="14">
        <f>IFERROR(VLOOKUP($B172,'SCHEDA BULLONERIA'!$A$40:$D$400,3,FALSE),"")</f>
        <v>5.4000000000000003E-3</v>
      </c>
      <c r="G172" s="12" t="str">
        <f>IFERROR(VLOOKUP($B172,'SCHEDA BULLONERIA'!$A$40:$D$400,4,FALSE),"")</f>
        <v/>
      </c>
      <c r="H172" t="s">
        <v>442</v>
      </c>
      <c r="I172" s="13">
        <v>1</v>
      </c>
    </row>
    <row r="173" spans="1:9" x14ac:dyDescent="0.3">
      <c r="A173" s="13">
        <v>169</v>
      </c>
      <c r="B173" t="s">
        <v>368</v>
      </c>
      <c r="C173" t="s">
        <v>369</v>
      </c>
      <c r="D173" t="s">
        <v>453</v>
      </c>
      <c r="E173" s="13" t="s">
        <v>436</v>
      </c>
      <c r="F173" s="14">
        <f>IFERROR(VLOOKUP($B173,'SCHEDA BULLONERIA'!$A$40:$D$400,3,FALSE),"")</f>
        <v>6.1999999999999998E-3</v>
      </c>
      <c r="G173" s="12" t="str">
        <f>IFERROR(VLOOKUP($B173,'SCHEDA BULLONERIA'!$A$40:$D$400,4,FALSE),"")</f>
        <v/>
      </c>
      <c r="H173" t="s">
        <v>449</v>
      </c>
      <c r="I173" s="13">
        <v>1</v>
      </c>
    </row>
    <row r="174" spans="1:9" x14ac:dyDescent="0.3">
      <c r="A174" s="13">
        <v>170</v>
      </c>
      <c r="B174" t="s">
        <v>370</v>
      </c>
      <c r="C174" t="s">
        <v>369</v>
      </c>
      <c r="D174" t="s">
        <v>453</v>
      </c>
      <c r="E174" s="13" t="s">
        <v>436</v>
      </c>
      <c r="F174" s="14">
        <f>IFERROR(VLOOKUP($B174,'SCHEDA BULLONERIA'!$A$40:$D$400,3,FALSE),"")</f>
        <v>7.0000000000000001E-3</v>
      </c>
      <c r="G174" s="12" t="str">
        <f>IFERROR(VLOOKUP($B174,'SCHEDA BULLONERIA'!$A$40:$D$400,4,FALSE),"")</f>
        <v/>
      </c>
      <c r="H174" t="s">
        <v>454</v>
      </c>
      <c r="I174" s="13">
        <v>2</v>
      </c>
    </row>
    <row r="175" spans="1:9" x14ac:dyDescent="0.3">
      <c r="A175" s="13">
        <v>171</v>
      </c>
      <c r="B175" t="s">
        <v>371</v>
      </c>
      <c r="C175" t="s">
        <v>372</v>
      </c>
      <c r="D175" t="s">
        <v>453</v>
      </c>
      <c r="E175" s="13" t="s">
        <v>436</v>
      </c>
      <c r="F175" s="14">
        <f>IFERROR(VLOOKUP($B175,'SCHEDA BULLONERIA'!$A$40:$D$400,3,FALSE),"")</f>
        <v>4.9000000000000002E-2</v>
      </c>
      <c r="G175" s="12" t="str">
        <f>IFERROR(VLOOKUP($B175,'SCHEDA BULLONERIA'!$A$40:$D$400,4,FALSE),"")</f>
        <v/>
      </c>
      <c r="H175" t="s">
        <v>455</v>
      </c>
      <c r="I175" s="13">
        <v>6</v>
      </c>
    </row>
    <row r="176" spans="1:9" x14ac:dyDescent="0.3">
      <c r="A176" s="13">
        <v>172</v>
      </c>
      <c r="B176" t="s">
        <v>373</v>
      </c>
      <c r="C176" t="s">
        <v>374</v>
      </c>
      <c r="D176" t="s">
        <v>453</v>
      </c>
      <c r="E176" s="13" t="s">
        <v>436</v>
      </c>
      <c r="F176" s="14">
        <f>IFERROR(VLOOKUP($B176,'SCHEDA BULLONERIA'!$A$40:$D$400,3,FALSE),"")</f>
        <v>1.12E-2</v>
      </c>
      <c r="G176" s="12" t="str">
        <f>IFERROR(VLOOKUP($B176,'SCHEDA BULLONERIA'!$A$40:$D$400,4,FALSE),"")</f>
        <v/>
      </c>
      <c r="H176" t="s">
        <v>444</v>
      </c>
      <c r="I176" s="13">
        <v>1</v>
      </c>
    </row>
    <row r="177" spans="1:9" x14ac:dyDescent="0.3">
      <c r="A177" s="13">
        <v>173</v>
      </c>
      <c r="B177" t="s">
        <v>375</v>
      </c>
      <c r="C177" t="s">
        <v>376</v>
      </c>
      <c r="D177" t="s">
        <v>453</v>
      </c>
      <c r="E177" s="13" t="s">
        <v>436</v>
      </c>
      <c r="F177" s="14">
        <f>IFERROR(VLOOKUP($B177,'SCHEDA BULLONERIA'!$A$40:$D$400,3,FALSE),"")</f>
        <v>1.29E-2</v>
      </c>
      <c r="G177" s="12" t="str">
        <f>IFERROR(VLOOKUP($B177,'SCHEDA BULLONERIA'!$A$40:$D$400,4,FALSE),"")</f>
        <v/>
      </c>
      <c r="H177" t="s">
        <v>456</v>
      </c>
      <c r="I177" s="13">
        <v>8</v>
      </c>
    </row>
    <row r="178" spans="1:9" x14ac:dyDescent="0.3">
      <c r="A178" s="13">
        <v>174</v>
      </c>
      <c r="B178" t="s">
        <v>377</v>
      </c>
      <c r="C178" t="s">
        <v>378</v>
      </c>
      <c r="D178" t="s">
        <v>453</v>
      </c>
      <c r="E178" s="13" t="s">
        <v>436</v>
      </c>
      <c r="F178" s="14">
        <f>IFERROR(VLOOKUP($B178,'SCHEDA BULLONERIA'!$A$40:$D$400,3,FALSE),"")</f>
        <v>1.4500000000000001E-2</v>
      </c>
      <c r="G178" s="12" t="str">
        <f>IFERROR(VLOOKUP($B178,'SCHEDA BULLONERIA'!$A$40:$D$400,4,FALSE),"")</f>
        <v/>
      </c>
      <c r="H178" t="s">
        <v>444</v>
      </c>
      <c r="I178" s="13">
        <v>1</v>
      </c>
    </row>
    <row r="179" spans="1:9" x14ac:dyDescent="0.3">
      <c r="A179" s="13">
        <v>175</v>
      </c>
      <c r="B179" t="s">
        <v>379</v>
      </c>
      <c r="C179" t="s">
        <v>380</v>
      </c>
      <c r="D179" t="s">
        <v>453</v>
      </c>
      <c r="E179" s="13" t="s">
        <v>436</v>
      </c>
      <c r="F179" s="14">
        <f>IFERROR(VLOOKUP($B179,'SCHEDA BULLONERIA'!$A$40:$D$400,3,FALSE),"")</f>
        <v>4.7999999999999996E-3</v>
      </c>
      <c r="G179" s="12" t="str">
        <f>IFERROR(VLOOKUP($B179,'SCHEDA BULLONERIA'!$A$40:$D$400,4,FALSE),"")</f>
        <v/>
      </c>
      <c r="H179" t="s">
        <v>438</v>
      </c>
      <c r="I179" s="13">
        <v>2</v>
      </c>
    </row>
    <row r="180" spans="1:9" x14ac:dyDescent="0.3">
      <c r="A180" s="13">
        <v>176</v>
      </c>
      <c r="B180" t="s">
        <v>381</v>
      </c>
      <c r="C180" t="s">
        <v>382</v>
      </c>
      <c r="D180" t="s">
        <v>453</v>
      </c>
      <c r="E180" s="13" t="s">
        <v>436</v>
      </c>
      <c r="F180" s="14">
        <f>IFERROR(VLOOKUP($B180,'SCHEDA BULLONERIA'!$A$40:$D$400,3,FALSE),"")</f>
        <v>8.9999999999999993E-3</v>
      </c>
      <c r="G180" s="12" t="str">
        <f>IFERROR(VLOOKUP($B180,'SCHEDA BULLONERIA'!$A$40:$D$400,4,FALSE),"")</f>
        <v/>
      </c>
      <c r="H180" t="s">
        <v>457</v>
      </c>
      <c r="I180" s="13">
        <v>12</v>
      </c>
    </row>
    <row r="181" spans="1:9" x14ac:dyDescent="0.3">
      <c r="A181" s="13">
        <v>177</v>
      </c>
      <c r="B181" t="s">
        <v>383</v>
      </c>
      <c r="C181" t="s">
        <v>384</v>
      </c>
      <c r="D181" t="s">
        <v>453</v>
      </c>
      <c r="E181" s="13" t="s">
        <v>436</v>
      </c>
      <c r="F181" s="14">
        <f>IFERROR(VLOOKUP($B181,'SCHEDA BULLONERIA'!$A$40:$D$400,3,FALSE),"")</f>
        <v>3.5999999999999997E-2</v>
      </c>
      <c r="G181" s="12" t="str">
        <f>IFERROR(VLOOKUP($B181,'SCHEDA BULLONERIA'!$A$40:$D$400,4,FALSE),"")</f>
        <v/>
      </c>
      <c r="H181" t="s">
        <v>446</v>
      </c>
      <c r="I181" s="13">
        <v>2</v>
      </c>
    </row>
    <row r="182" spans="1:9" x14ac:dyDescent="0.3">
      <c r="A182" s="13">
        <v>178</v>
      </c>
      <c r="B182" t="s">
        <v>385</v>
      </c>
      <c r="C182" t="s">
        <v>386</v>
      </c>
      <c r="D182" t="s">
        <v>453</v>
      </c>
      <c r="E182" s="13" t="s">
        <v>436</v>
      </c>
      <c r="F182" s="14">
        <f>IFERROR(VLOOKUP($B182,'SCHEDA BULLONERIA'!$A$40:$D$400,3,FALSE),"")</f>
        <v>1.1000000000000001E-3</v>
      </c>
      <c r="G182" s="12" t="str">
        <f>IFERROR(VLOOKUP($B182,'SCHEDA BULLONERIA'!$A$40:$D$400,4,FALSE),"")</f>
        <v/>
      </c>
      <c r="H182" t="s">
        <v>458</v>
      </c>
      <c r="I182" s="13">
        <v>5</v>
      </c>
    </row>
    <row r="183" spans="1:9" x14ac:dyDescent="0.3">
      <c r="A183" s="13">
        <v>179</v>
      </c>
      <c r="B183" t="s">
        <v>387</v>
      </c>
      <c r="C183" t="s">
        <v>388</v>
      </c>
      <c r="D183" t="s">
        <v>453</v>
      </c>
      <c r="E183" s="13" t="s">
        <v>436</v>
      </c>
      <c r="F183" s="14">
        <f>IFERROR(VLOOKUP($B183,'SCHEDA BULLONERIA'!$A$40:$D$400,3,FALSE),"")</f>
        <v>2.0999999999999999E-3</v>
      </c>
      <c r="G183" s="12" t="str">
        <f>IFERROR(VLOOKUP($B183,'SCHEDA BULLONERIA'!$A$40:$D$400,4,FALSE),"")</f>
        <v/>
      </c>
      <c r="H183" t="s">
        <v>459</v>
      </c>
      <c r="I183" s="13">
        <v>5</v>
      </c>
    </row>
    <row r="184" spans="1:9" x14ac:dyDescent="0.3">
      <c r="A184" s="13">
        <v>180</v>
      </c>
      <c r="B184" t="s">
        <v>389</v>
      </c>
      <c r="C184" t="s">
        <v>390</v>
      </c>
      <c r="D184" t="s">
        <v>453</v>
      </c>
      <c r="E184" s="13" t="s">
        <v>436</v>
      </c>
      <c r="F184" s="14">
        <f>IFERROR(VLOOKUP($B184,'SCHEDA BULLONERIA'!$A$40:$D$400,3,FALSE),"")</f>
        <v>4.7999999999999996E-3</v>
      </c>
      <c r="G184" s="12" t="str">
        <f>IFERROR(VLOOKUP($B184,'SCHEDA BULLONERIA'!$A$40:$D$400,4,FALSE),"")</f>
        <v/>
      </c>
      <c r="H184" t="s">
        <v>460</v>
      </c>
      <c r="I184" s="13">
        <v>15</v>
      </c>
    </row>
    <row r="185" spans="1:9" x14ac:dyDescent="0.3">
      <c r="A185" s="13">
        <v>181</v>
      </c>
      <c r="B185" t="s">
        <v>391</v>
      </c>
      <c r="C185" t="s">
        <v>392</v>
      </c>
      <c r="D185" t="s">
        <v>453</v>
      </c>
      <c r="E185" s="13" t="s">
        <v>436</v>
      </c>
      <c r="F185" s="14">
        <f>IFERROR(VLOOKUP($B185,'SCHEDA BULLONERIA'!$A$40:$D$400,3,FALSE),"")</f>
        <v>3.8999999999999998E-3</v>
      </c>
      <c r="G185" s="12" t="str">
        <f>IFERROR(VLOOKUP($B185,'SCHEDA BULLONERIA'!$A$40:$D$400,4,FALSE),"")</f>
        <v/>
      </c>
      <c r="H185" t="s">
        <v>461</v>
      </c>
      <c r="I185" s="13">
        <v>25</v>
      </c>
    </row>
    <row r="186" spans="1:9" x14ac:dyDescent="0.3">
      <c r="A186" s="13">
        <v>182</v>
      </c>
      <c r="B186" t="s">
        <v>393</v>
      </c>
      <c r="C186" t="s">
        <v>394</v>
      </c>
      <c r="D186" t="s">
        <v>453</v>
      </c>
      <c r="E186" s="13" t="s">
        <v>436</v>
      </c>
      <c r="F186" s="14">
        <f>IFERROR(VLOOKUP($B186,'SCHEDA BULLONERIA'!$A$40:$D$400,3,FALSE),"")</f>
        <v>1.35E-2</v>
      </c>
      <c r="G186" s="12" t="str">
        <f>IFERROR(VLOOKUP($B186,'SCHEDA BULLONERIA'!$A$40:$D$400,4,FALSE),"")</f>
        <v/>
      </c>
      <c r="H186" t="s">
        <v>462</v>
      </c>
      <c r="I186" s="13">
        <v>5</v>
      </c>
    </row>
    <row r="187" spans="1:9" x14ac:dyDescent="0.3">
      <c r="A187" s="13">
        <v>183</v>
      </c>
      <c r="B187" t="s">
        <v>395</v>
      </c>
      <c r="C187" t="s">
        <v>396</v>
      </c>
      <c r="D187" t="s">
        <v>453</v>
      </c>
      <c r="E187" s="13" t="s">
        <v>436</v>
      </c>
      <c r="F187" s="14">
        <f>IFERROR(VLOOKUP($B187,'SCHEDA BULLONERIA'!$A$40:$D$400,3,FALSE),"")</f>
        <v>5.0000000000000001E-4</v>
      </c>
      <c r="G187" s="12" t="str">
        <f>IFERROR(VLOOKUP($B187,'SCHEDA BULLONERIA'!$A$40:$D$400,4,FALSE),"")</f>
        <v/>
      </c>
      <c r="H187" t="s">
        <v>458</v>
      </c>
      <c r="I187" s="13">
        <v>6</v>
      </c>
    </row>
    <row r="188" spans="1:9" x14ac:dyDescent="0.3">
      <c r="A188" s="13">
        <v>184</v>
      </c>
      <c r="B188" t="s">
        <v>397</v>
      </c>
      <c r="C188" t="s">
        <v>398</v>
      </c>
      <c r="D188" t="s">
        <v>453</v>
      </c>
      <c r="E188" s="13" t="s">
        <v>436</v>
      </c>
      <c r="F188" s="14">
        <f>IFERROR(VLOOKUP($B188,'SCHEDA BULLONERIA'!$A$40:$D$400,3,FALSE),"")</f>
        <v>1.1000000000000001E-3</v>
      </c>
      <c r="G188" s="12" t="str">
        <f>IFERROR(VLOOKUP($B188,'SCHEDA BULLONERIA'!$A$40:$D$400,4,FALSE),"")</f>
        <v/>
      </c>
      <c r="H188" t="s">
        <v>459</v>
      </c>
      <c r="I188" s="13">
        <v>10</v>
      </c>
    </row>
    <row r="189" spans="1:9" x14ac:dyDescent="0.3">
      <c r="A189" s="13">
        <v>185</v>
      </c>
      <c r="B189" t="s">
        <v>399</v>
      </c>
      <c r="C189" t="s">
        <v>400</v>
      </c>
      <c r="D189" t="s">
        <v>453</v>
      </c>
      <c r="E189" s="13" t="s">
        <v>436</v>
      </c>
      <c r="F189" s="14">
        <f>IFERROR(VLOOKUP($B189,'SCHEDA BULLONERIA'!$A$40:$D$400,3,FALSE),"")</f>
        <v>2.0999999999999999E-3</v>
      </c>
      <c r="G189" s="12" t="str">
        <f>IFERROR(VLOOKUP($B189,'SCHEDA BULLONERIA'!$A$40:$D$400,4,FALSE),"")</f>
        <v/>
      </c>
      <c r="H189" t="s">
        <v>460</v>
      </c>
      <c r="I189" s="13">
        <v>32</v>
      </c>
    </row>
    <row r="190" spans="1:9" x14ac:dyDescent="0.3">
      <c r="A190" s="13">
        <v>186</v>
      </c>
      <c r="B190" t="s">
        <v>401</v>
      </c>
      <c r="C190" t="s">
        <v>402</v>
      </c>
      <c r="D190" t="s">
        <v>453</v>
      </c>
      <c r="E190" s="13" t="s">
        <v>436</v>
      </c>
      <c r="F190" s="14">
        <f>IFERROR(VLOOKUP($B190,'SCHEDA BULLONERIA'!$A$40:$D$400,3,FALSE),"")</f>
        <v>4.1999999999999997E-3</v>
      </c>
      <c r="G190" s="12" t="str">
        <f>IFERROR(VLOOKUP($B190,'SCHEDA BULLONERIA'!$A$40:$D$400,4,FALSE),"")</f>
        <v/>
      </c>
      <c r="H190" t="s">
        <v>441</v>
      </c>
      <c r="I190" s="13">
        <v>1</v>
      </c>
    </row>
    <row r="191" spans="1:9" x14ac:dyDescent="0.3">
      <c r="A191" s="13">
        <v>187</v>
      </c>
      <c r="B191" t="s">
        <v>407</v>
      </c>
      <c r="C191" t="s">
        <v>408</v>
      </c>
      <c r="D191" t="s">
        <v>463</v>
      </c>
      <c r="E191" s="13" t="s">
        <v>436</v>
      </c>
      <c r="F191" s="14">
        <f>IF(ISNUMBER(VLOOKUP($B191,'SCHEDA ELETTROMECCANICA'!$A$5:$D$400,3,FALSE)),VLOOKUP($B191,'SCHEDA ELETTROMECCANICA'!$A$5:$D$400,3,FALSE),"")</f>
        <v>50</v>
      </c>
      <c r="G191" s="12">
        <f>IF(ISNUMBER(VLOOKUP($B191,'SCHEDA ELETTROMECCANICA'!$A$5:$D$400,4,FALSE)),VLOOKUP($B191,'SCHEDA ELETTROMECCANICA'!$A$5:$D$400,4,FALSE),"")</f>
        <v>300</v>
      </c>
      <c r="H191" t="s">
        <v>447</v>
      </c>
      <c r="I191" s="13">
        <v>1</v>
      </c>
    </row>
    <row r="192" spans="1:9" x14ac:dyDescent="0.3">
      <c r="A192" s="13">
        <v>188</v>
      </c>
      <c r="B192" t="s">
        <v>409</v>
      </c>
      <c r="C192" t="s">
        <v>410</v>
      </c>
      <c r="D192" t="s">
        <v>464</v>
      </c>
      <c r="E192" s="13" t="s">
        <v>436</v>
      </c>
      <c r="F192" s="14">
        <f>IF(ISNUMBER(VLOOKUP($B192,'SCHEDA ELETTROMECCANICA'!$A$5:$D$400,3,FALSE)),VLOOKUP($B192,'SCHEDA ELETTROMECCANICA'!$A$5:$D$400,3,FALSE),"")</f>
        <v>2</v>
      </c>
      <c r="G192" s="12">
        <f>IF(ISNUMBER(VLOOKUP($B192,'SCHEDA ELETTROMECCANICA'!$A$5:$D$400,4,FALSE)),VLOOKUP($B192,'SCHEDA ELETTROMECCANICA'!$A$5:$D$400,4,FALSE),"")</f>
        <v>13</v>
      </c>
      <c r="H192" t="s">
        <v>443</v>
      </c>
      <c r="I192" s="13">
        <v>1</v>
      </c>
    </row>
    <row r="193" spans="1:9" x14ac:dyDescent="0.3">
      <c r="A193" s="13">
        <v>189</v>
      </c>
      <c r="B193" t="s">
        <v>411</v>
      </c>
      <c r="C193" t="s">
        <v>412</v>
      </c>
      <c r="D193" t="s">
        <v>465</v>
      </c>
      <c r="E193" s="13" t="s">
        <v>436</v>
      </c>
      <c r="F193" s="14" t="str">
        <f>IF(ISNUMBER(VLOOKUP($B193,'SCHEDA ELETTROMECCANICA'!$A$5:$D$400,3,FALSE)),VLOOKUP($B193,'SCHEDA ELETTROMECCANICA'!$A$5:$D$400,3,FALSE),"")</f>
        <v/>
      </c>
      <c r="G193" s="12" t="str">
        <f>IF(ISNUMBER(VLOOKUP($B193,'SCHEDA ELETTROMECCANICA'!$A$5:$D$400,4,FALSE)),VLOOKUP($B193,'SCHEDA ELETTROMECCANICA'!$A$5:$D$400,4,FALSE),"")</f>
        <v/>
      </c>
      <c r="H193" t="s">
        <v>449</v>
      </c>
      <c r="I193" s="13">
        <v>1</v>
      </c>
    </row>
    <row r="194" spans="1:9" x14ac:dyDescent="0.3">
      <c r="A194" s="13">
        <v>190</v>
      </c>
      <c r="B194" t="s">
        <v>413</v>
      </c>
      <c r="C194" t="s">
        <v>414</v>
      </c>
      <c r="D194" t="s">
        <v>465</v>
      </c>
      <c r="E194" s="13" t="s">
        <v>436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450</v>
      </c>
      <c r="I194" s="13">
        <v>3</v>
      </c>
    </row>
    <row r="195" spans="1:9" x14ac:dyDescent="0.3">
      <c r="A195" s="13">
        <v>191</v>
      </c>
      <c r="B195" t="s">
        <v>415</v>
      </c>
      <c r="C195" t="s">
        <v>416</v>
      </c>
      <c r="D195" t="s">
        <v>466</v>
      </c>
      <c r="E195" s="13" t="s">
        <v>436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442</v>
      </c>
      <c r="I195" s="13">
        <v>1</v>
      </c>
    </row>
    <row r="196" spans="1:9" x14ac:dyDescent="0.3">
      <c r="A196" s="13">
        <v>192</v>
      </c>
      <c r="B196" t="s">
        <v>417</v>
      </c>
      <c r="C196" t="s">
        <v>418</v>
      </c>
      <c r="D196" t="s">
        <v>466</v>
      </c>
      <c r="E196" s="13" t="s">
        <v>436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451</v>
      </c>
      <c r="I196" s="13">
        <v>1</v>
      </c>
    </row>
    <row r="197" spans="1:9" x14ac:dyDescent="0.3">
      <c r="A197" s="13">
        <v>193</v>
      </c>
      <c r="B197" t="s">
        <v>419</v>
      </c>
      <c r="C197" t="s">
        <v>420</v>
      </c>
      <c r="D197" t="s">
        <v>466</v>
      </c>
      <c r="E197" s="13" t="s">
        <v>436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451</v>
      </c>
      <c r="I197" s="13">
        <v>1</v>
      </c>
    </row>
    <row r="198" spans="1:9" x14ac:dyDescent="0.3">
      <c r="A198" s="13">
        <v>194</v>
      </c>
      <c r="B198" t="s">
        <v>421</v>
      </c>
      <c r="C198" t="s">
        <v>422</v>
      </c>
      <c r="D198" t="s">
        <v>466</v>
      </c>
      <c r="E198" s="13" t="s">
        <v>436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451</v>
      </c>
      <c r="I198" s="13">
        <v>1</v>
      </c>
    </row>
    <row r="199" spans="1:9" x14ac:dyDescent="0.3">
      <c r="A199" s="13">
        <v>195</v>
      </c>
      <c r="B199" t="s">
        <v>423</v>
      </c>
      <c r="C199" t="s">
        <v>424</v>
      </c>
      <c r="D199" t="s">
        <v>466</v>
      </c>
      <c r="E199" s="13" t="s">
        <v>436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451</v>
      </c>
      <c r="I199" s="13">
        <v>1</v>
      </c>
    </row>
    <row r="200" spans="1:9" x14ac:dyDescent="0.3">
      <c r="A200" s="13">
        <v>196</v>
      </c>
      <c r="B200" t="s">
        <v>425</v>
      </c>
      <c r="C200" t="s">
        <v>426</v>
      </c>
      <c r="D200" t="s">
        <v>466</v>
      </c>
      <c r="E200" s="13" t="s">
        <v>436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441</v>
      </c>
      <c r="I200" s="13">
        <v>1</v>
      </c>
    </row>
    <row r="201" spans="1:9" x14ac:dyDescent="0.3">
      <c r="A201" s="13">
        <v>197</v>
      </c>
      <c r="C201" t="s">
        <v>467</v>
      </c>
      <c r="D201" t="s">
        <v>468</v>
      </c>
      <c r="E201" s="13" t="s">
        <v>436</v>
      </c>
      <c r="F201" s="14"/>
      <c r="G201" s="12"/>
      <c r="I201" s="13"/>
    </row>
    <row r="202" spans="1:9" x14ac:dyDescent="0.3">
      <c r="A202" s="13">
        <v>198</v>
      </c>
      <c r="C202" t="s">
        <v>469</v>
      </c>
      <c r="D202" t="s">
        <v>468</v>
      </c>
      <c r="E202" s="13" t="s">
        <v>436</v>
      </c>
      <c r="F202" s="14"/>
      <c r="G202" s="12"/>
      <c r="I202" s="13"/>
    </row>
  </sheetData>
  <autoFilter ref="A4:I20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470</v>
      </c>
      <c r="B1" s="8" t="s">
        <v>471</v>
      </c>
      <c r="C1" s="8" t="s">
        <v>472</v>
      </c>
      <c r="D1" s="8" t="s">
        <v>18</v>
      </c>
      <c r="E1" s="8" t="s">
        <v>19</v>
      </c>
      <c r="F1" s="8" t="s">
        <v>430</v>
      </c>
      <c r="G1" s="8" t="s">
        <v>473</v>
      </c>
      <c r="H1" s="8" t="s">
        <v>474</v>
      </c>
      <c r="I1" s="8" t="s">
        <v>475</v>
      </c>
      <c r="J1" s="8" t="s">
        <v>476</v>
      </c>
      <c r="K1" s="8" t="s">
        <v>477</v>
      </c>
      <c r="L1" s="8" t="s">
        <v>478</v>
      </c>
      <c r="M1" s="8" t="s">
        <v>479</v>
      </c>
      <c r="N1" s="8" t="s">
        <v>480</v>
      </c>
      <c r="O1" s="8" t="s">
        <v>431</v>
      </c>
      <c r="P1" s="8" t="s">
        <v>21</v>
      </c>
      <c r="Q1" s="8" t="s">
        <v>432</v>
      </c>
      <c r="R1" s="10" t="s">
        <v>481</v>
      </c>
    </row>
    <row r="2" spans="1:18" x14ac:dyDescent="0.3">
      <c r="A2" s="4" t="s">
        <v>447</v>
      </c>
      <c r="B2" s="4"/>
      <c r="C2" s="11">
        <v>1</v>
      </c>
      <c r="D2" s="4" t="s">
        <v>116</v>
      </c>
      <c r="E2" s="4" t="s">
        <v>117</v>
      </c>
      <c r="F2" s="4" t="s">
        <v>435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436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447</v>
      </c>
      <c r="B3" s="4"/>
      <c r="C3" s="11">
        <v>1</v>
      </c>
      <c r="D3" s="4" t="s">
        <v>138</v>
      </c>
      <c r="E3" s="4" t="s">
        <v>139</v>
      </c>
      <c r="F3" s="4" t="s">
        <v>435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436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447</v>
      </c>
      <c r="B4" s="4"/>
      <c r="C4" s="11">
        <v>1</v>
      </c>
      <c r="D4" s="4" t="s">
        <v>108</v>
      </c>
      <c r="E4" s="4" t="s">
        <v>109</v>
      </c>
      <c r="F4" s="4" t="s">
        <v>435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436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447</v>
      </c>
      <c r="B5" s="4"/>
      <c r="C5" s="11">
        <v>1</v>
      </c>
      <c r="D5" s="4" t="s">
        <v>130</v>
      </c>
      <c r="E5" s="4" t="s">
        <v>131</v>
      </c>
      <c r="F5" s="4" t="s">
        <v>435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436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447</v>
      </c>
      <c r="B6" s="4"/>
      <c r="C6" s="11">
        <v>1</v>
      </c>
      <c r="D6" s="4" t="s">
        <v>110</v>
      </c>
      <c r="E6" s="4" t="s">
        <v>111</v>
      </c>
      <c r="F6" s="4" t="s">
        <v>435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436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447</v>
      </c>
      <c r="B7" s="4"/>
      <c r="C7" s="11">
        <v>1</v>
      </c>
      <c r="D7" s="4" t="s">
        <v>132</v>
      </c>
      <c r="E7" s="4" t="s">
        <v>133</v>
      </c>
      <c r="F7" s="4" t="s">
        <v>435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436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447</v>
      </c>
      <c r="B8" s="4"/>
      <c r="C8" s="11">
        <v>1</v>
      </c>
      <c r="D8" s="4" t="s">
        <v>112</v>
      </c>
      <c r="E8" s="4" t="s">
        <v>113</v>
      </c>
      <c r="F8" s="4" t="s">
        <v>435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436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447</v>
      </c>
      <c r="B9" s="4"/>
      <c r="C9" s="11">
        <v>1</v>
      </c>
      <c r="D9" s="4" t="s">
        <v>134</v>
      </c>
      <c r="E9" s="4" t="s">
        <v>135</v>
      </c>
      <c r="F9" s="4" t="s">
        <v>435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436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447</v>
      </c>
      <c r="B10" s="4"/>
      <c r="C10" s="11">
        <v>1</v>
      </c>
      <c r="D10" s="4" t="s">
        <v>114</v>
      </c>
      <c r="E10" s="4" t="s">
        <v>115</v>
      </c>
      <c r="F10" s="4" t="s">
        <v>435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436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447</v>
      </c>
      <c r="B11" s="4"/>
      <c r="C11" s="11">
        <v>1</v>
      </c>
      <c r="D11" s="4" t="s">
        <v>136</v>
      </c>
      <c r="E11" s="4" t="s">
        <v>137</v>
      </c>
      <c r="F11" s="4" t="s">
        <v>435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436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447</v>
      </c>
      <c r="B12" s="4"/>
      <c r="C12" s="11">
        <v>1</v>
      </c>
      <c r="D12" s="4" t="s">
        <v>118</v>
      </c>
      <c r="E12" s="4" t="s">
        <v>119</v>
      </c>
      <c r="F12" s="4" t="s">
        <v>435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436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447</v>
      </c>
      <c r="B13" s="4"/>
      <c r="C13" s="11">
        <v>1</v>
      </c>
      <c r="D13" s="4" t="s">
        <v>140</v>
      </c>
      <c r="E13" s="4" t="s">
        <v>141</v>
      </c>
      <c r="F13" s="4" t="s">
        <v>435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436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447</v>
      </c>
      <c r="B14" s="4"/>
      <c r="C14" s="11">
        <v>1</v>
      </c>
      <c r="D14" s="4" t="s">
        <v>120</v>
      </c>
      <c r="E14" s="4" t="s">
        <v>121</v>
      </c>
      <c r="F14" s="4" t="s">
        <v>435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436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447</v>
      </c>
      <c r="B15" s="4"/>
      <c r="C15" s="11">
        <v>1</v>
      </c>
      <c r="D15" s="4" t="s">
        <v>142</v>
      </c>
      <c r="E15" s="4" t="s">
        <v>143</v>
      </c>
      <c r="F15" s="4" t="s">
        <v>435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436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447</v>
      </c>
      <c r="B16" s="4"/>
      <c r="C16" s="11">
        <v>1</v>
      </c>
      <c r="D16" s="4" t="s">
        <v>122</v>
      </c>
      <c r="E16" s="4" t="s">
        <v>123</v>
      </c>
      <c r="F16" s="4" t="s">
        <v>435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436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447</v>
      </c>
      <c r="B17" s="4"/>
      <c r="C17" s="11">
        <v>1</v>
      </c>
      <c r="D17" s="4" t="s">
        <v>144</v>
      </c>
      <c r="E17" s="4" t="s">
        <v>145</v>
      </c>
      <c r="F17" s="4" t="s">
        <v>435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436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447</v>
      </c>
      <c r="B18" s="4"/>
      <c r="C18" s="11">
        <v>1</v>
      </c>
      <c r="D18" s="4" t="s">
        <v>124</v>
      </c>
      <c r="E18" s="4" t="s">
        <v>125</v>
      </c>
      <c r="F18" s="4" t="s">
        <v>435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436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447</v>
      </c>
      <c r="B19" s="4"/>
      <c r="C19" s="11">
        <v>1</v>
      </c>
      <c r="D19" s="4" t="s">
        <v>146</v>
      </c>
      <c r="E19" s="4" t="s">
        <v>147</v>
      </c>
      <c r="F19" s="4" t="s">
        <v>435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436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447</v>
      </c>
      <c r="B20" s="4"/>
      <c r="C20" s="11">
        <v>1</v>
      </c>
      <c r="D20" s="4" t="s">
        <v>126</v>
      </c>
      <c r="E20" s="4" t="s">
        <v>127</v>
      </c>
      <c r="F20" s="4" t="s">
        <v>435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436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447</v>
      </c>
      <c r="B21" s="4"/>
      <c r="C21" s="11">
        <v>1</v>
      </c>
      <c r="D21" s="4" t="s">
        <v>148</v>
      </c>
      <c r="E21" s="4" t="s">
        <v>149</v>
      </c>
      <c r="F21" s="4" t="s">
        <v>435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436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447</v>
      </c>
      <c r="B22" s="4"/>
      <c r="C22" s="11">
        <v>1</v>
      </c>
      <c r="D22" s="4" t="s">
        <v>128</v>
      </c>
      <c r="E22" s="4" t="s">
        <v>129</v>
      </c>
      <c r="F22" s="4" t="s">
        <v>435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436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447</v>
      </c>
      <c r="B23" s="4"/>
      <c r="C23" s="11">
        <v>1</v>
      </c>
      <c r="D23" s="4" t="s">
        <v>150</v>
      </c>
      <c r="E23" s="4" t="s">
        <v>151</v>
      </c>
      <c r="F23" s="4" t="s">
        <v>435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436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447</v>
      </c>
      <c r="B24" s="4"/>
      <c r="C24" s="11">
        <v>2</v>
      </c>
      <c r="D24" s="4" t="s">
        <v>152</v>
      </c>
      <c r="E24" s="4" t="s">
        <v>482</v>
      </c>
      <c r="F24" s="4" t="s">
        <v>435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436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447</v>
      </c>
      <c r="B25" s="4"/>
      <c r="C25" s="11">
        <v>2</v>
      </c>
      <c r="D25" s="4" t="s">
        <v>192</v>
      </c>
      <c r="E25" s="4" t="s">
        <v>193</v>
      </c>
      <c r="F25" s="4" t="s">
        <v>435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436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447</v>
      </c>
      <c r="B26" s="4"/>
      <c r="C26" s="11">
        <v>2</v>
      </c>
      <c r="D26" s="4" t="s">
        <v>156</v>
      </c>
      <c r="E26" s="4" t="s">
        <v>157</v>
      </c>
      <c r="F26" s="4" t="s">
        <v>435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436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447</v>
      </c>
      <c r="B27" s="4"/>
      <c r="C27" s="11">
        <v>2</v>
      </c>
      <c r="D27" s="4" t="s">
        <v>196</v>
      </c>
      <c r="E27" s="4" t="s">
        <v>197</v>
      </c>
      <c r="F27" s="4" t="s">
        <v>435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436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447</v>
      </c>
      <c r="B28" s="4"/>
      <c r="C28" s="11">
        <v>2</v>
      </c>
      <c r="D28" s="4" t="s">
        <v>158</v>
      </c>
      <c r="E28" s="4" t="s">
        <v>159</v>
      </c>
      <c r="F28" s="4" t="s">
        <v>435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436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447</v>
      </c>
      <c r="B29" s="4"/>
      <c r="C29" s="11">
        <v>2</v>
      </c>
      <c r="D29" s="4" t="s">
        <v>198</v>
      </c>
      <c r="E29" s="4" t="s">
        <v>199</v>
      </c>
      <c r="F29" s="4" t="s">
        <v>435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436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447</v>
      </c>
      <c r="B30" s="4"/>
      <c r="C30" s="11">
        <v>2</v>
      </c>
      <c r="D30" s="4" t="s">
        <v>160</v>
      </c>
      <c r="E30" s="4" t="s">
        <v>161</v>
      </c>
      <c r="F30" s="4" t="s">
        <v>435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436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447</v>
      </c>
      <c r="B31" s="4"/>
      <c r="C31" s="11">
        <v>2</v>
      </c>
      <c r="D31" s="4" t="s">
        <v>200</v>
      </c>
      <c r="E31" s="4" t="s">
        <v>201</v>
      </c>
      <c r="F31" s="4" t="s">
        <v>435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436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447</v>
      </c>
      <c r="B32" s="4"/>
      <c r="C32" s="11">
        <v>2</v>
      </c>
      <c r="D32" s="4" t="s">
        <v>162</v>
      </c>
      <c r="E32" s="4" t="s">
        <v>163</v>
      </c>
      <c r="F32" s="4" t="s">
        <v>435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436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447</v>
      </c>
      <c r="B33" s="4"/>
      <c r="C33" s="11">
        <v>2</v>
      </c>
      <c r="D33" s="4" t="s">
        <v>202</v>
      </c>
      <c r="E33" s="4" t="s">
        <v>203</v>
      </c>
      <c r="F33" s="4" t="s">
        <v>435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436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447</v>
      </c>
      <c r="B34" s="4"/>
      <c r="C34" s="11">
        <v>2</v>
      </c>
      <c r="D34" s="4" t="s">
        <v>164</v>
      </c>
      <c r="E34" s="4" t="s">
        <v>165</v>
      </c>
      <c r="F34" s="4" t="s">
        <v>435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436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447</v>
      </c>
      <c r="B35" s="4"/>
      <c r="C35" s="11">
        <v>2</v>
      </c>
      <c r="D35" s="4" t="s">
        <v>204</v>
      </c>
      <c r="E35" s="4" t="s">
        <v>205</v>
      </c>
      <c r="F35" s="4" t="s">
        <v>435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436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447</v>
      </c>
      <c r="B36" s="4"/>
      <c r="C36" s="11">
        <v>2</v>
      </c>
      <c r="D36" s="4" t="s">
        <v>166</v>
      </c>
      <c r="E36" s="4" t="s">
        <v>167</v>
      </c>
      <c r="F36" s="4" t="s">
        <v>435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436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447</v>
      </c>
      <c r="B37" s="4"/>
      <c r="C37" s="11">
        <v>2</v>
      </c>
      <c r="D37" s="4" t="s">
        <v>206</v>
      </c>
      <c r="E37" s="4" t="s">
        <v>207</v>
      </c>
      <c r="F37" s="4" t="s">
        <v>435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436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447</v>
      </c>
      <c r="B38" s="4"/>
      <c r="C38" s="11">
        <v>2</v>
      </c>
      <c r="D38" s="4" t="s">
        <v>168</v>
      </c>
      <c r="E38" s="4" t="s">
        <v>169</v>
      </c>
      <c r="F38" s="4" t="s">
        <v>435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436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447</v>
      </c>
      <c r="B39" s="4"/>
      <c r="C39" s="11">
        <v>2</v>
      </c>
      <c r="D39" s="4" t="s">
        <v>208</v>
      </c>
      <c r="E39" s="4" t="s">
        <v>209</v>
      </c>
      <c r="F39" s="4" t="s">
        <v>435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436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447</v>
      </c>
      <c r="B40" s="4"/>
      <c r="C40" s="11">
        <v>2</v>
      </c>
      <c r="D40" s="4" t="s">
        <v>170</v>
      </c>
      <c r="E40" s="4" t="s">
        <v>171</v>
      </c>
      <c r="F40" s="4" t="s">
        <v>435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436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447</v>
      </c>
      <c r="B41" s="4"/>
      <c r="C41" s="11">
        <v>2</v>
      </c>
      <c r="D41" s="4" t="s">
        <v>210</v>
      </c>
      <c r="E41" s="4" t="s">
        <v>211</v>
      </c>
      <c r="F41" s="4" t="s">
        <v>435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436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447</v>
      </c>
      <c r="B42" s="4"/>
      <c r="C42" s="11">
        <v>2</v>
      </c>
      <c r="D42" s="4" t="s">
        <v>172</v>
      </c>
      <c r="E42" s="4" t="s">
        <v>173</v>
      </c>
      <c r="F42" s="4" t="s">
        <v>435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436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447</v>
      </c>
      <c r="B43" s="4"/>
      <c r="C43" s="11">
        <v>2</v>
      </c>
      <c r="D43" s="4" t="s">
        <v>212</v>
      </c>
      <c r="E43" s="4" t="s">
        <v>213</v>
      </c>
      <c r="F43" s="4" t="s">
        <v>435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436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447</v>
      </c>
      <c r="B44" s="4"/>
      <c r="C44" s="11">
        <v>2</v>
      </c>
      <c r="D44" s="4" t="s">
        <v>174</v>
      </c>
      <c r="E44" s="4" t="s">
        <v>175</v>
      </c>
      <c r="F44" s="4" t="s">
        <v>435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436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447</v>
      </c>
      <c r="B45" s="4"/>
      <c r="C45" s="11">
        <v>2</v>
      </c>
      <c r="D45" s="4" t="s">
        <v>214</v>
      </c>
      <c r="E45" s="4" t="s">
        <v>215</v>
      </c>
      <c r="F45" s="4" t="s">
        <v>435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436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447</v>
      </c>
      <c r="B46" s="4"/>
      <c r="C46" s="11">
        <v>2</v>
      </c>
      <c r="D46" s="4" t="s">
        <v>176</v>
      </c>
      <c r="E46" s="4" t="s">
        <v>177</v>
      </c>
      <c r="F46" s="4" t="s">
        <v>435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436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447</v>
      </c>
      <c r="B47" s="4"/>
      <c r="C47" s="11">
        <v>2</v>
      </c>
      <c r="D47" s="4" t="s">
        <v>216</v>
      </c>
      <c r="E47" s="4" t="s">
        <v>217</v>
      </c>
      <c r="F47" s="4" t="s">
        <v>435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436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447</v>
      </c>
      <c r="B48" s="4"/>
      <c r="C48" s="11">
        <v>2</v>
      </c>
      <c r="D48" s="4" t="s">
        <v>178</v>
      </c>
      <c r="E48" s="4" t="s">
        <v>179</v>
      </c>
      <c r="F48" s="4" t="s">
        <v>435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436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447</v>
      </c>
      <c r="B49" s="4"/>
      <c r="C49" s="11">
        <v>2</v>
      </c>
      <c r="D49" s="4" t="s">
        <v>218</v>
      </c>
      <c r="E49" s="4" t="s">
        <v>219</v>
      </c>
      <c r="F49" s="4" t="s">
        <v>435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436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447</v>
      </c>
      <c r="B50" s="4"/>
      <c r="C50" s="11">
        <v>2</v>
      </c>
      <c r="D50" s="4" t="s">
        <v>180</v>
      </c>
      <c r="E50" s="4" t="s">
        <v>181</v>
      </c>
      <c r="F50" s="4" t="s">
        <v>435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436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447</v>
      </c>
      <c r="B51" s="4"/>
      <c r="C51" s="11">
        <v>2</v>
      </c>
      <c r="D51" s="4" t="s">
        <v>220</v>
      </c>
      <c r="E51" s="4" t="s">
        <v>221</v>
      </c>
      <c r="F51" s="4" t="s">
        <v>435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436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447</v>
      </c>
      <c r="B52" s="4"/>
      <c r="C52" s="11">
        <v>2</v>
      </c>
      <c r="D52" s="4" t="s">
        <v>182</v>
      </c>
      <c r="E52" s="4" t="s">
        <v>183</v>
      </c>
      <c r="F52" s="4" t="s">
        <v>435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436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447</v>
      </c>
      <c r="B53" s="4"/>
      <c r="C53" s="11">
        <v>2</v>
      </c>
      <c r="D53" s="4" t="s">
        <v>222</v>
      </c>
      <c r="E53" s="4" t="s">
        <v>223</v>
      </c>
      <c r="F53" s="4" t="s">
        <v>435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436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447</v>
      </c>
      <c r="B54" s="4"/>
      <c r="C54" s="11">
        <v>2</v>
      </c>
      <c r="D54" s="4" t="s">
        <v>184</v>
      </c>
      <c r="E54" s="4" t="s">
        <v>185</v>
      </c>
      <c r="F54" s="4" t="s">
        <v>435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436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447</v>
      </c>
      <c r="B55" s="4"/>
      <c r="C55" s="11">
        <v>2</v>
      </c>
      <c r="D55" s="4" t="s">
        <v>224</v>
      </c>
      <c r="E55" s="4" t="s">
        <v>225</v>
      </c>
      <c r="F55" s="4" t="s">
        <v>435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436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447</v>
      </c>
      <c r="B56" s="4"/>
      <c r="C56" s="11">
        <v>2</v>
      </c>
      <c r="D56" s="4" t="s">
        <v>186</v>
      </c>
      <c r="E56" s="4" t="s">
        <v>187</v>
      </c>
      <c r="F56" s="4" t="s">
        <v>435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436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447</v>
      </c>
      <c r="B57" s="4"/>
      <c r="C57" s="11">
        <v>2</v>
      </c>
      <c r="D57" s="4" t="s">
        <v>226</v>
      </c>
      <c r="E57" s="4" t="s">
        <v>227</v>
      </c>
      <c r="F57" s="4" t="s">
        <v>435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436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447</v>
      </c>
      <c r="B58" s="4"/>
      <c r="C58" s="11">
        <v>2</v>
      </c>
      <c r="D58" s="4" t="s">
        <v>188</v>
      </c>
      <c r="E58" s="4" t="s">
        <v>189</v>
      </c>
      <c r="F58" s="4" t="s">
        <v>435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436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447</v>
      </c>
      <c r="B59" s="4"/>
      <c r="C59" s="11">
        <v>2</v>
      </c>
      <c r="D59" s="4" t="s">
        <v>228</v>
      </c>
      <c r="E59" s="4" t="s">
        <v>229</v>
      </c>
      <c r="F59" s="4" t="s">
        <v>435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436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447</v>
      </c>
      <c r="B60" s="4"/>
      <c r="C60" s="11">
        <v>2</v>
      </c>
      <c r="D60" s="4" t="s">
        <v>190</v>
      </c>
      <c r="E60" s="4" t="s">
        <v>191</v>
      </c>
      <c r="F60" s="4" t="s">
        <v>435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436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447</v>
      </c>
      <c r="B61" s="4"/>
      <c r="C61" s="11">
        <v>2</v>
      </c>
      <c r="D61" s="4" t="s">
        <v>230</v>
      </c>
      <c r="E61" s="4" t="s">
        <v>231</v>
      </c>
      <c r="F61" s="4" t="s">
        <v>435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436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447</v>
      </c>
      <c r="B62" s="4"/>
      <c r="C62" s="11">
        <v>3</v>
      </c>
      <c r="D62" s="4" t="s">
        <v>292</v>
      </c>
      <c r="E62" s="4" t="s">
        <v>293</v>
      </c>
      <c r="F62" s="4" t="s">
        <v>435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436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447</v>
      </c>
      <c r="B63" s="4"/>
      <c r="C63" s="11">
        <v>4</v>
      </c>
      <c r="D63" s="4" t="s">
        <v>346</v>
      </c>
      <c r="E63" s="4" t="s">
        <v>347</v>
      </c>
      <c r="F63" s="4" t="s">
        <v>453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436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447</v>
      </c>
      <c r="B64" s="4"/>
      <c r="C64" s="11">
        <v>5</v>
      </c>
      <c r="D64" s="4" t="s">
        <v>391</v>
      </c>
      <c r="E64" s="4" t="s">
        <v>392</v>
      </c>
      <c r="F64" s="4" t="s">
        <v>453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436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447</v>
      </c>
      <c r="B65" s="4"/>
      <c r="C65" s="11">
        <v>6</v>
      </c>
      <c r="D65" s="4" t="s">
        <v>391</v>
      </c>
      <c r="E65" s="4" t="s">
        <v>392</v>
      </c>
      <c r="F65" s="4" t="s">
        <v>453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436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447</v>
      </c>
      <c r="B66" s="4"/>
      <c r="C66" s="11">
        <v>7</v>
      </c>
      <c r="D66" s="4" t="s">
        <v>381</v>
      </c>
      <c r="E66" s="4" t="s">
        <v>382</v>
      </c>
      <c r="F66" s="4" t="s">
        <v>453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436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447</v>
      </c>
      <c r="B67" s="4"/>
      <c r="C67" s="11">
        <v>1</v>
      </c>
      <c r="D67" s="4" t="s">
        <v>294</v>
      </c>
      <c r="E67" s="4" t="s">
        <v>295</v>
      </c>
      <c r="F67" s="4" t="s">
        <v>435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436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447</v>
      </c>
      <c r="B68" s="4"/>
      <c r="C68" s="11">
        <v>2</v>
      </c>
      <c r="D68" s="4" t="s">
        <v>296</v>
      </c>
      <c r="E68" s="4" t="s">
        <v>483</v>
      </c>
      <c r="F68" s="4" t="s">
        <v>435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436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447</v>
      </c>
      <c r="B69" s="4"/>
      <c r="C69" s="11">
        <v>3</v>
      </c>
      <c r="D69" s="4" t="s">
        <v>346</v>
      </c>
      <c r="E69" s="4" t="s">
        <v>355</v>
      </c>
      <c r="F69" s="4" t="s">
        <v>453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436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447</v>
      </c>
      <c r="B70" s="4"/>
      <c r="C70" s="11">
        <v>4</v>
      </c>
      <c r="D70" s="4" t="s">
        <v>391</v>
      </c>
      <c r="E70" s="4" t="s">
        <v>392</v>
      </c>
      <c r="F70" s="4" t="s">
        <v>453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436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447</v>
      </c>
      <c r="B71" s="4"/>
      <c r="C71" s="11">
        <v>5</v>
      </c>
      <c r="D71" s="4" t="s">
        <v>391</v>
      </c>
      <c r="E71" s="4" t="s">
        <v>392</v>
      </c>
      <c r="F71" s="4" t="s">
        <v>453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436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447</v>
      </c>
      <c r="B72" s="4"/>
      <c r="C72" s="11">
        <v>6</v>
      </c>
      <c r="D72" s="4" t="s">
        <v>381</v>
      </c>
      <c r="E72" s="4" t="s">
        <v>382</v>
      </c>
      <c r="F72" s="4" t="s">
        <v>453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436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447</v>
      </c>
      <c r="B73" s="4"/>
      <c r="C73" s="11">
        <v>2</v>
      </c>
      <c r="D73" s="4" t="s">
        <v>322</v>
      </c>
      <c r="E73" s="4" t="s">
        <v>323</v>
      </c>
      <c r="F73" s="4" t="s">
        <v>435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436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447</v>
      </c>
      <c r="B74" s="4"/>
      <c r="C74" s="11">
        <v>3</v>
      </c>
      <c r="D74" s="4" t="s">
        <v>354</v>
      </c>
      <c r="E74" s="4" t="s">
        <v>355</v>
      </c>
      <c r="F74" s="4" t="s">
        <v>453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436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447</v>
      </c>
      <c r="B75" s="4"/>
      <c r="C75" s="11">
        <v>4</v>
      </c>
      <c r="D75" s="4" t="s">
        <v>391</v>
      </c>
      <c r="E75" s="4" t="s">
        <v>392</v>
      </c>
      <c r="F75" s="4" t="s">
        <v>453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436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447</v>
      </c>
      <c r="B76" s="4"/>
      <c r="C76" s="11">
        <v>5</v>
      </c>
      <c r="D76" s="4" t="s">
        <v>381</v>
      </c>
      <c r="E76" s="4" t="s">
        <v>382</v>
      </c>
      <c r="F76" s="4" t="s">
        <v>453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436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447</v>
      </c>
      <c r="B77" s="4"/>
      <c r="C77" s="11">
        <v>2</v>
      </c>
      <c r="D77" s="4" t="s">
        <v>407</v>
      </c>
      <c r="E77" s="4" t="s">
        <v>408</v>
      </c>
      <c r="F77" s="4" t="s">
        <v>463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436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447</v>
      </c>
      <c r="B78" s="4"/>
      <c r="C78" s="11">
        <v>3</v>
      </c>
      <c r="D78" s="4" t="s">
        <v>358</v>
      </c>
      <c r="E78" s="4" t="s">
        <v>359</v>
      </c>
      <c r="F78" s="4" t="s">
        <v>453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436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447</v>
      </c>
      <c r="B79" s="4"/>
      <c r="C79" s="11">
        <v>4</v>
      </c>
      <c r="D79" s="4" t="s">
        <v>393</v>
      </c>
      <c r="E79" s="4" t="s">
        <v>394</v>
      </c>
      <c r="F79" s="4" t="s">
        <v>453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436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447</v>
      </c>
      <c r="B80" s="4"/>
      <c r="C80" s="11">
        <v>1</v>
      </c>
      <c r="D80" s="4" t="s">
        <v>324</v>
      </c>
      <c r="E80" s="4" t="s">
        <v>325</v>
      </c>
      <c r="F80" s="4" t="s">
        <v>435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436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447</v>
      </c>
      <c r="B81" s="4"/>
      <c r="C81" s="11">
        <v>5</v>
      </c>
      <c r="D81" s="4" t="s">
        <v>393</v>
      </c>
      <c r="E81" s="4" t="s">
        <v>394</v>
      </c>
      <c r="F81" s="4" t="s">
        <v>453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436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447</v>
      </c>
      <c r="B82" s="4"/>
      <c r="C82" s="11">
        <v>6</v>
      </c>
      <c r="D82" s="4" t="s">
        <v>383</v>
      </c>
      <c r="E82" s="4" t="s">
        <v>384</v>
      </c>
      <c r="F82" s="4" t="s">
        <v>453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436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443</v>
      </c>
      <c r="B83" s="4"/>
      <c r="C83" s="11">
        <v>1</v>
      </c>
      <c r="D83" s="4" t="s">
        <v>116</v>
      </c>
      <c r="E83" s="4" t="s">
        <v>484</v>
      </c>
      <c r="F83" s="4" t="s">
        <v>435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436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443</v>
      </c>
      <c r="B84" s="4"/>
      <c r="C84" s="11">
        <v>2</v>
      </c>
      <c r="D84" s="4" t="s">
        <v>24</v>
      </c>
      <c r="E84" s="4" t="s">
        <v>25</v>
      </c>
      <c r="F84" s="4" t="s">
        <v>435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436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443</v>
      </c>
      <c r="B85" s="4"/>
      <c r="C85" s="11">
        <v>2</v>
      </c>
      <c r="D85" s="4" t="s">
        <v>66</v>
      </c>
      <c r="E85" s="4" t="s">
        <v>67</v>
      </c>
      <c r="F85" s="4" t="s">
        <v>435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436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443</v>
      </c>
      <c r="B86" s="4"/>
      <c r="C86" s="11">
        <v>2</v>
      </c>
      <c r="D86" s="4" t="s">
        <v>30</v>
      </c>
      <c r="E86" s="4" t="s">
        <v>31</v>
      </c>
      <c r="F86" s="4" t="s">
        <v>435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436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443</v>
      </c>
      <c r="B87" s="4"/>
      <c r="C87" s="11">
        <v>2</v>
      </c>
      <c r="D87" s="4" t="s">
        <v>72</v>
      </c>
      <c r="E87" s="4" t="s">
        <v>73</v>
      </c>
      <c r="F87" s="4" t="s">
        <v>435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436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443</v>
      </c>
      <c r="B88" s="4"/>
      <c r="C88" s="11">
        <v>2</v>
      </c>
      <c r="D88" s="4" t="s">
        <v>32</v>
      </c>
      <c r="E88" s="4" t="s">
        <v>33</v>
      </c>
      <c r="F88" s="4" t="s">
        <v>435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436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443</v>
      </c>
      <c r="B89" s="4"/>
      <c r="C89" s="11">
        <v>2</v>
      </c>
      <c r="D89" s="4" t="s">
        <v>74</v>
      </c>
      <c r="E89" s="4" t="s">
        <v>75</v>
      </c>
      <c r="F89" s="4" t="s">
        <v>435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436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443</v>
      </c>
      <c r="B90" s="4"/>
      <c r="C90" s="11">
        <v>2</v>
      </c>
      <c r="D90" s="4" t="s">
        <v>34</v>
      </c>
      <c r="E90" s="4" t="s">
        <v>35</v>
      </c>
      <c r="F90" s="4" t="s">
        <v>435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436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443</v>
      </c>
      <c r="B91" s="4"/>
      <c r="C91" s="11">
        <v>2</v>
      </c>
      <c r="D91" s="4" t="s">
        <v>76</v>
      </c>
      <c r="E91" s="4" t="s">
        <v>77</v>
      </c>
      <c r="F91" s="4" t="s">
        <v>435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436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443</v>
      </c>
      <c r="B92" s="4"/>
      <c r="C92" s="11">
        <v>2</v>
      </c>
      <c r="D92" s="4" t="s">
        <v>36</v>
      </c>
      <c r="E92" s="4" t="s">
        <v>37</v>
      </c>
      <c r="F92" s="4" t="s">
        <v>435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436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443</v>
      </c>
      <c r="B93" s="4"/>
      <c r="C93" s="11">
        <v>2</v>
      </c>
      <c r="D93" s="4" t="s">
        <v>78</v>
      </c>
      <c r="E93" s="4" t="s">
        <v>79</v>
      </c>
      <c r="F93" s="4" t="s">
        <v>435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436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443</v>
      </c>
      <c r="B94" s="4"/>
      <c r="C94" s="11">
        <v>2</v>
      </c>
      <c r="D94" s="4" t="s">
        <v>38</v>
      </c>
      <c r="E94" s="4" t="s">
        <v>39</v>
      </c>
      <c r="F94" s="4" t="s">
        <v>435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436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443</v>
      </c>
      <c r="B95" s="4"/>
      <c r="C95" s="11">
        <v>2</v>
      </c>
      <c r="D95" s="4" t="s">
        <v>80</v>
      </c>
      <c r="E95" s="4" t="s">
        <v>81</v>
      </c>
      <c r="F95" s="4" t="s">
        <v>435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436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443</v>
      </c>
      <c r="B96" s="4"/>
      <c r="C96" s="11">
        <v>2</v>
      </c>
      <c r="D96" s="4" t="s">
        <v>40</v>
      </c>
      <c r="E96" s="4" t="s">
        <v>41</v>
      </c>
      <c r="F96" s="4" t="s">
        <v>435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436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443</v>
      </c>
      <c r="B97" s="4"/>
      <c r="C97" s="11">
        <v>2</v>
      </c>
      <c r="D97" s="4" t="s">
        <v>82</v>
      </c>
      <c r="E97" s="4" t="s">
        <v>83</v>
      </c>
      <c r="F97" s="4" t="s">
        <v>435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436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443</v>
      </c>
      <c r="B98" s="4"/>
      <c r="C98" s="11">
        <v>2</v>
      </c>
      <c r="D98" s="4" t="s">
        <v>42</v>
      </c>
      <c r="E98" s="4" t="s">
        <v>43</v>
      </c>
      <c r="F98" s="4" t="s">
        <v>435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436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443</v>
      </c>
      <c r="B99" s="4"/>
      <c r="C99" s="11">
        <v>2</v>
      </c>
      <c r="D99" s="4" t="s">
        <v>84</v>
      </c>
      <c r="E99" s="4" t="s">
        <v>85</v>
      </c>
      <c r="F99" s="4" t="s">
        <v>435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436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443</v>
      </c>
      <c r="B100" s="4"/>
      <c r="C100" s="11">
        <v>2</v>
      </c>
      <c r="D100" s="4" t="s">
        <v>44</v>
      </c>
      <c r="E100" s="4" t="s">
        <v>45</v>
      </c>
      <c r="F100" s="4" t="s">
        <v>435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436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443</v>
      </c>
      <c r="B101" s="4"/>
      <c r="C101" s="11">
        <v>2</v>
      </c>
      <c r="D101" s="4" t="s">
        <v>86</v>
      </c>
      <c r="E101" s="4" t="s">
        <v>87</v>
      </c>
      <c r="F101" s="4" t="s">
        <v>435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436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443</v>
      </c>
      <c r="B102" s="4"/>
      <c r="C102" s="11">
        <v>2</v>
      </c>
      <c r="D102" s="4" t="s">
        <v>46</v>
      </c>
      <c r="E102" s="4" t="s">
        <v>47</v>
      </c>
      <c r="F102" s="4" t="s">
        <v>435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436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443</v>
      </c>
      <c r="B103" s="4"/>
      <c r="C103" s="11">
        <v>2</v>
      </c>
      <c r="D103" s="4" t="s">
        <v>88</v>
      </c>
      <c r="E103" s="4" t="s">
        <v>89</v>
      </c>
      <c r="F103" s="4" t="s">
        <v>435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436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443</v>
      </c>
      <c r="B104" s="4"/>
      <c r="C104" s="11">
        <v>2</v>
      </c>
      <c r="D104" s="4" t="s">
        <v>48</v>
      </c>
      <c r="E104" s="4" t="s">
        <v>49</v>
      </c>
      <c r="F104" s="4" t="s">
        <v>435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436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443</v>
      </c>
      <c r="B105" s="4"/>
      <c r="C105" s="11">
        <v>2</v>
      </c>
      <c r="D105" s="4" t="s">
        <v>90</v>
      </c>
      <c r="E105" s="4" t="s">
        <v>91</v>
      </c>
      <c r="F105" s="4" t="s">
        <v>435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436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443</v>
      </c>
      <c r="B106" s="4"/>
      <c r="C106" s="11">
        <v>2</v>
      </c>
      <c r="D106" s="4" t="s">
        <v>50</v>
      </c>
      <c r="E106" s="4" t="s">
        <v>51</v>
      </c>
      <c r="F106" s="4" t="s">
        <v>435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436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443</v>
      </c>
      <c r="B107" s="4"/>
      <c r="C107" s="11">
        <v>2</v>
      </c>
      <c r="D107" s="4" t="s">
        <v>92</v>
      </c>
      <c r="E107" s="4" t="s">
        <v>93</v>
      </c>
      <c r="F107" s="4" t="s">
        <v>435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436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443</v>
      </c>
      <c r="B108" s="4"/>
      <c r="C108" s="11">
        <v>2</v>
      </c>
      <c r="D108" s="4" t="s">
        <v>52</v>
      </c>
      <c r="E108" s="4" t="s">
        <v>53</v>
      </c>
      <c r="F108" s="4" t="s">
        <v>435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436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443</v>
      </c>
      <c r="B109" s="4"/>
      <c r="C109" s="11">
        <v>2</v>
      </c>
      <c r="D109" s="4" t="s">
        <v>94</v>
      </c>
      <c r="E109" s="4" t="s">
        <v>95</v>
      </c>
      <c r="F109" s="4" t="s">
        <v>435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436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443</v>
      </c>
      <c r="B110" s="4"/>
      <c r="C110" s="11">
        <v>2</v>
      </c>
      <c r="D110" s="4" t="s">
        <v>54</v>
      </c>
      <c r="E110" s="4" t="s">
        <v>55</v>
      </c>
      <c r="F110" s="4" t="s">
        <v>435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436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443</v>
      </c>
      <c r="B111" s="4"/>
      <c r="C111" s="11">
        <v>2</v>
      </c>
      <c r="D111" s="4" t="s">
        <v>96</v>
      </c>
      <c r="E111" s="4" t="s">
        <v>97</v>
      </c>
      <c r="F111" s="4" t="s">
        <v>435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436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443</v>
      </c>
      <c r="B112" s="4"/>
      <c r="C112" s="11">
        <v>2</v>
      </c>
      <c r="D112" s="4" t="s">
        <v>56</v>
      </c>
      <c r="E112" s="4" t="s">
        <v>57</v>
      </c>
      <c r="F112" s="4" t="s">
        <v>435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436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443</v>
      </c>
      <c r="B113" s="4"/>
      <c r="C113" s="11">
        <v>2</v>
      </c>
      <c r="D113" s="4" t="s">
        <v>98</v>
      </c>
      <c r="E113" s="4" t="s">
        <v>99</v>
      </c>
      <c r="F113" s="4" t="s">
        <v>435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436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443</v>
      </c>
      <c r="B114" s="4"/>
      <c r="C114" s="11">
        <v>2</v>
      </c>
      <c r="D114" s="4" t="s">
        <v>58</v>
      </c>
      <c r="E114" s="4" t="s">
        <v>59</v>
      </c>
      <c r="F114" s="4" t="s">
        <v>435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436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443</v>
      </c>
      <c r="B115" s="4"/>
      <c r="C115" s="11">
        <v>2</v>
      </c>
      <c r="D115" s="4" t="s">
        <v>100</v>
      </c>
      <c r="E115" s="4" t="s">
        <v>101</v>
      </c>
      <c r="F115" s="4" t="s">
        <v>435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436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443</v>
      </c>
      <c r="B116" s="4"/>
      <c r="C116" s="11">
        <v>2</v>
      </c>
      <c r="D116" s="4" t="s">
        <v>60</v>
      </c>
      <c r="E116" s="4" t="s">
        <v>61</v>
      </c>
      <c r="F116" s="4" t="s">
        <v>435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436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443</v>
      </c>
      <c r="B117" s="4"/>
      <c r="C117" s="11">
        <v>2</v>
      </c>
      <c r="D117" s="4" t="s">
        <v>102</v>
      </c>
      <c r="E117" s="4" t="s">
        <v>103</v>
      </c>
      <c r="F117" s="4" t="s">
        <v>435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436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443</v>
      </c>
      <c r="B118" s="4"/>
      <c r="C118" s="11">
        <v>2</v>
      </c>
      <c r="D118" s="4" t="s">
        <v>62</v>
      </c>
      <c r="E118" s="4" t="s">
        <v>63</v>
      </c>
      <c r="F118" s="4" t="s">
        <v>435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436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443</v>
      </c>
      <c r="B119" s="4"/>
      <c r="C119" s="11">
        <v>2</v>
      </c>
      <c r="D119" s="4" t="s">
        <v>104</v>
      </c>
      <c r="E119" s="4" t="s">
        <v>105</v>
      </c>
      <c r="F119" s="4" t="s">
        <v>435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436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443</v>
      </c>
      <c r="B120" s="4"/>
      <c r="C120" s="11">
        <v>2</v>
      </c>
      <c r="D120" s="4" t="s">
        <v>64</v>
      </c>
      <c r="E120" s="4" t="s">
        <v>65</v>
      </c>
      <c r="F120" s="4" t="s">
        <v>435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436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443</v>
      </c>
      <c r="B121" s="4"/>
      <c r="C121" s="11">
        <v>2</v>
      </c>
      <c r="D121" s="4" t="s">
        <v>106</v>
      </c>
      <c r="E121" s="4" t="s">
        <v>107</v>
      </c>
      <c r="F121" s="4" t="s">
        <v>435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436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443</v>
      </c>
      <c r="B122" s="4"/>
      <c r="C122" s="11">
        <v>3</v>
      </c>
      <c r="D122" s="4" t="s">
        <v>292</v>
      </c>
      <c r="E122" s="4" t="s">
        <v>485</v>
      </c>
      <c r="F122" s="4" t="s">
        <v>435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436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443</v>
      </c>
      <c r="B123" s="4"/>
      <c r="C123" s="11">
        <v>4</v>
      </c>
      <c r="D123" s="4" t="s">
        <v>354</v>
      </c>
      <c r="E123" s="4" t="s">
        <v>355</v>
      </c>
      <c r="F123" s="4" t="s">
        <v>453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436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443</v>
      </c>
      <c r="B124" s="4"/>
      <c r="C124" s="11">
        <v>5</v>
      </c>
      <c r="D124" s="4" t="s">
        <v>391</v>
      </c>
      <c r="E124" s="4" t="s">
        <v>392</v>
      </c>
      <c r="F124" s="4" t="s">
        <v>453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436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443</v>
      </c>
      <c r="B125" s="4"/>
      <c r="C125" s="11">
        <v>6</v>
      </c>
      <c r="D125" s="4" t="s">
        <v>391</v>
      </c>
      <c r="E125" s="4" t="s">
        <v>392</v>
      </c>
      <c r="F125" s="4" t="s">
        <v>453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436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443</v>
      </c>
      <c r="B126" s="4"/>
      <c r="C126" s="11">
        <v>7</v>
      </c>
      <c r="D126" s="4" t="s">
        <v>381</v>
      </c>
      <c r="E126" s="4" t="s">
        <v>382</v>
      </c>
      <c r="F126" s="4" t="s">
        <v>453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436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443</v>
      </c>
      <c r="B127" s="4"/>
      <c r="C127" s="11">
        <v>1</v>
      </c>
      <c r="D127" s="4" t="s">
        <v>294</v>
      </c>
      <c r="E127" s="4" t="s">
        <v>295</v>
      </c>
      <c r="F127" s="4" t="s">
        <v>435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436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443</v>
      </c>
      <c r="B128" s="4"/>
      <c r="C128" s="11">
        <v>2</v>
      </c>
      <c r="D128" s="4" t="s">
        <v>296</v>
      </c>
      <c r="E128" s="4" t="s">
        <v>297</v>
      </c>
      <c r="F128" s="4" t="s">
        <v>435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436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443</v>
      </c>
      <c r="B129" s="4"/>
      <c r="C129" s="11">
        <v>3</v>
      </c>
      <c r="D129" s="4" t="s">
        <v>354</v>
      </c>
      <c r="E129" s="4" t="s">
        <v>355</v>
      </c>
      <c r="F129" s="4" t="s">
        <v>453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436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443</v>
      </c>
      <c r="B130" s="4"/>
      <c r="C130" s="11">
        <v>4</v>
      </c>
      <c r="D130" s="4" t="s">
        <v>391</v>
      </c>
      <c r="E130" s="4" t="s">
        <v>392</v>
      </c>
      <c r="F130" s="4" t="s">
        <v>453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436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443</v>
      </c>
      <c r="B131" s="4"/>
      <c r="C131" s="11">
        <v>5</v>
      </c>
      <c r="D131" s="4" t="s">
        <v>391</v>
      </c>
      <c r="E131" s="4" t="s">
        <v>392</v>
      </c>
      <c r="F131" s="4" t="s">
        <v>453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436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443</v>
      </c>
      <c r="B132" s="4"/>
      <c r="C132" s="11">
        <v>6</v>
      </c>
      <c r="D132" s="4" t="s">
        <v>381</v>
      </c>
      <c r="E132" s="4" t="s">
        <v>382</v>
      </c>
      <c r="F132" s="4" t="s">
        <v>453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436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443</v>
      </c>
      <c r="B133" s="4"/>
      <c r="C133" s="11">
        <v>2</v>
      </c>
      <c r="D133" s="4" t="s">
        <v>306</v>
      </c>
      <c r="E133" s="4" t="s">
        <v>307</v>
      </c>
      <c r="F133" s="4" t="s">
        <v>435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436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443</v>
      </c>
      <c r="B134" s="4"/>
      <c r="C134" s="11">
        <v>3</v>
      </c>
      <c r="D134" s="4" t="s">
        <v>308</v>
      </c>
      <c r="E134" s="4" t="s">
        <v>309</v>
      </c>
      <c r="F134" s="4" t="s">
        <v>435</v>
      </c>
      <c r="G134" s="11">
        <v>1</v>
      </c>
      <c r="H134" s="11">
        <v>2</v>
      </c>
      <c r="I134" s="11">
        <v>4</v>
      </c>
      <c r="J134" s="11">
        <v>4</v>
      </c>
      <c r="K134" s="11">
        <v>4</v>
      </c>
      <c r="L134" s="11">
        <v>8</v>
      </c>
      <c r="M134" s="11">
        <v>10</v>
      </c>
      <c r="N134" s="11"/>
      <c r="O134" s="11" t="s">
        <v>436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443</v>
      </c>
      <c r="B135" s="4"/>
      <c r="C135" s="11">
        <v>4</v>
      </c>
      <c r="D135" s="4" t="s">
        <v>344</v>
      </c>
      <c r="E135" s="4" t="s">
        <v>345</v>
      </c>
      <c r="F135" s="4" t="s">
        <v>453</v>
      </c>
      <c r="G135" s="11">
        <v>4</v>
      </c>
      <c r="H135" s="11">
        <v>8</v>
      </c>
      <c r="I135" s="11">
        <v>16</v>
      </c>
      <c r="J135" s="11">
        <v>16</v>
      </c>
      <c r="K135" s="11">
        <v>16</v>
      </c>
      <c r="L135" s="11">
        <v>32</v>
      </c>
      <c r="M135" s="11">
        <v>40</v>
      </c>
      <c r="N135" s="11"/>
      <c r="O135" s="11" t="s">
        <v>436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443</v>
      </c>
      <c r="B136" s="4"/>
      <c r="C136" s="11">
        <v>5</v>
      </c>
      <c r="D136" s="4" t="s">
        <v>391</v>
      </c>
      <c r="E136" s="4" t="s">
        <v>392</v>
      </c>
      <c r="F136" s="4" t="s">
        <v>453</v>
      </c>
      <c r="G136" s="11">
        <v>4</v>
      </c>
      <c r="H136" s="11">
        <v>8</v>
      </c>
      <c r="I136" s="11">
        <v>16</v>
      </c>
      <c r="J136" s="11">
        <v>16</v>
      </c>
      <c r="K136" s="11">
        <v>16</v>
      </c>
      <c r="L136" s="11">
        <v>32</v>
      </c>
      <c r="M136" s="11">
        <v>40</v>
      </c>
      <c r="N136" s="11"/>
      <c r="O136" s="11" t="s">
        <v>436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443</v>
      </c>
      <c r="B137" s="4"/>
      <c r="C137" s="11">
        <v>6</v>
      </c>
      <c r="D137" s="4" t="s">
        <v>391</v>
      </c>
      <c r="E137" s="4" t="s">
        <v>392</v>
      </c>
      <c r="F137" s="4" t="s">
        <v>453</v>
      </c>
      <c r="G137" s="11">
        <v>4</v>
      </c>
      <c r="H137" s="11">
        <v>8</v>
      </c>
      <c r="I137" s="11">
        <v>16</v>
      </c>
      <c r="J137" s="11">
        <v>16</v>
      </c>
      <c r="K137" s="11">
        <v>16</v>
      </c>
      <c r="L137" s="11">
        <v>32</v>
      </c>
      <c r="M137" s="11">
        <v>40</v>
      </c>
      <c r="N137" s="11"/>
      <c r="O137" s="11" t="s">
        <v>436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443</v>
      </c>
      <c r="B138" s="4"/>
      <c r="C138" s="11">
        <v>7</v>
      </c>
      <c r="D138" s="4" t="s">
        <v>381</v>
      </c>
      <c r="E138" s="4" t="s">
        <v>382</v>
      </c>
      <c r="F138" s="4" t="s">
        <v>453</v>
      </c>
      <c r="G138" s="11">
        <v>4</v>
      </c>
      <c r="H138" s="11">
        <v>8</v>
      </c>
      <c r="I138" s="11">
        <v>16</v>
      </c>
      <c r="J138" s="11">
        <v>16</v>
      </c>
      <c r="K138" s="11">
        <v>16</v>
      </c>
      <c r="L138" s="11">
        <v>32</v>
      </c>
      <c r="M138" s="11">
        <v>40</v>
      </c>
      <c r="N138" s="11"/>
      <c r="O138" s="11" t="s">
        <v>436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x14ac:dyDescent="0.3">
      <c r="A139" s="4" t="s">
        <v>443</v>
      </c>
      <c r="B139" s="4"/>
      <c r="C139" s="11">
        <v>2</v>
      </c>
      <c r="D139" s="4" t="s">
        <v>409</v>
      </c>
      <c r="E139" s="4" t="s">
        <v>410</v>
      </c>
      <c r="F139" s="4" t="s">
        <v>464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436</v>
      </c>
      <c r="P139" s="9"/>
      <c r="Q139" s="5">
        <f>IFERROR(VLOOKUP($D139,LISTINO!$B:$I,6,FALSE),IFERROR(VLOOKUP($E139,LISTINO!$C:$I,5,FALSE),""))</f>
        <v>13</v>
      </c>
      <c r="R139" s="12">
        <f t="shared" si="2"/>
        <v>13</v>
      </c>
    </row>
    <row r="140" spans="1:18" x14ac:dyDescent="0.3">
      <c r="A140" s="4" t="s">
        <v>443</v>
      </c>
      <c r="B140" s="4"/>
      <c r="C140" s="11">
        <v>3</v>
      </c>
      <c r="D140" s="4" t="s">
        <v>348</v>
      </c>
      <c r="E140" s="4" t="s">
        <v>349</v>
      </c>
      <c r="F140" s="4" t="s">
        <v>453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436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443</v>
      </c>
      <c r="B141" s="4"/>
      <c r="C141" s="11">
        <v>4</v>
      </c>
      <c r="D141" s="4" t="s">
        <v>393</v>
      </c>
      <c r="E141" s="4" t="s">
        <v>394</v>
      </c>
      <c r="F141" s="4" t="s">
        <v>453</v>
      </c>
      <c r="G141" s="11">
        <v>2</v>
      </c>
      <c r="H141" s="11">
        <v>4</v>
      </c>
      <c r="I141" s="11">
        <v>8</v>
      </c>
      <c r="J141" s="11">
        <v>8</v>
      </c>
      <c r="K141" s="11">
        <v>8</v>
      </c>
      <c r="L141" s="11">
        <v>16</v>
      </c>
      <c r="M141" s="11">
        <v>20</v>
      </c>
      <c r="N141" s="11"/>
      <c r="O141" s="11" t="s">
        <v>436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443</v>
      </c>
      <c r="B142" s="4"/>
      <c r="C142" s="11">
        <v>5</v>
      </c>
      <c r="D142" s="4" t="s">
        <v>393</v>
      </c>
      <c r="E142" s="4" t="s">
        <v>394</v>
      </c>
      <c r="F142" s="4" t="s">
        <v>453</v>
      </c>
      <c r="G142" s="11">
        <v>2</v>
      </c>
      <c r="H142" s="11">
        <v>4</v>
      </c>
      <c r="I142" s="11">
        <v>8</v>
      </c>
      <c r="J142" s="11">
        <v>8</v>
      </c>
      <c r="K142" s="11">
        <v>8</v>
      </c>
      <c r="L142" s="11">
        <v>16</v>
      </c>
      <c r="M142" s="11">
        <v>20</v>
      </c>
      <c r="N142" s="11"/>
      <c r="O142" s="11" t="s">
        <v>436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443</v>
      </c>
      <c r="B143" s="4"/>
      <c r="C143" s="11">
        <v>6</v>
      </c>
      <c r="D143" s="4" t="s">
        <v>383</v>
      </c>
      <c r="E143" s="4" t="s">
        <v>384</v>
      </c>
      <c r="F143" s="4" t="s">
        <v>453</v>
      </c>
      <c r="G143" s="11">
        <v>2</v>
      </c>
      <c r="H143" s="11">
        <v>4</v>
      </c>
      <c r="I143" s="11">
        <v>8</v>
      </c>
      <c r="J143" s="11">
        <v>8</v>
      </c>
      <c r="K143" s="11">
        <v>8</v>
      </c>
      <c r="L143" s="11">
        <v>16</v>
      </c>
      <c r="M143" s="11">
        <v>20</v>
      </c>
      <c r="N143" s="11"/>
      <c r="O143" s="11" t="s">
        <v>436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437</v>
      </c>
      <c r="B144" s="4" t="s">
        <v>486</v>
      </c>
      <c r="C144" s="11"/>
      <c r="D144" s="4" t="s">
        <v>236</v>
      </c>
      <c r="E144" s="4" t="s">
        <v>237</v>
      </c>
      <c r="F144" s="4" t="s">
        <v>435</v>
      </c>
      <c r="G144" s="11">
        <v>2</v>
      </c>
      <c r="H144" s="11"/>
      <c r="I144" s="11"/>
      <c r="J144" s="11"/>
      <c r="K144" s="11"/>
      <c r="L144" s="11"/>
      <c r="M144" s="11"/>
      <c r="N144" s="11"/>
      <c r="O144" s="11" t="s">
        <v>436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437</v>
      </c>
      <c r="B145" s="4" t="s">
        <v>486</v>
      </c>
      <c r="C145" s="11"/>
      <c r="D145" s="4" t="s">
        <v>238</v>
      </c>
      <c r="E145" s="4" t="s">
        <v>239</v>
      </c>
      <c r="F145" s="4" t="s">
        <v>435</v>
      </c>
      <c r="G145" s="11">
        <v>0</v>
      </c>
      <c r="H145" s="11"/>
      <c r="I145" s="11"/>
      <c r="J145" s="11"/>
      <c r="K145" s="11"/>
      <c r="L145" s="11"/>
      <c r="M145" s="11"/>
      <c r="N145" s="11"/>
      <c r="O145" s="11" t="s">
        <v>436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437</v>
      </c>
      <c r="B146" s="4" t="s">
        <v>487</v>
      </c>
      <c r="C146" s="11"/>
      <c r="D146" s="4" t="s">
        <v>232</v>
      </c>
      <c r="E146" s="4" t="s">
        <v>233</v>
      </c>
      <c r="F146" s="4" t="s">
        <v>435</v>
      </c>
      <c r="G146" s="11">
        <v>2</v>
      </c>
      <c r="H146" s="11"/>
      <c r="I146" s="11"/>
      <c r="J146" s="11"/>
      <c r="K146" s="11"/>
      <c r="L146" s="11"/>
      <c r="M146" s="11"/>
      <c r="N146" s="11"/>
      <c r="O146" s="11" t="s">
        <v>436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437</v>
      </c>
      <c r="B147" s="4" t="s">
        <v>487</v>
      </c>
      <c r="C147" s="11"/>
      <c r="D147" s="4" t="s">
        <v>234</v>
      </c>
      <c r="E147" s="4" t="s">
        <v>235</v>
      </c>
      <c r="F147" s="4" t="s">
        <v>435</v>
      </c>
      <c r="G147" s="11">
        <v>0</v>
      </c>
      <c r="H147" s="11"/>
      <c r="I147" s="11"/>
      <c r="J147" s="11"/>
      <c r="K147" s="11"/>
      <c r="L147" s="11"/>
      <c r="M147" s="11"/>
      <c r="N147" s="11"/>
      <c r="O147" s="11" t="s">
        <v>436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437</v>
      </c>
      <c r="B148" s="4" t="s">
        <v>487</v>
      </c>
      <c r="C148" s="11"/>
      <c r="D148" s="4" t="s">
        <v>244</v>
      </c>
      <c r="E148" s="4" t="s">
        <v>245</v>
      </c>
      <c r="F148" s="4" t="s">
        <v>435</v>
      </c>
      <c r="G148" s="11">
        <v>2</v>
      </c>
      <c r="H148" s="11"/>
      <c r="I148" s="11"/>
      <c r="J148" s="11"/>
      <c r="K148" s="11"/>
      <c r="L148" s="11"/>
      <c r="M148" s="11"/>
      <c r="N148" s="11"/>
      <c r="O148" s="11" t="s">
        <v>436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437</v>
      </c>
      <c r="B149" s="4" t="s">
        <v>487</v>
      </c>
      <c r="C149" s="11"/>
      <c r="D149" s="4" t="s">
        <v>246</v>
      </c>
      <c r="E149" s="4" t="s">
        <v>247</v>
      </c>
      <c r="F149" s="4" t="s">
        <v>435</v>
      </c>
      <c r="G149" s="11">
        <v>0</v>
      </c>
      <c r="H149" s="11"/>
      <c r="I149" s="11"/>
      <c r="J149" s="11"/>
      <c r="K149" s="11"/>
      <c r="L149" s="11"/>
      <c r="M149" s="11"/>
      <c r="N149" s="11"/>
      <c r="O149" s="11" t="s">
        <v>436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437</v>
      </c>
      <c r="B150" s="4" t="s">
        <v>487</v>
      </c>
      <c r="C150" s="11">
        <v>1</v>
      </c>
      <c r="D150" s="4" t="s">
        <v>284</v>
      </c>
      <c r="E150" s="4" t="s">
        <v>285</v>
      </c>
      <c r="F150" s="4" t="s">
        <v>435</v>
      </c>
      <c r="G150" s="11">
        <v>2</v>
      </c>
      <c r="H150" s="11"/>
      <c r="I150" s="11">
        <v>4</v>
      </c>
      <c r="J150" s="11"/>
      <c r="K150" s="11"/>
      <c r="L150" s="11"/>
      <c r="M150" s="11"/>
      <c r="N150" s="11"/>
      <c r="O150" s="11" t="s">
        <v>436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437</v>
      </c>
      <c r="B151" s="4" t="s">
        <v>487</v>
      </c>
      <c r="C151" s="11">
        <v>2</v>
      </c>
      <c r="D151" s="4" t="s">
        <v>371</v>
      </c>
      <c r="E151" s="4" t="s">
        <v>372</v>
      </c>
      <c r="F151" s="4" t="s">
        <v>453</v>
      </c>
      <c r="G151" s="11">
        <v>2</v>
      </c>
      <c r="H151" s="11"/>
      <c r="I151" s="11">
        <v>4</v>
      </c>
      <c r="J151" s="11"/>
      <c r="K151" s="11"/>
      <c r="L151" s="11"/>
      <c r="M151" s="11"/>
      <c r="N151" s="11"/>
      <c r="O151" s="11" t="s">
        <v>436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x14ac:dyDescent="0.3">
      <c r="A152" s="4" t="s">
        <v>437</v>
      </c>
      <c r="B152" s="4" t="s">
        <v>487</v>
      </c>
      <c r="C152" s="11">
        <v>3</v>
      </c>
      <c r="D152" s="4" t="s">
        <v>399</v>
      </c>
      <c r="E152" s="4" t="s">
        <v>488</v>
      </c>
      <c r="F152" s="4" t="s">
        <v>453</v>
      </c>
      <c r="G152" s="11">
        <v>2</v>
      </c>
      <c r="H152" s="11"/>
      <c r="I152" s="11">
        <v>4</v>
      </c>
      <c r="J152" s="11"/>
      <c r="K152" s="11"/>
      <c r="L152" s="11"/>
      <c r="M152" s="11"/>
      <c r="N152" s="11"/>
      <c r="O152" s="11" t="s">
        <v>436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x14ac:dyDescent="0.3">
      <c r="A153" s="4" t="s">
        <v>437</v>
      </c>
      <c r="B153" s="4" t="s">
        <v>487</v>
      </c>
      <c r="C153" s="11">
        <v>4</v>
      </c>
      <c r="D153" s="4" t="s">
        <v>399</v>
      </c>
      <c r="E153" s="4" t="s">
        <v>488</v>
      </c>
      <c r="F153" s="4" t="s">
        <v>453</v>
      </c>
      <c r="G153" s="11">
        <v>2</v>
      </c>
      <c r="H153" s="11"/>
      <c r="I153" s="11">
        <v>4</v>
      </c>
      <c r="J153" s="11"/>
      <c r="K153" s="11"/>
      <c r="L153" s="11"/>
      <c r="M153" s="11"/>
      <c r="N153" s="11"/>
      <c r="O153" s="11" t="s">
        <v>436</v>
      </c>
      <c r="P153" s="9"/>
      <c r="Q153" s="5" t="str">
        <f>IFERROR(VLOOKUP($D153,LISTINO!$B:$I,6,FALSE),IFERROR(VLOOKUP($E153,LISTINO!$C:$I,5,FALSE),""))</f>
        <v/>
      </c>
      <c r="R153" s="12" t="str">
        <f t="shared" si="2"/>
        <v/>
      </c>
    </row>
    <row r="154" spans="1:18" x14ac:dyDescent="0.3">
      <c r="A154" s="4" t="s">
        <v>437</v>
      </c>
      <c r="B154" s="4" t="s">
        <v>487</v>
      </c>
      <c r="C154" s="11">
        <v>5</v>
      </c>
      <c r="D154" s="4" t="s">
        <v>389</v>
      </c>
      <c r="E154" s="4" t="s">
        <v>390</v>
      </c>
      <c r="F154" s="4" t="s">
        <v>453</v>
      </c>
      <c r="G154" s="11">
        <v>2</v>
      </c>
      <c r="H154" s="11"/>
      <c r="I154" s="11">
        <v>4</v>
      </c>
      <c r="J154" s="11"/>
      <c r="K154" s="11"/>
      <c r="L154" s="11"/>
      <c r="M154" s="11"/>
      <c r="N154" s="11"/>
      <c r="O154" s="11" t="s">
        <v>436</v>
      </c>
      <c r="P154" s="9"/>
      <c r="Q154" s="5" t="str">
        <f>IFERROR(VLOOKUP($D154,LISTINO!$B:$I,6,FALSE),IFERROR(VLOOKUP($E154,LISTINO!$C:$I,5,FALSE),""))</f>
        <v/>
      </c>
      <c r="R154" s="12" t="str">
        <f t="shared" si="2"/>
        <v/>
      </c>
    </row>
    <row r="155" spans="1:18" x14ac:dyDescent="0.3">
      <c r="A155" s="4" t="s">
        <v>437</v>
      </c>
      <c r="B155" s="4" t="s">
        <v>487</v>
      </c>
      <c r="C155" s="11">
        <v>6</v>
      </c>
      <c r="D155" s="4" t="s">
        <v>352</v>
      </c>
      <c r="E155" s="4" t="s">
        <v>353</v>
      </c>
      <c r="F155" s="4" t="s">
        <v>453</v>
      </c>
      <c r="G155" s="11">
        <v>8</v>
      </c>
      <c r="H155" s="11"/>
      <c r="I155" s="11">
        <v>16</v>
      </c>
      <c r="J155" s="11"/>
      <c r="K155" s="11"/>
      <c r="L155" s="11"/>
      <c r="M155" s="11"/>
      <c r="N155" s="11"/>
      <c r="O155" s="11" t="s">
        <v>436</v>
      </c>
      <c r="P155" s="9"/>
      <c r="Q155" s="5" t="str">
        <f>IFERROR(VLOOKUP($D155,LISTINO!$B:$I,6,FALSE),IFERROR(VLOOKUP($E155,LISTINO!$C:$I,5,FALSE),""))</f>
        <v/>
      </c>
      <c r="R155" s="12" t="str">
        <f t="shared" si="2"/>
        <v/>
      </c>
    </row>
    <row r="156" spans="1:18" x14ac:dyDescent="0.3">
      <c r="A156" s="4" t="s">
        <v>437</v>
      </c>
      <c r="B156" s="4" t="s">
        <v>487</v>
      </c>
      <c r="C156" s="11">
        <v>7</v>
      </c>
      <c r="D156" s="4" t="s">
        <v>391</v>
      </c>
      <c r="E156" s="4" t="s">
        <v>489</v>
      </c>
      <c r="F156" s="4" t="s">
        <v>453</v>
      </c>
      <c r="G156" s="11">
        <v>8</v>
      </c>
      <c r="H156" s="11"/>
      <c r="I156" s="11">
        <v>16</v>
      </c>
      <c r="J156" s="11"/>
      <c r="K156" s="11"/>
      <c r="L156" s="11"/>
      <c r="M156" s="11"/>
      <c r="N156" s="11"/>
      <c r="O156" s="11" t="s">
        <v>436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x14ac:dyDescent="0.3">
      <c r="A157" s="4" t="s">
        <v>437</v>
      </c>
      <c r="B157" s="4" t="s">
        <v>487</v>
      </c>
      <c r="C157" s="11">
        <v>8</v>
      </c>
      <c r="D157" s="4" t="s">
        <v>391</v>
      </c>
      <c r="E157" s="4" t="s">
        <v>489</v>
      </c>
      <c r="F157" s="4" t="s">
        <v>453</v>
      </c>
      <c r="G157" s="11">
        <v>8</v>
      </c>
      <c r="H157" s="11"/>
      <c r="I157" s="11">
        <v>16</v>
      </c>
      <c r="J157" s="11"/>
      <c r="K157" s="11"/>
      <c r="L157" s="11"/>
      <c r="M157" s="11"/>
      <c r="N157" s="11"/>
      <c r="O157" s="11" t="s">
        <v>436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437</v>
      </c>
      <c r="B158" s="4" t="s">
        <v>487</v>
      </c>
      <c r="C158" s="11">
        <v>9</v>
      </c>
      <c r="D158" s="4" t="s">
        <v>381</v>
      </c>
      <c r="E158" s="4" t="s">
        <v>382</v>
      </c>
      <c r="F158" s="4" t="s">
        <v>453</v>
      </c>
      <c r="G158" s="11">
        <v>8</v>
      </c>
      <c r="H158" s="11"/>
      <c r="I158" s="11">
        <v>16</v>
      </c>
      <c r="J158" s="11"/>
      <c r="K158" s="11"/>
      <c r="L158" s="11"/>
      <c r="M158" s="11"/>
      <c r="N158" s="11"/>
      <c r="O158" s="11" t="s">
        <v>436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437</v>
      </c>
      <c r="B159" s="4" t="s">
        <v>490</v>
      </c>
      <c r="C159" s="11"/>
      <c r="D159" s="4" t="s">
        <v>232</v>
      </c>
      <c r="E159" s="4" t="s">
        <v>233</v>
      </c>
      <c r="F159" s="4" t="s">
        <v>435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436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437</v>
      </c>
      <c r="B160" s="4" t="s">
        <v>490</v>
      </c>
      <c r="C160" s="11"/>
      <c r="D160" s="4" t="s">
        <v>252</v>
      </c>
      <c r="E160" s="4" t="s">
        <v>253</v>
      </c>
      <c r="F160" s="4" t="s">
        <v>435</v>
      </c>
      <c r="G160" s="11">
        <v>2</v>
      </c>
      <c r="H160" s="11"/>
      <c r="I160" s="11"/>
      <c r="J160" s="11"/>
      <c r="K160" s="11"/>
      <c r="L160" s="11"/>
      <c r="M160" s="11"/>
      <c r="N160" s="11"/>
      <c r="O160" s="11" t="s">
        <v>436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437</v>
      </c>
      <c r="B161" s="4" t="s">
        <v>490</v>
      </c>
      <c r="C161" s="11"/>
      <c r="D161" s="4" t="s">
        <v>254</v>
      </c>
      <c r="E161" s="4" t="s">
        <v>255</v>
      </c>
      <c r="F161" s="4" t="s">
        <v>435</v>
      </c>
      <c r="G161" s="11">
        <v>0</v>
      </c>
      <c r="H161" s="11"/>
      <c r="I161" s="11"/>
      <c r="J161" s="11"/>
      <c r="K161" s="11"/>
      <c r="L161" s="11"/>
      <c r="M161" s="11"/>
      <c r="N161" s="11"/>
      <c r="O161" s="11" t="s">
        <v>436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437</v>
      </c>
      <c r="B162" s="4" t="s">
        <v>490</v>
      </c>
      <c r="C162" s="11">
        <v>1</v>
      </c>
      <c r="D162" s="4" t="s">
        <v>284</v>
      </c>
      <c r="E162" s="4" t="s">
        <v>285</v>
      </c>
      <c r="F162" s="4" t="s">
        <v>435</v>
      </c>
      <c r="G162" s="11">
        <v>2</v>
      </c>
      <c r="H162" s="11"/>
      <c r="I162" s="11"/>
      <c r="J162" s="11">
        <v>4</v>
      </c>
      <c r="K162" s="11"/>
      <c r="L162" s="11"/>
      <c r="M162" s="11"/>
      <c r="N162" s="11"/>
      <c r="O162" s="11" t="s">
        <v>436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437</v>
      </c>
      <c r="B163" s="4" t="s">
        <v>490</v>
      </c>
      <c r="C163" s="11">
        <v>2</v>
      </c>
      <c r="D163" s="4" t="s">
        <v>371</v>
      </c>
      <c r="E163" s="4" t="s">
        <v>372</v>
      </c>
      <c r="F163" s="4" t="s">
        <v>453</v>
      </c>
      <c r="G163" s="11">
        <v>2</v>
      </c>
      <c r="H163" s="11"/>
      <c r="I163" s="11"/>
      <c r="J163" s="11">
        <v>4</v>
      </c>
      <c r="K163" s="11"/>
      <c r="L163" s="11"/>
      <c r="M163" s="11"/>
      <c r="N163" s="11"/>
      <c r="O163" s="11" t="s">
        <v>436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437</v>
      </c>
      <c r="B164" s="4" t="s">
        <v>490</v>
      </c>
      <c r="C164" s="11">
        <v>3</v>
      </c>
      <c r="D164" s="4" t="s">
        <v>399</v>
      </c>
      <c r="E164" s="4" t="s">
        <v>488</v>
      </c>
      <c r="F164" s="4" t="s">
        <v>453</v>
      </c>
      <c r="G164" s="11">
        <v>2</v>
      </c>
      <c r="H164" s="11"/>
      <c r="I164" s="11"/>
      <c r="J164" s="11">
        <v>4</v>
      </c>
      <c r="K164" s="11"/>
      <c r="L164" s="11"/>
      <c r="M164" s="11"/>
      <c r="N164" s="11"/>
      <c r="O164" s="11" t="s">
        <v>436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437</v>
      </c>
      <c r="B165" s="4" t="s">
        <v>490</v>
      </c>
      <c r="C165" s="11">
        <v>4</v>
      </c>
      <c r="D165" s="4" t="s">
        <v>399</v>
      </c>
      <c r="E165" s="4" t="s">
        <v>488</v>
      </c>
      <c r="F165" s="4" t="s">
        <v>453</v>
      </c>
      <c r="G165" s="11">
        <v>2</v>
      </c>
      <c r="H165" s="11"/>
      <c r="I165" s="11"/>
      <c r="J165" s="11">
        <v>4</v>
      </c>
      <c r="K165" s="11"/>
      <c r="L165" s="11"/>
      <c r="M165" s="11"/>
      <c r="N165" s="11"/>
      <c r="O165" s="11" t="s">
        <v>436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x14ac:dyDescent="0.3">
      <c r="A166" s="4" t="s">
        <v>437</v>
      </c>
      <c r="B166" s="4" t="s">
        <v>490</v>
      </c>
      <c r="C166" s="11">
        <v>5</v>
      </c>
      <c r="D166" s="4" t="s">
        <v>389</v>
      </c>
      <c r="E166" s="4" t="s">
        <v>390</v>
      </c>
      <c r="F166" s="4" t="s">
        <v>453</v>
      </c>
      <c r="G166" s="11">
        <v>2</v>
      </c>
      <c r="H166" s="11"/>
      <c r="I166" s="11"/>
      <c r="J166" s="11">
        <v>4</v>
      </c>
      <c r="K166" s="11"/>
      <c r="L166" s="11"/>
      <c r="M166" s="11"/>
      <c r="N166" s="11"/>
      <c r="O166" s="11" t="s">
        <v>436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x14ac:dyDescent="0.3">
      <c r="A167" s="4" t="s">
        <v>437</v>
      </c>
      <c r="B167" s="4" t="s">
        <v>490</v>
      </c>
      <c r="C167" s="11">
        <v>6</v>
      </c>
      <c r="D167" s="4" t="s">
        <v>352</v>
      </c>
      <c r="E167" s="4" t="s">
        <v>353</v>
      </c>
      <c r="F167" s="4" t="s">
        <v>453</v>
      </c>
      <c r="G167" s="11">
        <v>8</v>
      </c>
      <c r="H167" s="11"/>
      <c r="I167" s="11"/>
      <c r="J167" s="11">
        <v>16</v>
      </c>
      <c r="K167" s="11"/>
      <c r="L167" s="11"/>
      <c r="M167" s="11"/>
      <c r="N167" s="11"/>
      <c r="O167" s="11" t="s">
        <v>436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x14ac:dyDescent="0.3">
      <c r="A168" s="4" t="s">
        <v>437</v>
      </c>
      <c r="B168" s="4" t="s">
        <v>490</v>
      </c>
      <c r="C168" s="11">
        <v>7</v>
      </c>
      <c r="D168" s="4" t="s">
        <v>391</v>
      </c>
      <c r="E168" s="4" t="s">
        <v>489</v>
      </c>
      <c r="F168" s="4" t="s">
        <v>453</v>
      </c>
      <c r="G168" s="11">
        <v>8</v>
      </c>
      <c r="H168" s="11"/>
      <c r="I168" s="11"/>
      <c r="J168" s="11">
        <v>16</v>
      </c>
      <c r="K168" s="11"/>
      <c r="L168" s="11"/>
      <c r="M168" s="11"/>
      <c r="N168" s="11"/>
      <c r="O168" s="11" t="s">
        <v>436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437</v>
      </c>
      <c r="B169" s="4" t="s">
        <v>490</v>
      </c>
      <c r="C169" s="11">
        <v>8</v>
      </c>
      <c r="D169" s="4" t="s">
        <v>391</v>
      </c>
      <c r="E169" s="4" t="s">
        <v>489</v>
      </c>
      <c r="F169" s="4" t="s">
        <v>453</v>
      </c>
      <c r="G169" s="11">
        <v>8</v>
      </c>
      <c r="H169" s="11"/>
      <c r="I169" s="11"/>
      <c r="J169" s="11">
        <v>16</v>
      </c>
      <c r="K169" s="11"/>
      <c r="L169" s="11"/>
      <c r="M169" s="11"/>
      <c r="N169" s="11"/>
      <c r="O169" s="11" t="s">
        <v>436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x14ac:dyDescent="0.3">
      <c r="A170" s="4" t="s">
        <v>437</v>
      </c>
      <c r="B170" s="4" t="s">
        <v>490</v>
      </c>
      <c r="C170" s="11">
        <v>9</v>
      </c>
      <c r="D170" s="4" t="s">
        <v>381</v>
      </c>
      <c r="E170" s="4" t="s">
        <v>382</v>
      </c>
      <c r="F170" s="4" t="s">
        <v>453</v>
      </c>
      <c r="G170" s="11">
        <v>8</v>
      </c>
      <c r="H170" s="11"/>
      <c r="I170" s="11"/>
      <c r="J170" s="11">
        <v>16</v>
      </c>
      <c r="K170" s="11"/>
      <c r="L170" s="11"/>
      <c r="M170" s="11"/>
      <c r="N170" s="11"/>
      <c r="O170" s="11" t="s">
        <v>436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437</v>
      </c>
      <c r="B171" s="4" t="s">
        <v>491</v>
      </c>
      <c r="C171" s="11"/>
      <c r="D171" s="4" t="s">
        <v>240</v>
      </c>
      <c r="E171" s="4" t="s">
        <v>241</v>
      </c>
      <c r="F171" s="4" t="s">
        <v>435</v>
      </c>
      <c r="G171" s="11">
        <v>2</v>
      </c>
      <c r="H171" s="11"/>
      <c r="I171" s="11"/>
      <c r="J171" s="11"/>
      <c r="K171" s="11"/>
      <c r="L171" s="11"/>
      <c r="M171" s="11"/>
      <c r="N171" s="11"/>
      <c r="O171" s="11" t="s">
        <v>436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437</v>
      </c>
      <c r="B172" s="4" t="s">
        <v>491</v>
      </c>
      <c r="C172" s="11"/>
      <c r="D172" s="4" t="s">
        <v>242</v>
      </c>
      <c r="E172" s="4" t="s">
        <v>243</v>
      </c>
      <c r="F172" s="4" t="s">
        <v>435</v>
      </c>
      <c r="G172" s="11">
        <v>0</v>
      </c>
      <c r="H172" s="11"/>
      <c r="I172" s="11"/>
      <c r="J172" s="11"/>
      <c r="K172" s="11"/>
      <c r="L172" s="11"/>
      <c r="M172" s="11"/>
      <c r="N172" s="11"/>
      <c r="O172" s="11" t="s">
        <v>436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437</v>
      </c>
      <c r="B173" s="4" t="s">
        <v>491</v>
      </c>
      <c r="C173" s="11"/>
      <c r="D173" s="4" t="s">
        <v>248</v>
      </c>
      <c r="E173" s="4" t="s">
        <v>249</v>
      </c>
      <c r="F173" s="4" t="s">
        <v>435</v>
      </c>
      <c r="G173" s="11">
        <v>2</v>
      </c>
      <c r="H173" s="11"/>
      <c r="I173" s="11"/>
      <c r="J173" s="11"/>
      <c r="K173" s="11"/>
      <c r="L173" s="11"/>
      <c r="M173" s="11"/>
      <c r="N173" s="11"/>
      <c r="O173" s="11" t="s">
        <v>436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437</v>
      </c>
      <c r="B174" s="4" t="s">
        <v>491</v>
      </c>
      <c r="C174" s="11"/>
      <c r="D174" s="4" t="s">
        <v>250</v>
      </c>
      <c r="E174" s="4" t="s">
        <v>251</v>
      </c>
      <c r="F174" s="4" t="s">
        <v>435</v>
      </c>
      <c r="G174" s="11">
        <v>0</v>
      </c>
      <c r="H174" s="11"/>
      <c r="I174" s="11"/>
      <c r="J174" s="11"/>
      <c r="K174" s="11"/>
      <c r="L174" s="11"/>
      <c r="M174" s="11"/>
      <c r="N174" s="11"/>
      <c r="O174" s="11" t="s">
        <v>436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437</v>
      </c>
      <c r="B175" s="4" t="s">
        <v>491</v>
      </c>
      <c r="C175" s="11">
        <v>1</v>
      </c>
      <c r="D175" s="4" t="s">
        <v>284</v>
      </c>
      <c r="E175" s="4" t="s">
        <v>285</v>
      </c>
      <c r="F175" s="4" t="s">
        <v>435</v>
      </c>
      <c r="G175" s="11">
        <v>2</v>
      </c>
      <c r="H175" s="11"/>
      <c r="I175" s="11"/>
      <c r="J175" s="11"/>
      <c r="K175" s="11">
        <v>4</v>
      </c>
      <c r="L175" s="11"/>
      <c r="M175" s="11"/>
      <c r="N175" s="11"/>
      <c r="O175" s="11" t="s">
        <v>436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437</v>
      </c>
      <c r="B176" s="4" t="s">
        <v>491</v>
      </c>
      <c r="C176" s="11">
        <v>2</v>
      </c>
      <c r="D176" s="4" t="s">
        <v>371</v>
      </c>
      <c r="E176" s="4" t="s">
        <v>372</v>
      </c>
      <c r="F176" s="4" t="s">
        <v>453</v>
      </c>
      <c r="G176" s="11">
        <v>2</v>
      </c>
      <c r="H176" s="11"/>
      <c r="I176" s="11"/>
      <c r="J176" s="11"/>
      <c r="K176" s="11">
        <v>4</v>
      </c>
      <c r="L176" s="11"/>
      <c r="M176" s="11"/>
      <c r="N176" s="11"/>
      <c r="O176" s="11" t="s">
        <v>436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437</v>
      </c>
      <c r="B177" s="4" t="s">
        <v>491</v>
      </c>
      <c r="C177" s="11">
        <v>3</v>
      </c>
      <c r="D177" s="4" t="s">
        <v>399</v>
      </c>
      <c r="E177" s="4" t="s">
        <v>488</v>
      </c>
      <c r="F177" s="4" t="s">
        <v>453</v>
      </c>
      <c r="G177" s="11">
        <v>2</v>
      </c>
      <c r="H177" s="11"/>
      <c r="I177" s="11"/>
      <c r="J177" s="11"/>
      <c r="K177" s="11">
        <v>4</v>
      </c>
      <c r="L177" s="11"/>
      <c r="M177" s="11"/>
      <c r="N177" s="11"/>
      <c r="O177" s="11" t="s">
        <v>436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437</v>
      </c>
      <c r="B178" s="4" t="s">
        <v>491</v>
      </c>
      <c r="C178" s="11">
        <v>4</v>
      </c>
      <c r="D178" s="4" t="s">
        <v>399</v>
      </c>
      <c r="E178" s="4" t="s">
        <v>488</v>
      </c>
      <c r="F178" s="4" t="s">
        <v>453</v>
      </c>
      <c r="G178" s="11">
        <v>2</v>
      </c>
      <c r="H178" s="11"/>
      <c r="I178" s="11"/>
      <c r="J178" s="11"/>
      <c r="K178" s="11">
        <v>4</v>
      </c>
      <c r="L178" s="11"/>
      <c r="M178" s="11"/>
      <c r="N178" s="11"/>
      <c r="O178" s="11" t="s">
        <v>436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x14ac:dyDescent="0.3">
      <c r="A179" s="4" t="s">
        <v>437</v>
      </c>
      <c r="B179" s="4" t="s">
        <v>491</v>
      </c>
      <c r="C179" s="11">
        <v>5</v>
      </c>
      <c r="D179" s="4" t="s">
        <v>389</v>
      </c>
      <c r="E179" s="4" t="s">
        <v>390</v>
      </c>
      <c r="F179" s="4" t="s">
        <v>453</v>
      </c>
      <c r="G179" s="11">
        <v>2</v>
      </c>
      <c r="H179" s="11"/>
      <c r="I179" s="11"/>
      <c r="J179" s="11"/>
      <c r="K179" s="11">
        <v>4</v>
      </c>
      <c r="L179" s="11"/>
      <c r="M179" s="11"/>
      <c r="N179" s="11"/>
      <c r="O179" s="11" t="s">
        <v>436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x14ac:dyDescent="0.3">
      <c r="A180" s="4" t="s">
        <v>437</v>
      </c>
      <c r="B180" s="4" t="s">
        <v>491</v>
      </c>
      <c r="C180" s="11">
        <v>6</v>
      </c>
      <c r="D180" s="4" t="s">
        <v>352</v>
      </c>
      <c r="E180" s="4" t="s">
        <v>353</v>
      </c>
      <c r="F180" s="4" t="s">
        <v>453</v>
      </c>
      <c r="G180" s="11">
        <v>8</v>
      </c>
      <c r="H180" s="11"/>
      <c r="I180" s="11"/>
      <c r="J180" s="11"/>
      <c r="K180" s="11">
        <v>16</v>
      </c>
      <c r="L180" s="11"/>
      <c r="M180" s="11"/>
      <c r="N180" s="11"/>
      <c r="O180" s="11" t="s">
        <v>436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x14ac:dyDescent="0.3">
      <c r="A181" s="4" t="s">
        <v>437</v>
      </c>
      <c r="B181" s="4" t="s">
        <v>491</v>
      </c>
      <c r="C181" s="11">
        <v>7</v>
      </c>
      <c r="D181" s="4" t="s">
        <v>391</v>
      </c>
      <c r="E181" s="4" t="s">
        <v>489</v>
      </c>
      <c r="F181" s="4" t="s">
        <v>453</v>
      </c>
      <c r="G181" s="11">
        <v>8</v>
      </c>
      <c r="H181" s="11"/>
      <c r="I181" s="11"/>
      <c r="J181" s="11"/>
      <c r="K181" s="11">
        <v>16</v>
      </c>
      <c r="L181" s="11"/>
      <c r="M181" s="11"/>
      <c r="N181" s="11"/>
      <c r="O181" s="11" t="s">
        <v>436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437</v>
      </c>
      <c r="B182" s="4" t="s">
        <v>491</v>
      </c>
      <c r="C182" s="11">
        <v>8</v>
      </c>
      <c r="D182" s="4" t="s">
        <v>391</v>
      </c>
      <c r="E182" s="4" t="s">
        <v>489</v>
      </c>
      <c r="F182" s="4" t="s">
        <v>453</v>
      </c>
      <c r="G182" s="11">
        <v>8</v>
      </c>
      <c r="H182" s="11"/>
      <c r="I182" s="11"/>
      <c r="J182" s="11"/>
      <c r="K182" s="11">
        <v>16</v>
      </c>
      <c r="L182" s="11"/>
      <c r="M182" s="11"/>
      <c r="N182" s="11"/>
      <c r="O182" s="11" t="s">
        <v>436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x14ac:dyDescent="0.3">
      <c r="A183" s="4" t="s">
        <v>437</v>
      </c>
      <c r="B183" s="4" t="s">
        <v>491</v>
      </c>
      <c r="C183" s="11">
        <v>9</v>
      </c>
      <c r="D183" s="4" t="s">
        <v>381</v>
      </c>
      <c r="E183" s="4" t="s">
        <v>382</v>
      </c>
      <c r="F183" s="4" t="s">
        <v>453</v>
      </c>
      <c r="G183" s="11">
        <v>8</v>
      </c>
      <c r="H183" s="11"/>
      <c r="I183" s="11"/>
      <c r="J183" s="11"/>
      <c r="K183" s="11">
        <v>16</v>
      </c>
      <c r="L183" s="11"/>
      <c r="M183" s="11"/>
      <c r="N183" s="11"/>
      <c r="O183" s="11" t="s">
        <v>436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437</v>
      </c>
      <c r="B184" s="4" t="s">
        <v>492</v>
      </c>
      <c r="C184" s="11"/>
      <c r="D184" s="4" t="s">
        <v>240</v>
      </c>
      <c r="E184" s="4" t="s">
        <v>241</v>
      </c>
      <c r="F184" s="4" t="s">
        <v>435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436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437</v>
      </c>
      <c r="B185" s="4" t="s">
        <v>492</v>
      </c>
      <c r="C185" s="11"/>
      <c r="D185" s="4" t="s">
        <v>256</v>
      </c>
      <c r="E185" s="4" t="s">
        <v>257</v>
      </c>
      <c r="F185" s="4" t="s">
        <v>435</v>
      </c>
      <c r="G185" s="11">
        <v>2</v>
      </c>
      <c r="H185" s="11"/>
      <c r="I185" s="11"/>
      <c r="J185" s="11"/>
      <c r="K185" s="11"/>
      <c r="L185" s="11"/>
      <c r="M185" s="11"/>
      <c r="N185" s="11"/>
      <c r="O185" s="11" t="s">
        <v>436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437</v>
      </c>
      <c r="B186" s="4" t="s">
        <v>492</v>
      </c>
      <c r="C186" s="11"/>
      <c r="D186" s="4" t="s">
        <v>258</v>
      </c>
      <c r="E186" s="4" t="s">
        <v>259</v>
      </c>
      <c r="F186" s="4" t="s">
        <v>435</v>
      </c>
      <c r="G186" s="11">
        <v>0</v>
      </c>
      <c r="H186" s="11"/>
      <c r="I186" s="11"/>
      <c r="J186" s="11"/>
      <c r="K186" s="11"/>
      <c r="L186" s="11"/>
      <c r="M186" s="11"/>
      <c r="N186" s="11"/>
      <c r="O186" s="11" t="s">
        <v>436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437</v>
      </c>
      <c r="B187" s="4" t="s">
        <v>492</v>
      </c>
      <c r="C187" s="11"/>
      <c r="D187" s="4" t="s">
        <v>264</v>
      </c>
      <c r="E187" s="4" t="s">
        <v>265</v>
      </c>
      <c r="F187" s="4" t="s">
        <v>435</v>
      </c>
      <c r="G187" s="11">
        <v>2</v>
      </c>
      <c r="H187" s="11"/>
      <c r="I187" s="11"/>
      <c r="J187" s="11"/>
      <c r="K187" s="11"/>
      <c r="L187" s="11"/>
      <c r="M187" s="11"/>
      <c r="N187" s="11"/>
      <c r="O187" s="11" t="s">
        <v>436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437</v>
      </c>
      <c r="B188" s="4" t="s">
        <v>492</v>
      </c>
      <c r="C188" s="11"/>
      <c r="D188" s="4" t="s">
        <v>266</v>
      </c>
      <c r="E188" s="4" t="s">
        <v>267</v>
      </c>
      <c r="F188" s="4" t="s">
        <v>435</v>
      </c>
      <c r="G188" s="11">
        <v>0</v>
      </c>
      <c r="H188" s="11"/>
      <c r="I188" s="11"/>
      <c r="J188" s="11"/>
      <c r="K188" s="11"/>
      <c r="L188" s="11"/>
      <c r="M188" s="11"/>
      <c r="N188" s="11"/>
      <c r="O188" s="11" t="s">
        <v>436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437</v>
      </c>
      <c r="B189" s="4" t="s">
        <v>492</v>
      </c>
      <c r="C189" s="11">
        <v>1</v>
      </c>
      <c r="D189" s="4" t="s">
        <v>284</v>
      </c>
      <c r="E189" s="4" t="s">
        <v>285</v>
      </c>
      <c r="F189" s="4" t="s">
        <v>435</v>
      </c>
      <c r="G189" s="11">
        <v>2</v>
      </c>
      <c r="H189" s="11"/>
      <c r="I189" s="11"/>
      <c r="J189" s="11"/>
      <c r="K189" s="11"/>
      <c r="L189" s="11">
        <v>8</v>
      </c>
      <c r="M189" s="11"/>
      <c r="N189" s="11"/>
      <c r="O189" s="11" t="s">
        <v>436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437</v>
      </c>
      <c r="B190" s="4" t="s">
        <v>492</v>
      </c>
      <c r="C190" s="11">
        <v>2</v>
      </c>
      <c r="D190" s="4" t="s">
        <v>371</v>
      </c>
      <c r="E190" s="4" t="s">
        <v>372</v>
      </c>
      <c r="F190" s="4" t="s">
        <v>453</v>
      </c>
      <c r="G190" s="11">
        <v>2</v>
      </c>
      <c r="H190" s="11"/>
      <c r="I190" s="11"/>
      <c r="J190" s="11"/>
      <c r="K190" s="11"/>
      <c r="L190" s="11">
        <v>8</v>
      </c>
      <c r="M190" s="11"/>
      <c r="N190" s="11"/>
      <c r="O190" s="11" t="s">
        <v>436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437</v>
      </c>
      <c r="B191" s="4" t="s">
        <v>492</v>
      </c>
      <c r="C191" s="11">
        <v>3</v>
      </c>
      <c r="D191" s="4" t="s">
        <v>399</v>
      </c>
      <c r="E191" s="4" t="s">
        <v>488</v>
      </c>
      <c r="F191" s="4" t="s">
        <v>453</v>
      </c>
      <c r="G191" s="11">
        <v>2</v>
      </c>
      <c r="H191" s="11"/>
      <c r="I191" s="11"/>
      <c r="J191" s="11"/>
      <c r="K191" s="11"/>
      <c r="L191" s="11">
        <v>8</v>
      </c>
      <c r="M191" s="11"/>
      <c r="N191" s="11"/>
      <c r="O191" s="11" t="s">
        <v>436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437</v>
      </c>
      <c r="B192" s="4" t="s">
        <v>492</v>
      </c>
      <c r="C192" s="11">
        <v>4</v>
      </c>
      <c r="D192" s="4" t="s">
        <v>399</v>
      </c>
      <c r="E192" s="4" t="s">
        <v>488</v>
      </c>
      <c r="F192" s="4" t="s">
        <v>453</v>
      </c>
      <c r="G192" s="11">
        <v>2</v>
      </c>
      <c r="H192" s="11"/>
      <c r="I192" s="11"/>
      <c r="J192" s="11"/>
      <c r="K192" s="11"/>
      <c r="L192" s="11">
        <v>8</v>
      </c>
      <c r="M192" s="11"/>
      <c r="N192" s="11"/>
      <c r="O192" s="11" t="s">
        <v>436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x14ac:dyDescent="0.3">
      <c r="A193" s="4" t="s">
        <v>437</v>
      </c>
      <c r="B193" s="4" t="s">
        <v>492</v>
      </c>
      <c r="C193" s="11">
        <v>5</v>
      </c>
      <c r="D193" s="4" t="s">
        <v>389</v>
      </c>
      <c r="E193" s="4" t="s">
        <v>390</v>
      </c>
      <c r="F193" s="4" t="s">
        <v>453</v>
      </c>
      <c r="G193" s="11">
        <v>2</v>
      </c>
      <c r="H193" s="11"/>
      <c r="I193" s="11"/>
      <c r="J193" s="11"/>
      <c r="K193" s="11"/>
      <c r="L193" s="11">
        <v>8</v>
      </c>
      <c r="M193" s="11"/>
      <c r="N193" s="11"/>
      <c r="O193" s="11" t="s">
        <v>436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x14ac:dyDescent="0.3">
      <c r="A194" s="4" t="s">
        <v>437</v>
      </c>
      <c r="B194" s="4" t="s">
        <v>492</v>
      </c>
      <c r="C194" s="11">
        <v>6</v>
      </c>
      <c r="D194" s="4" t="s">
        <v>352</v>
      </c>
      <c r="E194" s="4" t="s">
        <v>353</v>
      </c>
      <c r="F194" s="4" t="s">
        <v>453</v>
      </c>
      <c r="G194" s="11">
        <v>8</v>
      </c>
      <c r="H194" s="11"/>
      <c r="I194" s="11"/>
      <c r="J194" s="11"/>
      <c r="K194" s="11"/>
      <c r="L194" s="11">
        <v>32</v>
      </c>
      <c r="M194" s="11"/>
      <c r="N194" s="11"/>
      <c r="O194" s="11" t="s">
        <v>436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x14ac:dyDescent="0.3">
      <c r="A195" s="4" t="s">
        <v>437</v>
      </c>
      <c r="B195" s="4" t="s">
        <v>492</v>
      </c>
      <c r="C195" s="11">
        <v>7</v>
      </c>
      <c r="D195" s="4" t="s">
        <v>391</v>
      </c>
      <c r="E195" s="4" t="s">
        <v>489</v>
      </c>
      <c r="F195" s="4" t="s">
        <v>453</v>
      </c>
      <c r="G195" s="11">
        <v>8</v>
      </c>
      <c r="H195" s="11"/>
      <c r="I195" s="11"/>
      <c r="J195" s="11"/>
      <c r="K195" s="11"/>
      <c r="L195" s="11">
        <v>32</v>
      </c>
      <c r="M195" s="11"/>
      <c r="N195" s="11"/>
      <c r="O195" s="11" t="s">
        <v>436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437</v>
      </c>
      <c r="B196" s="4" t="s">
        <v>492</v>
      </c>
      <c r="C196" s="11">
        <v>8</v>
      </c>
      <c r="D196" s="4" t="s">
        <v>391</v>
      </c>
      <c r="E196" s="4" t="s">
        <v>489</v>
      </c>
      <c r="F196" s="4" t="s">
        <v>453</v>
      </c>
      <c r="G196" s="11">
        <v>8</v>
      </c>
      <c r="H196" s="11"/>
      <c r="I196" s="11"/>
      <c r="J196" s="11"/>
      <c r="K196" s="11"/>
      <c r="L196" s="11">
        <v>32</v>
      </c>
      <c r="M196" s="11"/>
      <c r="N196" s="11"/>
      <c r="O196" s="11" t="s">
        <v>436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x14ac:dyDescent="0.3">
      <c r="A197" s="4" t="s">
        <v>437</v>
      </c>
      <c r="B197" s="4" t="s">
        <v>492</v>
      </c>
      <c r="C197" s="11">
        <v>9</v>
      </c>
      <c r="D197" s="4" t="s">
        <v>381</v>
      </c>
      <c r="E197" s="4" t="s">
        <v>382</v>
      </c>
      <c r="F197" s="4" t="s">
        <v>453</v>
      </c>
      <c r="G197" s="11">
        <v>8</v>
      </c>
      <c r="H197" s="11"/>
      <c r="I197" s="11"/>
      <c r="J197" s="11"/>
      <c r="K197" s="11"/>
      <c r="L197" s="11">
        <v>32</v>
      </c>
      <c r="M197" s="11"/>
      <c r="N197" s="11"/>
      <c r="O197" s="11" t="s">
        <v>436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437</v>
      </c>
      <c r="B198" s="4" t="s">
        <v>493</v>
      </c>
      <c r="C198" s="11"/>
      <c r="D198" s="4" t="s">
        <v>240</v>
      </c>
      <c r="E198" s="4" t="s">
        <v>241</v>
      </c>
      <c r="F198" s="4" t="s">
        <v>435</v>
      </c>
      <c r="G198" s="11">
        <v>2</v>
      </c>
      <c r="H198" s="11"/>
      <c r="I198" s="11"/>
      <c r="J198" s="11"/>
      <c r="K198" s="11"/>
      <c r="L198" s="11"/>
      <c r="M198" s="11"/>
      <c r="N198" s="11"/>
      <c r="O198" s="11" t="s">
        <v>436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437</v>
      </c>
      <c r="B199" s="4" t="s">
        <v>493</v>
      </c>
      <c r="C199" s="11"/>
      <c r="D199" s="4" t="s">
        <v>260</v>
      </c>
      <c r="E199" s="4" t="s">
        <v>261</v>
      </c>
      <c r="F199" s="4" t="s">
        <v>435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436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437</v>
      </c>
      <c r="B200" s="4" t="s">
        <v>493</v>
      </c>
      <c r="C200" s="11"/>
      <c r="D200" s="4" t="s">
        <v>262</v>
      </c>
      <c r="E200" s="4" t="s">
        <v>263</v>
      </c>
      <c r="F200" s="4" t="s">
        <v>435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436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437</v>
      </c>
      <c r="B201" s="4" t="s">
        <v>493</v>
      </c>
      <c r="C201" s="11"/>
      <c r="D201" s="4" t="s">
        <v>268</v>
      </c>
      <c r="E201" s="4" t="s">
        <v>269</v>
      </c>
      <c r="F201" s="4" t="s">
        <v>435</v>
      </c>
      <c r="G201" s="11">
        <v>2</v>
      </c>
      <c r="H201" s="11"/>
      <c r="I201" s="11"/>
      <c r="J201" s="11"/>
      <c r="K201" s="11"/>
      <c r="L201" s="11"/>
      <c r="M201" s="11"/>
      <c r="N201" s="11"/>
      <c r="O201" s="11" t="s">
        <v>436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437</v>
      </c>
      <c r="B202" s="4" t="s">
        <v>493</v>
      </c>
      <c r="C202" s="11"/>
      <c r="D202" s="4" t="s">
        <v>270</v>
      </c>
      <c r="E202" s="4" t="s">
        <v>271</v>
      </c>
      <c r="F202" s="4" t="s">
        <v>435</v>
      </c>
      <c r="G202" s="11">
        <v>0</v>
      </c>
      <c r="H202" s="11"/>
      <c r="I202" s="11"/>
      <c r="J202" s="11"/>
      <c r="K202" s="11"/>
      <c r="L202" s="11"/>
      <c r="M202" s="11"/>
      <c r="N202" s="11"/>
      <c r="O202" s="11" t="s">
        <v>436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437</v>
      </c>
      <c r="B203" s="4" t="s">
        <v>493</v>
      </c>
      <c r="C203" s="11"/>
      <c r="D203" s="4" t="s">
        <v>272</v>
      </c>
      <c r="E203" s="4" t="s">
        <v>273</v>
      </c>
      <c r="F203" s="4" t="s">
        <v>435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436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437</v>
      </c>
      <c r="B204" s="4" t="s">
        <v>493</v>
      </c>
      <c r="C204" s="11"/>
      <c r="D204" s="4" t="s">
        <v>274</v>
      </c>
      <c r="E204" s="4" t="s">
        <v>275</v>
      </c>
      <c r="F204" s="4" t="s">
        <v>435</v>
      </c>
      <c r="G204" s="11">
        <v>0</v>
      </c>
      <c r="H204" s="11"/>
      <c r="I204" s="11"/>
      <c r="J204" s="11"/>
      <c r="K204" s="11"/>
      <c r="L204" s="11"/>
      <c r="M204" s="11"/>
      <c r="N204" s="11"/>
      <c r="O204" s="11" t="s">
        <v>436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437</v>
      </c>
      <c r="B205" s="4" t="s">
        <v>493</v>
      </c>
      <c r="C205" s="11">
        <v>1</v>
      </c>
      <c r="D205" s="4" t="s">
        <v>284</v>
      </c>
      <c r="E205" s="4" t="s">
        <v>285</v>
      </c>
      <c r="F205" s="4" t="s">
        <v>435</v>
      </c>
      <c r="G205" s="11">
        <v>2</v>
      </c>
      <c r="H205" s="11"/>
      <c r="I205" s="11"/>
      <c r="J205" s="11"/>
      <c r="K205" s="11"/>
      <c r="L205" s="11"/>
      <c r="M205" s="11">
        <v>12</v>
      </c>
      <c r="N205" s="11"/>
      <c r="O205" s="11" t="s">
        <v>436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437</v>
      </c>
      <c r="B206" s="4" t="s">
        <v>493</v>
      </c>
      <c r="C206" s="11">
        <v>2</v>
      </c>
      <c r="D206" s="4" t="s">
        <v>371</v>
      </c>
      <c r="E206" s="4" t="s">
        <v>372</v>
      </c>
      <c r="F206" s="4" t="s">
        <v>453</v>
      </c>
      <c r="G206" s="11">
        <v>2</v>
      </c>
      <c r="H206" s="11"/>
      <c r="I206" s="11"/>
      <c r="J206" s="11"/>
      <c r="K206" s="11"/>
      <c r="L206" s="11"/>
      <c r="M206" s="11">
        <v>12</v>
      </c>
      <c r="N206" s="11"/>
      <c r="O206" s="11" t="s">
        <v>436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437</v>
      </c>
      <c r="B207" s="4" t="s">
        <v>493</v>
      </c>
      <c r="C207" s="11">
        <v>3</v>
      </c>
      <c r="D207" s="4" t="s">
        <v>399</v>
      </c>
      <c r="E207" s="4" t="s">
        <v>488</v>
      </c>
      <c r="F207" s="4" t="s">
        <v>453</v>
      </c>
      <c r="G207" s="11">
        <v>2</v>
      </c>
      <c r="H207" s="11"/>
      <c r="I207" s="11"/>
      <c r="J207" s="11"/>
      <c r="K207" s="11"/>
      <c r="L207" s="11"/>
      <c r="M207" s="11">
        <v>12</v>
      </c>
      <c r="N207" s="11"/>
      <c r="O207" s="11" t="s">
        <v>436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x14ac:dyDescent="0.3">
      <c r="A208" s="4" t="s">
        <v>437</v>
      </c>
      <c r="B208" s="4" t="s">
        <v>493</v>
      </c>
      <c r="C208" s="11">
        <v>4</v>
      </c>
      <c r="D208" s="4" t="s">
        <v>399</v>
      </c>
      <c r="E208" s="4" t="s">
        <v>488</v>
      </c>
      <c r="F208" s="4" t="s">
        <v>453</v>
      </c>
      <c r="G208" s="11">
        <v>2</v>
      </c>
      <c r="H208" s="11"/>
      <c r="I208" s="11"/>
      <c r="J208" s="11"/>
      <c r="K208" s="11"/>
      <c r="L208" s="11"/>
      <c r="M208" s="11">
        <v>12</v>
      </c>
      <c r="N208" s="11"/>
      <c r="O208" s="11" t="s">
        <v>436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x14ac:dyDescent="0.3">
      <c r="A209" s="4" t="s">
        <v>437</v>
      </c>
      <c r="B209" s="4" t="s">
        <v>493</v>
      </c>
      <c r="C209" s="11">
        <v>5</v>
      </c>
      <c r="D209" s="4" t="s">
        <v>389</v>
      </c>
      <c r="E209" s="4" t="s">
        <v>390</v>
      </c>
      <c r="F209" s="4" t="s">
        <v>453</v>
      </c>
      <c r="G209" s="11">
        <v>2</v>
      </c>
      <c r="H209" s="11"/>
      <c r="I209" s="11"/>
      <c r="J209" s="11"/>
      <c r="K209" s="11"/>
      <c r="L209" s="11"/>
      <c r="M209" s="11">
        <v>12</v>
      </c>
      <c r="N209" s="11"/>
      <c r="O209" s="11" t="s">
        <v>436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x14ac:dyDescent="0.3">
      <c r="A210" s="4" t="s">
        <v>437</v>
      </c>
      <c r="B210" s="4" t="s">
        <v>493</v>
      </c>
      <c r="C210" s="11">
        <v>6</v>
      </c>
      <c r="D210" s="4" t="s">
        <v>352</v>
      </c>
      <c r="E210" s="4" t="s">
        <v>353</v>
      </c>
      <c r="F210" s="4" t="s">
        <v>453</v>
      </c>
      <c r="G210" s="11">
        <v>8</v>
      </c>
      <c r="H210" s="11"/>
      <c r="I210" s="11"/>
      <c r="J210" s="11"/>
      <c r="K210" s="11"/>
      <c r="L210" s="11"/>
      <c r="M210" s="11">
        <v>16</v>
      </c>
      <c r="N210" s="11"/>
      <c r="O210" s="11" t="s">
        <v>436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x14ac:dyDescent="0.3">
      <c r="A211" s="4" t="s">
        <v>437</v>
      </c>
      <c r="B211" s="4" t="s">
        <v>493</v>
      </c>
      <c r="C211" s="11">
        <v>7</v>
      </c>
      <c r="D211" s="4" t="s">
        <v>391</v>
      </c>
      <c r="E211" s="4" t="s">
        <v>489</v>
      </c>
      <c r="F211" s="4" t="s">
        <v>453</v>
      </c>
      <c r="G211" s="11">
        <v>8</v>
      </c>
      <c r="H211" s="11"/>
      <c r="I211" s="11"/>
      <c r="J211" s="11"/>
      <c r="K211" s="11"/>
      <c r="L211" s="11"/>
      <c r="M211" s="11">
        <v>16</v>
      </c>
      <c r="N211" s="11"/>
      <c r="O211" s="11" t="s">
        <v>436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x14ac:dyDescent="0.3">
      <c r="A212" s="4" t="s">
        <v>437</v>
      </c>
      <c r="B212" s="4" t="s">
        <v>493</v>
      </c>
      <c r="C212" s="11">
        <v>8</v>
      </c>
      <c r="D212" s="4" t="s">
        <v>391</v>
      </c>
      <c r="E212" s="4" t="s">
        <v>489</v>
      </c>
      <c r="F212" s="4" t="s">
        <v>453</v>
      </c>
      <c r="G212" s="11">
        <v>8</v>
      </c>
      <c r="H212" s="11"/>
      <c r="I212" s="11"/>
      <c r="J212" s="11"/>
      <c r="K212" s="11"/>
      <c r="L212" s="11"/>
      <c r="M212" s="11">
        <v>16</v>
      </c>
      <c r="N212" s="11"/>
      <c r="O212" s="11" t="s">
        <v>436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x14ac:dyDescent="0.3">
      <c r="A213" s="4" t="s">
        <v>437</v>
      </c>
      <c r="B213" s="4" t="s">
        <v>493</v>
      </c>
      <c r="C213" s="11">
        <v>9</v>
      </c>
      <c r="D213" s="4" t="s">
        <v>381</v>
      </c>
      <c r="E213" s="4" t="s">
        <v>382</v>
      </c>
      <c r="F213" s="4" t="s">
        <v>453</v>
      </c>
      <c r="G213" s="11">
        <v>8</v>
      </c>
      <c r="H213" s="11"/>
      <c r="I213" s="11"/>
      <c r="J213" s="11"/>
      <c r="K213" s="11"/>
      <c r="L213" s="11"/>
      <c r="M213" s="11">
        <v>16</v>
      </c>
      <c r="N213" s="11"/>
      <c r="O213" s="11" t="s">
        <v>436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x14ac:dyDescent="0.3">
      <c r="A214" s="4" t="s">
        <v>438</v>
      </c>
      <c r="B214" s="4"/>
      <c r="C214" s="11">
        <v>1</v>
      </c>
      <c r="D214" s="4" t="s">
        <v>375</v>
      </c>
      <c r="E214" s="4" t="s">
        <v>376</v>
      </c>
      <c r="F214" s="4" t="s">
        <v>453</v>
      </c>
      <c r="G214" s="11">
        <v>4</v>
      </c>
      <c r="H214" s="11">
        <v>56</v>
      </c>
      <c r="I214" s="11">
        <v>80</v>
      </c>
      <c r="J214" s="11">
        <v>88</v>
      </c>
      <c r="K214" s="11">
        <v>96</v>
      </c>
      <c r="L214" s="11">
        <v>152</v>
      </c>
      <c r="M214" s="11">
        <v>168</v>
      </c>
      <c r="N214" s="11"/>
      <c r="O214" s="11" t="s">
        <v>436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438</v>
      </c>
      <c r="B215" s="4"/>
      <c r="C215" s="11">
        <v>2</v>
      </c>
      <c r="D215" s="4" t="s">
        <v>276</v>
      </c>
      <c r="E215" s="4" t="s">
        <v>277</v>
      </c>
      <c r="F215" s="4" t="s">
        <v>435</v>
      </c>
      <c r="G215" s="11">
        <v>2</v>
      </c>
      <c r="H215" s="11">
        <v>28</v>
      </c>
      <c r="I215" s="11">
        <v>40</v>
      </c>
      <c r="J215" s="11">
        <v>44</v>
      </c>
      <c r="K215" s="11">
        <v>48</v>
      </c>
      <c r="L215" s="11">
        <v>76</v>
      </c>
      <c r="M215" s="11">
        <v>84</v>
      </c>
      <c r="N215" s="11"/>
      <c r="O215" s="11" t="s">
        <v>436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438</v>
      </c>
      <c r="B216" s="4"/>
      <c r="C216" s="11">
        <v>3</v>
      </c>
      <c r="D216" s="4" t="s">
        <v>278</v>
      </c>
      <c r="E216" s="4" t="s">
        <v>279</v>
      </c>
      <c r="F216" s="4" t="s">
        <v>435</v>
      </c>
      <c r="G216" s="11">
        <v>2</v>
      </c>
      <c r="H216" s="11">
        <v>56</v>
      </c>
      <c r="I216" s="11">
        <v>40</v>
      </c>
      <c r="J216" s="11">
        <v>44</v>
      </c>
      <c r="K216" s="11">
        <v>48</v>
      </c>
      <c r="L216" s="11">
        <v>76</v>
      </c>
      <c r="M216" s="11">
        <v>84</v>
      </c>
      <c r="N216" s="11"/>
      <c r="O216" s="11" t="s">
        <v>436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438</v>
      </c>
      <c r="B217" s="4"/>
      <c r="C217" s="11">
        <v>4</v>
      </c>
      <c r="D217" s="4" t="s">
        <v>399</v>
      </c>
      <c r="E217" s="4" t="s">
        <v>488</v>
      </c>
      <c r="F217" s="4" t="s">
        <v>453</v>
      </c>
      <c r="G217" s="11">
        <v>4</v>
      </c>
      <c r="H217" s="11">
        <v>56</v>
      </c>
      <c r="I217" s="11">
        <v>80</v>
      </c>
      <c r="J217" s="11">
        <v>88</v>
      </c>
      <c r="K217" s="11">
        <v>96</v>
      </c>
      <c r="L217" s="11">
        <v>152</v>
      </c>
      <c r="M217" s="11">
        <v>168</v>
      </c>
      <c r="N217" s="11"/>
      <c r="O217" s="11" t="s">
        <v>436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438</v>
      </c>
      <c r="B218" s="4"/>
      <c r="C218" s="11">
        <v>5</v>
      </c>
      <c r="D218" s="4" t="s">
        <v>389</v>
      </c>
      <c r="E218" s="4" t="s">
        <v>390</v>
      </c>
      <c r="F218" s="4" t="s">
        <v>453</v>
      </c>
      <c r="G218" s="11">
        <v>4</v>
      </c>
      <c r="H218" s="11">
        <v>56</v>
      </c>
      <c r="I218" s="11">
        <v>80</v>
      </c>
      <c r="J218" s="11">
        <v>88</v>
      </c>
      <c r="K218" s="11">
        <v>96</v>
      </c>
      <c r="L218" s="11">
        <v>152</v>
      </c>
      <c r="M218" s="11">
        <v>168</v>
      </c>
      <c r="N218" s="11"/>
      <c r="O218" s="11" t="s">
        <v>436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438</v>
      </c>
      <c r="B219" s="4"/>
      <c r="C219" s="11">
        <v>6</v>
      </c>
      <c r="D219" s="4" t="s">
        <v>350</v>
      </c>
      <c r="E219" s="4" t="s">
        <v>351</v>
      </c>
      <c r="F219" s="4" t="s">
        <v>453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436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438</v>
      </c>
      <c r="B220" s="4"/>
      <c r="C220" s="11">
        <v>7</v>
      </c>
      <c r="D220" s="4" t="s">
        <v>391</v>
      </c>
      <c r="E220" s="4" t="s">
        <v>489</v>
      </c>
      <c r="F220" s="4" t="s">
        <v>453</v>
      </c>
      <c r="G220" s="11">
        <v>4</v>
      </c>
      <c r="H220" s="11">
        <v>56</v>
      </c>
      <c r="I220" s="11">
        <v>80</v>
      </c>
      <c r="J220" s="11">
        <v>88</v>
      </c>
      <c r="K220" s="11">
        <v>96</v>
      </c>
      <c r="L220" s="11">
        <v>152</v>
      </c>
      <c r="M220" s="11">
        <v>168</v>
      </c>
      <c r="N220" s="11"/>
      <c r="O220" s="11" t="s">
        <v>436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438</v>
      </c>
      <c r="B221" s="4"/>
      <c r="C221" s="11">
        <v>8</v>
      </c>
      <c r="D221" s="4" t="s">
        <v>389</v>
      </c>
      <c r="E221" s="4" t="s">
        <v>390</v>
      </c>
      <c r="F221" s="4" t="s">
        <v>453</v>
      </c>
      <c r="G221" s="11">
        <v>4</v>
      </c>
      <c r="H221" s="11">
        <v>56</v>
      </c>
      <c r="I221" s="11">
        <v>80</v>
      </c>
      <c r="J221" s="11">
        <v>88</v>
      </c>
      <c r="K221" s="11">
        <v>96</v>
      </c>
      <c r="L221" s="11">
        <v>152</v>
      </c>
      <c r="M221" s="11">
        <v>168</v>
      </c>
      <c r="N221" s="11"/>
      <c r="O221" s="11" t="s">
        <v>436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438</v>
      </c>
      <c r="B222" s="4"/>
      <c r="C222" s="11">
        <v>9</v>
      </c>
      <c r="D222" s="4" t="s">
        <v>364</v>
      </c>
      <c r="E222" s="4" t="s">
        <v>365</v>
      </c>
      <c r="F222" s="4" t="s">
        <v>453</v>
      </c>
      <c r="G222" s="11">
        <v>2</v>
      </c>
      <c r="H222" s="11">
        <v>28</v>
      </c>
      <c r="I222" s="11">
        <v>40</v>
      </c>
      <c r="J222" s="11">
        <v>44</v>
      </c>
      <c r="K222" s="11">
        <v>48</v>
      </c>
      <c r="L222" s="11">
        <v>76</v>
      </c>
      <c r="M222" s="11">
        <v>336</v>
      </c>
      <c r="N222" s="11"/>
      <c r="O222" s="11" t="s">
        <v>436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438</v>
      </c>
      <c r="B223" s="4"/>
      <c r="C223" s="11">
        <v>10</v>
      </c>
      <c r="D223" s="4" t="s">
        <v>280</v>
      </c>
      <c r="E223" s="4" t="s">
        <v>281</v>
      </c>
      <c r="F223" s="4" t="s">
        <v>435</v>
      </c>
      <c r="G223" s="11">
        <v>1</v>
      </c>
      <c r="H223" s="11">
        <v>14</v>
      </c>
      <c r="I223" s="11">
        <v>20</v>
      </c>
      <c r="J223" s="11">
        <v>22</v>
      </c>
      <c r="K223" s="11">
        <v>24</v>
      </c>
      <c r="L223" s="11">
        <v>38</v>
      </c>
      <c r="M223" s="11">
        <v>42</v>
      </c>
      <c r="N223" s="11"/>
      <c r="O223" s="11" t="s">
        <v>436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438</v>
      </c>
      <c r="B224" s="4"/>
      <c r="C224" s="11">
        <v>11</v>
      </c>
      <c r="D224" s="4" t="s">
        <v>397</v>
      </c>
      <c r="E224" s="4" t="s">
        <v>398</v>
      </c>
      <c r="F224" s="4" t="s">
        <v>453</v>
      </c>
      <c r="G224" s="11">
        <v>2</v>
      </c>
      <c r="H224" s="11">
        <v>28</v>
      </c>
      <c r="I224" s="11">
        <v>40</v>
      </c>
      <c r="J224" s="11">
        <v>44</v>
      </c>
      <c r="K224" s="11">
        <v>48</v>
      </c>
      <c r="L224" s="11">
        <v>76</v>
      </c>
      <c r="M224" s="11">
        <v>84</v>
      </c>
      <c r="N224" s="11"/>
      <c r="O224" s="11" t="s">
        <v>436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438</v>
      </c>
      <c r="B225" s="4"/>
      <c r="C225" s="11">
        <v>12</v>
      </c>
      <c r="D225" s="4" t="s">
        <v>387</v>
      </c>
      <c r="E225" s="4" t="s">
        <v>388</v>
      </c>
      <c r="F225" s="4" t="s">
        <v>453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436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438</v>
      </c>
      <c r="B226" s="4"/>
      <c r="C226" s="11">
        <v>13</v>
      </c>
      <c r="D226" s="4" t="s">
        <v>282</v>
      </c>
      <c r="E226" s="4" t="s">
        <v>283</v>
      </c>
      <c r="F226" s="4" t="s">
        <v>435</v>
      </c>
      <c r="G226" s="11">
        <v>1</v>
      </c>
      <c r="H226" s="11">
        <v>14</v>
      </c>
      <c r="I226" s="11">
        <v>40</v>
      </c>
      <c r="J226" s="11">
        <v>22</v>
      </c>
      <c r="K226" s="11">
        <v>48</v>
      </c>
      <c r="L226" s="11">
        <v>38</v>
      </c>
      <c r="M226" s="11">
        <v>42</v>
      </c>
      <c r="N226" s="11"/>
      <c r="O226" s="11" t="s">
        <v>436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438</v>
      </c>
      <c r="B227" s="4"/>
      <c r="C227" s="11">
        <v>13</v>
      </c>
      <c r="D227" s="4" t="s">
        <v>439</v>
      </c>
      <c r="E227" s="4" t="s">
        <v>440</v>
      </c>
      <c r="F227" s="4" t="s">
        <v>435</v>
      </c>
      <c r="G227" s="11">
        <v>0</v>
      </c>
      <c r="H227" s="11"/>
      <c r="I227" s="11"/>
      <c r="J227" s="11"/>
      <c r="K227" s="11"/>
      <c r="L227" s="11"/>
      <c r="M227" s="11"/>
      <c r="N227" s="11"/>
      <c r="O227" s="11" t="s">
        <v>436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438</v>
      </c>
      <c r="B228" s="4"/>
      <c r="C228" s="11">
        <v>14</v>
      </c>
      <c r="D228" s="4" t="s">
        <v>399</v>
      </c>
      <c r="E228" s="4" t="s">
        <v>488</v>
      </c>
      <c r="F228" s="4" t="s">
        <v>453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436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438</v>
      </c>
      <c r="B229" s="4"/>
      <c r="C229" s="11">
        <v>15</v>
      </c>
      <c r="D229" s="4" t="s">
        <v>391</v>
      </c>
      <c r="E229" s="4" t="s">
        <v>489</v>
      </c>
      <c r="F229" s="4" t="s">
        <v>453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436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438</v>
      </c>
      <c r="B230" s="4"/>
      <c r="C230" s="11">
        <v>16</v>
      </c>
      <c r="D230" s="4" t="s">
        <v>397</v>
      </c>
      <c r="E230" s="4" t="s">
        <v>398</v>
      </c>
      <c r="F230" s="4" t="s">
        <v>453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436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t="s">
        <v>438</v>
      </c>
      <c r="C231" s="13">
        <v>1</v>
      </c>
      <c r="E231" t="s">
        <v>469</v>
      </c>
      <c r="F231" t="s">
        <v>468</v>
      </c>
      <c r="G231" s="13">
        <v>1</v>
      </c>
      <c r="H231" s="13">
        <v>12</v>
      </c>
      <c r="I231" s="13">
        <v>18</v>
      </c>
      <c r="J231" s="13">
        <v>20</v>
      </c>
      <c r="K231" s="13">
        <v>22</v>
      </c>
      <c r="L231" s="13">
        <v>36</v>
      </c>
      <c r="M231" s="13">
        <v>40</v>
      </c>
      <c r="N231" s="13"/>
      <c r="O231" s="13" t="s">
        <v>436</v>
      </c>
      <c r="P231" s="14"/>
      <c r="Q231" s="12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t="s">
        <v>438</v>
      </c>
      <c r="C232" s="13">
        <v>3</v>
      </c>
      <c r="D232" t="s">
        <v>399</v>
      </c>
      <c r="E232" s="6" t="s">
        <v>400</v>
      </c>
      <c r="F232" t="s">
        <v>453</v>
      </c>
      <c r="G232" s="13">
        <v>4</v>
      </c>
      <c r="H232" s="13">
        <v>12</v>
      </c>
      <c r="I232" s="13">
        <v>72</v>
      </c>
      <c r="J232" s="13">
        <v>80</v>
      </c>
      <c r="K232" s="13">
        <v>88</v>
      </c>
      <c r="L232" s="13">
        <v>144</v>
      </c>
      <c r="M232" s="13">
        <v>160</v>
      </c>
      <c r="N232" s="13"/>
      <c r="O232" s="13" t="s">
        <v>436</v>
      </c>
      <c r="P232" s="14"/>
      <c r="Q232" s="7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t="s">
        <v>438</v>
      </c>
      <c r="C233" s="13">
        <v>4</v>
      </c>
      <c r="D233" t="s">
        <v>375</v>
      </c>
      <c r="E233" t="s">
        <v>494</v>
      </c>
      <c r="F233" t="s">
        <v>453</v>
      </c>
      <c r="G233" s="13">
        <v>4</v>
      </c>
      <c r="H233" s="13">
        <v>48</v>
      </c>
      <c r="I233" s="13">
        <v>72</v>
      </c>
      <c r="J233" s="13">
        <v>80</v>
      </c>
      <c r="K233" s="13">
        <v>88</v>
      </c>
      <c r="L233" s="13">
        <v>144</v>
      </c>
      <c r="M233" s="13">
        <v>160</v>
      </c>
      <c r="N233" s="13"/>
      <c r="O233" s="13" t="s">
        <v>436</v>
      </c>
      <c r="P233" s="14"/>
      <c r="Q233" s="12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t="s">
        <v>438</v>
      </c>
      <c r="C234" s="13">
        <v>5</v>
      </c>
      <c r="D234" t="s">
        <v>399</v>
      </c>
      <c r="E234" t="s">
        <v>400</v>
      </c>
      <c r="F234" t="s">
        <v>453</v>
      </c>
      <c r="G234" s="13">
        <v>4</v>
      </c>
      <c r="H234" s="13">
        <v>48</v>
      </c>
      <c r="I234" s="13">
        <v>72</v>
      </c>
      <c r="J234" s="13">
        <v>80</v>
      </c>
      <c r="K234" s="13">
        <v>88</v>
      </c>
      <c r="L234" s="13">
        <v>144</v>
      </c>
      <c r="M234" s="13">
        <v>160</v>
      </c>
      <c r="N234" s="13"/>
      <c r="O234" s="13" t="s">
        <v>436</v>
      </c>
      <c r="P234" s="14"/>
      <c r="Q234" s="12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t="s">
        <v>438</v>
      </c>
      <c r="C235" s="13">
        <v>6</v>
      </c>
      <c r="D235" t="s">
        <v>379</v>
      </c>
      <c r="E235" t="s">
        <v>380</v>
      </c>
      <c r="F235" t="s">
        <v>453</v>
      </c>
      <c r="G235" s="13">
        <v>4</v>
      </c>
      <c r="H235" s="13">
        <v>48</v>
      </c>
      <c r="I235" s="13">
        <v>72</v>
      </c>
      <c r="J235" s="13">
        <v>80</v>
      </c>
      <c r="K235" s="13">
        <v>88</v>
      </c>
      <c r="L235" s="13">
        <v>144</v>
      </c>
      <c r="M235" s="13">
        <v>160</v>
      </c>
      <c r="N235" s="13"/>
      <c r="O235" s="13" t="s">
        <v>436</v>
      </c>
      <c r="P235" s="14"/>
      <c r="Q235" s="12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t="s">
        <v>438</v>
      </c>
      <c r="C236" s="13">
        <v>1</v>
      </c>
      <c r="E236" t="s">
        <v>467</v>
      </c>
      <c r="F236" t="s">
        <v>468</v>
      </c>
      <c r="G236" s="13">
        <v>1</v>
      </c>
      <c r="H236" s="13"/>
      <c r="I236" s="13"/>
      <c r="J236" s="13"/>
      <c r="K236" s="13"/>
      <c r="L236" s="13"/>
      <c r="M236" s="13"/>
      <c r="N236" s="13"/>
      <c r="O236" s="13" t="s">
        <v>436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t="s">
        <v>438</v>
      </c>
      <c r="C237" s="13">
        <v>3</v>
      </c>
      <c r="D237" t="s">
        <v>399</v>
      </c>
      <c r="E237" t="s">
        <v>400</v>
      </c>
      <c r="F237" t="s">
        <v>453</v>
      </c>
      <c r="G237" s="13">
        <v>4</v>
      </c>
      <c r="H237" s="13"/>
      <c r="I237" s="13"/>
      <c r="J237" s="13"/>
      <c r="K237" s="13"/>
      <c r="L237" s="13"/>
      <c r="M237" s="13"/>
      <c r="N237" s="13"/>
      <c r="O237" s="13" t="s">
        <v>436</v>
      </c>
      <c r="P237" s="14"/>
      <c r="Q237" s="12" t="str">
        <f>IFERROR(VLOOKUP($D237,LISTINO!$B:$I,6,FALSE),IFERROR(VLOOKUP($E237,LISTINO!$C:$I,5,FALSE),""))</f>
        <v/>
      </c>
      <c r="R237" s="12" t="str">
        <f t="shared" si="3"/>
        <v/>
      </c>
    </row>
    <row r="238" spans="1:18" x14ac:dyDescent="0.3">
      <c r="A238" t="s">
        <v>438</v>
      </c>
      <c r="C238" s="13">
        <v>4</v>
      </c>
      <c r="D238" t="s">
        <v>375</v>
      </c>
      <c r="E238" t="s">
        <v>494</v>
      </c>
      <c r="F238" t="s">
        <v>453</v>
      </c>
      <c r="G238" s="13">
        <v>4</v>
      </c>
      <c r="H238" s="13"/>
      <c r="I238" s="13"/>
      <c r="J238" s="13"/>
      <c r="K238" s="13"/>
      <c r="L238" s="13"/>
      <c r="M238" s="13"/>
      <c r="N238" s="13"/>
      <c r="O238" s="13" t="s">
        <v>436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t="s">
        <v>438</v>
      </c>
      <c r="C239" s="13">
        <v>5</v>
      </c>
      <c r="D239" t="s">
        <v>399</v>
      </c>
      <c r="E239" t="s">
        <v>400</v>
      </c>
      <c r="F239" t="s">
        <v>453</v>
      </c>
      <c r="G239" s="13">
        <v>4</v>
      </c>
      <c r="H239" s="13"/>
      <c r="I239" s="13"/>
      <c r="J239" s="13"/>
      <c r="K239" s="13"/>
      <c r="L239" s="13"/>
      <c r="M239" s="13"/>
      <c r="N239" s="13"/>
      <c r="O239" s="13" t="s">
        <v>436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t="s">
        <v>438</v>
      </c>
      <c r="C240" s="13">
        <v>6</v>
      </c>
      <c r="D240" t="s">
        <v>379</v>
      </c>
      <c r="E240" t="s">
        <v>380</v>
      </c>
      <c r="F240" t="s">
        <v>453</v>
      </c>
      <c r="G240" s="13">
        <v>4</v>
      </c>
      <c r="H240" s="13"/>
      <c r="I240" s="13"/>
      <c r="J240" s="13"/>
      <c r="K240" s="13"/>
      <c r="L240" s="13"/>
      <c r="M240" s="13"/>
      <c r="N240" s="13"/>
      <c r="O240" s="13" t="s">
        <v>436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442</v>
      </c>
      <c r="B241" t="s">
        <v>495</v>
      </c>
      <c r="C241" s="13">
        <v>1</v>
      </c>
      <c r="D241" t="s">
        <v>362</v>
      </c>
      <c r="E241" t="s">
        <v>363</v>
      </c>
      <c r="F241" t="s">
        <v>453</v>
      </c>
      <c r="G241" s="13">
        <v>4</v>
      </c>
      <c r="H241" s="13"/>
      <c r="I241" s="13"/>
      <c r="J241" s="13"/>
      <c r="K241" s="13"/>
      <c r="L241" s="13"/>
      <c r="M241" s="13"/>
      <c r="N241" s="13"/>
      <c r="O241" s="13" t="s">
        <v>436</v>
      </c>
      <c r="P241" s="14"/>
      <c r="Q241" s="12" t="str">
        <f>IFERROR(VLOOKUP($D241,LISTINO!$B:$I,6,FALSE),IFERROR(VLOOKUP($E241,LISTINO!$C:$I,5,FALSE),""))</f>
        <v/>
      </c>
      <c r="R241" s="12" t="str">
        <f t="shared" si="3"/>
        <v/>
      </c>
    </row>
    <row r="242" spans="1:18" x14ac:dyDescent="0.3">
      <c r="A242" t="s">
        <v>442</v>
      </c>
      <c r="B242" t="s">
        <v>495</v>
      </c>
      <c r="C242" s="13">
        <v>2</v>
      </c>
      <c r="D242" t="s">
        <v>415</v>
      </c>
      <c r="E242" t="s">
        <v>416</v>
      </c>
      <c r="F242" t="s">
        <v>466</v>
      </c>
      <c r="G242" s="13">
        <v>1</v>
      </c>
      <c r="H242" s="13"/>
      <c r="I242" s="13"/>
      <c r="J242" s="13"/>
      <c r="K242" s="13"/>
      <c r="L242" s="13"/>
      <c r="M242" s="13"/>
      <c r="N242" s="13"/>
      <c r="O242" s="13" t="s">
        <v>436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442</v>
      </c>
      <c r="B243" t="s">
        <v>495</v>
      </c>
      <c r="C243" s="13">
        <v>3</v>
      </c>
      <c r="D243" t="s">
        <v>302</v>
      </c>
      <c r="E243" t="s">
        <v>303</v>
      </c>
      <c r="F243" t="s">
        <v>435</v>
      </c>
      <c r="G243" s="13">
        <v>1</v>
      </c>
      <c r="H243" s="13"/>
      <c r="I243" s="13"/>
      <c r="J243" s="13"/>
      <c r="K243" s="13"/>
      <c r="L243" s="13"/>
      <c r="M243" s="13"/>
      <c r="N243" s="13"/>
      <c r="O243" s="13" t="s">
        <v>436</v>
      </c>
      <c r="P243" s="14"/>
      <c r="Q243" s="12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t="s">
        <v>442</v>
      </c>
      <c r="B244" t="s">
        <v>495</v>
      </c>
      <c r="C244" s="13">
        <v>4</v>
      </c>
      <c r="D244" t="s">
        <v>395</v>
      </c>
      <c r="E244" t="s">
        <v>496</v>
      </c>
      <c r="F244" t="s">
        <v>453</v>
      </c>
      <c r="G244" s="13">
        <v>2</v>
      </c>
      <c r="H244" s="13"/>
      <c r="I244" s="13"/>
      <c r="J244" s="13"/>
      <c r="K244" s="13"/>
      <c r="L244" s="13"/>
      <c r="M244" s="13"/>
      <c r="N244" s="13"/>
      <c r="O244" s="13" t="s">
        <v>436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442</v>
      </c>
      <c r="B245" t="s">
        <v>495</v>
      </c>
      <c r="C245" s="13">
        <v>5</v>
      </c>
      <c r="D245" t="s">
        <v>385</v>
      </c>
      <c r="E245" t="s">
        <v>497</v>
      </c>
      <c r="F245" t="s">
        <v>453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436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442</v>
      </c>
      <c r="B246" t="s">
        <v>495</v>
      </c>
      <c r="C246" s="13">
        <v>6</v>
      </c>
      <c r="D246" t="s">
        <v>366</v>
      </c>
      <c r="E246" t="s">
        <v>367</v>
      </c>
      <c r="F246" t="s">
        <v>453</v>
      </c>
      <c r="G246" s="13">
        <v>2</v>
      </c>
      <c r="H246" s="13"/>
      <c r="I246" s="13"/>
      <c r="J246" s="13"/>
      <c r="K246" s="13"/>
      <c r="L246" s="13"/>
      <c r="M246" s="13"/>
      <c r="N246" s="13"/>
      <c r="O246" s="13" t="s">
        <v>436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442</v>
      </c>
      <c r="B247" t="s">
        <v>495</v>
      </c>
      <c r="C247" s="13">
        <v>7</v>
      </c>
      <c r="D247" t="s">
        <v>397</v>
      </c>
      <c r="E247" t="s">
        <v>398</v>
      </c>
      <c r="F247" t="s">
        <v>453</v>
      </c>
      <c r="G247" s="13">
        <v>2</v>
      </c>
      <c r="H247" s="13"/>
      <c r="I247" s="13"/>
      <c r="J247" s="13"/>
      <c r="K247" s="13"/>
      <c r="L247" s="13"/>
      <c r="M247" s="13"/>
      <c r="N247" s="13"/>
      <c r="O247" s="13" t="s">
        <v>436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442</v>
      </c>
      <c r="B248" t="s">
        <v>495</v>
      </c>
      <c r="C248" s="13">
        <v>9</v>
      </c>
      <c r="D248" t="s">
        <v>397</v>
      </c>
      <c r="E248" t="s">
        <v>398</v>
      </c>
      <c r="F248" t="s">
        <v>453</v>
      </c>
      <c r="G248" s="13">
        <v>2</v>
      </c>
      <c r="H248" s="13"/>
      <c r="I248" s="13"/>
      <c r="J248" s="13"/>
      <c r="K248" s="13"/>
      <c r="L248" s="13"/>
      <c r="M248" s="13"/>
      <c r="N248" s="13"/>
      <c r="O248" s="13" t="s">
        <v>436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442</v>
      </c>
      <c r="B249" t="s">
        <v>495</v>
      </c>
      <c r="C249" s="13">
        <v>10</v>
      </c>
      <c r="D249" t="s">
        <v>387</v>
      </c>
      <c r="E249" t="s">
        <v>498</v>
      </c>
      <c r="F249" t="s">
        <v>453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436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442</v>
      </c>
      <c r="B250" t="s">
        <v>495</v>
      </c>
      <c r="C250" s="13">
        <v>1</v>
      </c>
      <c r="D250" t="s">
        <v>356</v>
      </c>
      <c r="E250" t="s">
        <v>357</v>
      </c>
      <c r="F250" t="s">
        <v>453</v>
      </c>
      <c r="G250" s="13">
        <v>2</v>
      </c>
      <c r="H250" s="13"/>
      <c r="I250" s="13"/>
      <c r="J250" s="13"/>
      <c r="K250" s="13"/>
      <c r="L250" s="13"/>
      <c r="M250" s="13"/>
      <c r="N250" s="13"/>
      <c r="O250" s="13" t="s">
        <v>436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442</v>
      </c>
      <c r="B251" t="s">
        <v>495</v>
      </c>
      <c r="C251" s="13">
        <v>2</v>
      </c>
      <c r="D251" t="s">
        <v>393</v>
      </c>
      <c r="E251" t="s">
        <v>499</v>
      </c>
      <c r="F251" t="s">
        <v>453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436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442</v>
      </c>
      <c r="B252" t="s">
        <v>495</v>
      </c>
      <c r="C252" s="13">
        <v>3</v>
      </c>
      <c r="D252" t="s">
        <v>304</v>
      </c>
      <c r="E252" t="s">
        <v>305</v>
      </c>
      <c r="F252" t="s">
        <v>435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436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441</v>
      </c>
      <c r="B253" t="s">
        <v>495</v>
      </c>
      <c r="C253" s="13">
        <v>1</v>
      </c>
      <c r="D253" t="s">
        <v>298</v>
      </c>
      <c r="E253" t="s">
        <v>299</v>
      </c>
      <c r="F253" t="s">
        <v>435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436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441</v>
      </c>
      <c r="B254" t="s">
        <v>495</v>
      </c>
      <c r="C254" s="13">
        <v>2</v>
      </c>
      <c r="D254" t="s">
        <v>371</v>
      </c>
      <c r="E254" t="s">
        <v>372</v>
      </c>
      <c r="F254" t="s">
        <v>453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436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441</v>
      </c>
      <c r="B255" t="s">
        <v>495</v>
      </c>
      <c r="C255" s="13">
        <v>3</v>
      </c>
      <c r="D255" t="s">
        <v>399</v>
      </c>
      <c r="E255" t="s">
        <v>488</v>
      </c>
      <c r="F255" t="s">
        <v>453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436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441</v>
      </c>
      <c r="B256" t="s">
        <v>495</v>
      </c>
      <c r="C256" s="13">
        <v>4</v>
      </c>
      <c r="D256" t="s">
        <v>300</v>
      </c>
      <c r="E256" t="s">
        <v>301</v>
      </c>
      <c r="F256" t="s">
        <v>435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436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441</v>
      </c>
      <c r="B257" t="s">
        <v>495</v>
      </c>
      <c r="C257" s="13">
        <v>5</v>
      </c>
      <c r="D257" t="s">
        <v>399</v>
      </c>
      <c r="E257" t="s">
        <v>488</v>
      </c>
      <c r="F257" t="s">
        <v>453</v>
      </c>
      <c r="G257" s="13">
        <v>4</v>
      </c>
      <c r="H257" s="13"/>
      <c r="I257" s="13"/>
      <c r="J257" s="13"/>
      <c r="K257" s="13"/>
      <c r="L257" s="13"/>
      <c r="M257" s="13"/>
      <c r="N257" s="13"/>
      <c r="O257" s="13" t="s">
        <v>436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x14ac:dyDescent="0.3">
      <c r="A258" t="s">
        <v>441</v>
      </c>
      <c r="B258" t="s">
        <v>495</v>
      </c>
      <c r="C258" s="13">
        <v>6</v>
      </c>
      <c r="D258" t="s">
        <v>389</v>
      </c>
      <c r="E258" t="s">
        <v>500</v>
      </c>
      <c r="F258" t="s">
        <v>453</v>
      </c>
      <c r="G258" s="13">
        <v>4</v>
      </c>
      <c r="H258" s="13"/>
      <c r="I258" s="13"/>
      <c r="J258" s="13"/>
      <c r="K258" s="13"/>
      <c r="L258" s="13"/>
      <c r="M258" s="13"/>
      <c r="N258" s="13"/>
      <c r="O258" s="13" t="s">
        <v>436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441</v>
      </c>
      <c r="B259" t="s">
        <v>495</v>
      </c>
      <c r="C259" s="13">
        <v>7</v>
      </c>
      <c r="D259" t="s">
        <v>425</v>
      </c>
      <c r="E259" t="s">
        <v>426</v>
      </c>
      <c r="F259" t="s">
        <v>466</v>
      </c>
      <c r="G259" s="13">
        <v>1</v>
      </c>
      <c r="H259" s="13"/>
      <c r="I259" s="13"/>
      <c r="J259" s="13"/>
      <c r="K259" s="13"/>
      <c r="L259" s="13"/>
      <c r="M259" s="13"/>
      <c r="N259" s="13"/>
      <c r="O259" s="13" t="s">
        <v>436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441</v>
      </c>
      <c r="B260" t="s">
        <v>495</v>
      </c>
      <c r="C260" s="13">
        <v>8</v>
      </c>
      <c r="D260" t="s">
        <v>401</v>
      </c>
      <c r="E260" t="s">
        <v>402</v>
      </c>
      <c r="F260" t="s">
        <v>453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436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441</v>
      </c>
      <c r="B261" t="s">
        <v>495</v>
      </c>
      <c r="C261" s="13">
        <v>9</v>
      </c>
      <c r="D261" t="s">
        <v>395</v>
      </c>
      <c r="E261" t="s">
        <v>496</v>
      </c>
      <c r="F261" t="s">
        <v>453</v>
      </c>
      <c r="G261" s="13">
        <v>4</v>
      </c>
      <c r="H261" s="13"/>
      <c r="I261" s="13"/>
      <c r="J261" s="13"/>
      <c r="K261" s="13"/>
      <c r="L261" s="13"/>
      <c r="M261" s="13"/>
      <c r="N261" s="13"/>
      <c r="O261" s="13" t="s">
        <v>436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441</v>
      </c>
      <c r="B262" t="s">
        <v>495</v>
      </c>
      <c r="C262" s="13">
        <v>10</v>
      </c>
      <c r="D262" t="s">
        <v>385</v>
      </c>
      <c r="E262" t="s">
        <v>497</v>
      </c>
      <c r="F262" t="s">
        <v>453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436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501</v>
      </c>
      <c r="C263" s="13">
        <v>1</v>
      </c>
      <c r="D263" t="s">
        <v>326</v>
      </c>
      <c r="E263" t="s">
        <v>327</v>
      </c>
      <c r="F263" t="s">
        <v>435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436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501</v>
      </c>
      <c r="C264" s="13">
        <v>2</v>
      </c>
      <c r="D264" t="s">
        <v>328</v>
      </c>
      <c r="E264" t="s">
        <v>329</v>
      </c>
      <c r="F264" t="s">
        <v>435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436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501</v>
      </c>
      <c r="C265" s="13">
        <v>3</v>
      </c>
      <c r="D265" t="s">
        <v>370</v>
      </c>
      <c r="E265" t="s">
        <v>369</v>
      </c>
      <c r="F265" t="s">
        <v>453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436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501</v>
      </c>
      <c r="C266" s="13">
        <v>4</v>
      </c>
      <c r="D266" t="s">
        <v>397</v>
      </c>
      <c r="E266" t="s">
        <v>398</v>
      </c>
      <c r="F266" t="s">
        <v>453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436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x14ac:dyDescent="0.3">
      <c r="A267" t="s">
        <v>501</v>
      </c>
      <c r="C267" s="13">
        <v>5</v>
      </c>
      <c r="D267" t="s">
        <v>397</v>
      </c>
      <c r="E267" t="s">
        <v>398</v>
      </c>
      <c r="F267" t="s">
        <v>453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436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501</v>
      </c>
      <c r="C268" s="13">
        <v>6</v>
      </c>
      <c r="D268" t="s">
        <v>387</v>
      </c>
      <c r="E268" t="s">
        <v>498</v>
      </c>
      <c r="F268" t="s">
        <v>453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436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501</v>
      </c>
      <c r="C269" s="13">
        <v>7</v>
      </c>
      <c r="D269" t="s">
        <v>152</v>
      </c>
      <c r="E269" t="s">
        <v>153</v>
      </c>
      <c r="F269" t="s">
        <v>435</v>
      </c>
      <c r="G269" s="13">
        <v>1</v>
      </c>
      <c r="H269" s="13"/>
      <c r="I269" s="13"/>
      <c r="J269" s="13"/>
      <c r="K269" s="13"/>
      <c r="L269" s="13"/>
      <c r="M269" s="13"/>
      <c r="N269" s="13" t="s">
        <v>502</v>
      </c>
      <c r="O269" s="13" t="s">
        <v>436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501</v>
      </c>
      <c r="C270" s="13">
        <v>8</v>
      </c>
      <c r="D270" t="s">
        <v>413</v>
      </c>
      <c r="E270" t="s">
        <v>414</v>
      </c>
      <c r="F270" t="s">
        <v>465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436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501</v>
      </c>
      <c r="C271" s="13">
        <v>9</v>
      </c>
      <c r="D271" t="s">
        <v>375</v>
      </c>
      <c r="E271" t="s">
        <v>376</v>
      </c>
      <c r="F271" t="s">
        <v>453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436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501</v>
      </c>
      <c r="C272" s="13">
        <v>10</v>
      </c>
      <c r="D272" t="s">
        <v>399</v>
      </c>
      <c r="E272" t="s">
        <v>488</v>
      </c>
      <c r="F272" t="s">
        <v>453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436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501</v>
      </c>
      <c r="C273" s="13">
        <v>11</v>
      </c>
      <c r="D273" t="s">
        <v>399</v>
      </c>
      <c r="E273" t="s">
        <v>488</v>
      </c>
      <c r="F273" t="s">
        <v>453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436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501</v>
      </c>
      <c r="C274" s="13">
        <v>12</v>
      </c>
      <c r="D274" t="s">
        <v>389</v>
      </c>
      <c r="E274" t="s">
        <v>500</v>
      </c>
      <c r="F274" t="s">
        <v>453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436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449</v>
      </c>
      <c r="C275" s="13">
        <v>1</v>
      </c>
      <c r="D275" t="s">
        <v>154</v>
      </c>
      <c r="E275" t="s">
        <v>155</v>
      </c>
      <c r="F275" t="s">
        <v>435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436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449</v>
      </c>
      <c r="C276" s="13">
        <v>1</v>
      </c>
      <c r="D276" t="s">
        <v>194</v>
      </c>
      <c r="E276" t="s">
        <v>195</v>
      </c>
      <c r="F276" t="s">
        <v>435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 t="s">
        <v>436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449</v>
      </c>
      <c r="C277" s="13">
        <v>2</v>
      </c>
      <c r="D277" t="s">
        <v>326</v>
      </c>
      <c r="E277" t="s">
        <v>327</v>
      </c>
      <c r="F277" t="s">
        <v>435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436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449</v>
      </c>
      <c r="C278" s="13">
        <v>3</v>
      </c>
      <c r="D278" t="s">
        <v>387</v>
      </c>
      <c r="E278" t="s">
        <v>498</v>
      </c>
      <c r="F278" t="s">
        <v>453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436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449</v>
      </c>
      <c r="C279" s="13">
        <v>4</v>
      </c>
      <c r="D279" t="s">
        <v>397</v>
      </c>
      <c r="E279" t="s">
        <v>398</v>
      </c>
      <c r="F279" t="s">
        <v>453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436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449</v>
      </c>
      <c r="C280" s="13">
        <v>5</v>
      </c>
      <c r="D280" t="s">
        <v>397</v>
      </c>
      <c r="E280" t="s">
        <v>398</v>
      </c>
      <c r="F280" t="s">
        <v>453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436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449</v>
      </c>
      <c r="C281" s="13">
        <v>6</v>
      </c>
      <c r="D281" t="s">
        <v>368</v>
      </c>
      <c r="E281" t="s">
        <v>369</v>
      </c>
      <c r="F281" t="s">
        <v>453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436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449</v>
      </c>
      <c r="C282" s="13">
        <v>7</v>
      </c>
      <c r="D282" t="s">
        <v>328</v>
      </c>
      <c r="E282" t="s">
        <v>329</v>
      </c>
      <c r="F282" t="s">
        <v>435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436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449</v>
      </c>
      <c r="C283" s="13">
        <v>8</v>
      </c>
      <c r="D283" t="s">
        <v>411</v>
      </c>
      <c r="E283" t="s">
        <v>412</v>
      </c>
      <c r="F283" t="s">
        <v>465</v>
      </c>
      <c r="G283" s="13">
        <v>1</v>
      </c>
      <c r="H283" s="13"/>
      <c r="I283" s="13"/>
      <c r="J283" s="13"/>
      <c r="K283" s="13"/>
      <c r="L283" s="13"/>
      <c r="M283" s="13"/>
      <c r="N283" s="13"/>
      <c r="O283" s="13" t="s">
        <v>436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449</v>
      </c>
      <c r="C284" s="13">
        <v>9</v>
      </c>
      <c r="D284" t="s">
        <v>399</v>
      </c>
      <c r="E284" t="s">
        <v>488</v>
      </c>
      <c r="F284" t="s">
        <v>453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436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449</v>
      </c>
      <c r="C285" s="13">
        <v>10</v>
      </c>
      <c r="D285" t="s">
        <v>375</v>
      </c>
      <c r="E285" t="s">
        <v>376</v>
      </c>
      <c r="F285" t="s">
        <v>453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436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449</v>
      </c>
      <c r="C286" s="13">
        <v>11</v>
      </c>
      <c r="D286" t="s">
        <v>399</v>
      </c>
      <c r="E286" t="s">
        <v>488</v>
      </c>
      <c r="F286" t="s">
        <v>453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436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449</v>
      </c>
      <c r="C287" s="13">
        <v>12</v>
      </c>
      <c r="D287" t="s">
        <v>389</v>
      </c>
      <c r="E287" t="s">
        <v>500</v>
      </c>
      <c r="F287" t="s">
        <v>453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436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x14ac:dyDescent="0.3">
      <c r="A288" t="s">
        <v>449</v>
      </c>
      <c r="C288" s="13">
        <v>13</v>
      </c>
      <c r="D288" t="s">
        <v>375</v>
      </c>
      <c r="E288" t="s">
        <v>376</v>
      </c>
      <c r="F288" t="s">
        <v>453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436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449</v>
      </c>
      <c r="C289" s="13">
        <v>14</v>
      </c>
      <c r="D289" t="s">
        <v>399</v>
      </c>
      <c r="E289" t="s">
        <v>488</v>
      </c>
      <c r="F289" t="s">
        <v>453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436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449</v>
      </c>
      <c r="C290" s="13">
        <v>15</v>
      </c>
      <c r="D290" t="s">
        <v>328</v>
      </c>
      <c r="E290" s="6" t="s">
        <v>329</v>
      </c>
      <c r="F290" t="s">
        <v>435</v>
      </c>
      <c r="G290" s="13">
        <v>1</v>
      </c>
      <c r="H290" s="13"/>
      <c r="I290" s="13"/>
      <c r="J290" s="13"/>
      <c r="K290" s="13"/>
      <c r="L290" s="13"/>
      <c r="M290" s="13"/>
      <c r="N290" s="13"/>
      <c r="O290" s="13" t="s">
        <v>436</v>
      </c>
      <c r="P290" s="14"/>
      <c r="Q290" s="12">
        <f>IFERROR(VLOOKUP($D290,LISTINO!$B:$I,6,FALSE),IFERROR(VLOOKUP($E290,LISTINO!$C:$I,5,FALSE),""))</f>
        <v>0</v>
      </c>
      <c r="R290" s="7">
        <f t="shared" si="4"/>
        <v>0</v>
      </c>
    </row>
    <row r="291" spans="1:18" x14ac:dyDescent="0.3">
      <c r="A291" t="s">
        <v>449</v>
      </c>
      <c r="C291" s="13">
        <v>16</v>
      </c>
      <c r="D291" t="s">
        <v>413</v>
      </c>
      <c r="E291" t="s">
        <v>414</v>
      </c>
      <c r="F291" t="s">
        <v>465</v>
      </c>
      <c r="G291" s="13">
        <v>1</v>
      </c>
      <c r="H291" s="13"/>
      <c r="I291" s="13"/>
      <c r="J291" s="13"/>
      <c r="K291" s="13"/>
      <c r="L291" s="13"/>
      <c r="M291" s="13"/>
      <c r="N291" s="13" t="s">
        <v>502</v>
      </c>
      <c r="O291" s="13" t="s">
        <v>436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449</v>
      </c>
      <c r="C292" s="13">
        <v>17</v>
      </c>
      <c r="D292" t="s">
        <v>413</v>
      </c>
      <c r="E292" t="s">
        <v>414</v>
      </c>
      <c r="F292" t="s">
        <v>465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436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449</v>
      </c>
      <c r="C293" s="13">
        <v>18</v>
      </c>
      <c r="D293" t="s">
        <v>399</v>
      </c>
      <c r="E293" t="s">
        <v>488</v>
      </c>
      <c r="F293" t="s">
        <v>453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436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449</v>
      </c>
      <c r="C294" s="13">
        <v>19</v>
      </c>
      <c r="D294" t="s">
        <v>389</v>
      </c>
      <c r="E294" t="s">
        <v>500</v>
      </c>
      <c r="F294" t="s">
        <v>453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436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445</v>
      </c>
      <c r="C295" s="13">
        <v>1</v>
      </c>
      <c r="D295" t="s">
        <v>316</v>
      </c>
      <c r="E295" t="s">
        <v>317</v>
      </c>
      <c r="F295" t="s">
        <v>435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436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445</v>
      </c>
      <c r="C296" s="13">
        <v>2</v>
      </c>
      <c r="D296" t="s">
        <v>318</v>
      </c>
      <c r="E296" t="s">
        <v>319</v>
      </c>
      <c r="F296" t="s">
        <v>435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436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445</v>
      </c>
      <c r="C297" s="13">
        <v>3</v>
      </c>
      <c r="D297" t="s">
        <v>375</v>
      </c>
      <c r="E297" t="s">
        <v>369</v>
      </c>
      <c r="F297" t="s">
        <v>453</v>
      </c>
      <c r="G297" s="13">
        <v>2</v>
      </c>
      <c r="H297" s="13"/>
      <c r="I297" s="13"/>
      <c r="J297" s="13"/>
      <c r="K297" s="13"/>
      <c r="L297" s="13"/>
      <c r="M297" s="13"/>
      <c r="N297" s="13"/>
      <c r="O297" s="13" t="s">
        <v>436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445</v>
      </c>
      <c r="C298" s="13">
        <v>4</v>
      </c>
      <c r="D298" t="s">
        <v>399</v>
      </c>
      <c r="E298" t="s">
        <v>398</v>
      </c>
      <c r="F298" t="s">
        <v>453</v>
      </c>
      <c r="G298" s="13">
        <v>2</v>
      </c>
      <c r="H298" s="13"/>
      <c r="I298" s="13"/>
      <c r="J298" s="13"/>
      <c r="K298" s="13"/>
      <c r="L298" s="13"/>
      <c r="M298" s="13"/>
      <c r="N298" s="13"/>
      <c r="O298" s="13" t="s">
        <v>436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445</v>
      </c>
      <c r="C299" s="13">
        <v>5</v>
      </c>
      <c r="D299" t="s">
        <v>399</v>
      </c>
      <c r="E299" t="s">
        <v>398</v>
      </c>
      <c r="F299" t="s">
        <v>453</v>
      </c>
      <c r="G299" s="13">
        <v>2</v>
      </c>
      <c r="H299" s="13"/>
      <c r="I299" s="13"/>
      <c r="J299" s="13"/>
      <c r="K299" s="13"/>
      <c r="L299" s="13"/>
      <c r="M299" s="13"/>
      <c r="N299" s="13"/>
      <c r="O299" s="13" t="s">
        <v>436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445</v>
      </c>
      <c r="C300" s="13">
        <v>6</v>
      </c>
      <c r="D300" t="s">
        <v>389</v>
      </c>
      <c r="E300" t="s">
        <v>498</v>
      </c>
      <c r="F300" t="s">
        <v>453</v>
      </c>
      <c r="G300" s="13">
        <v>2</v>
      </c>
      <c r="H300" s="13"/>
      <c r="I300" s="13"/>
      <c r="J300" s="13"/>
      <c r="K300" s="13"/>
      <c r="L300" s="13"/>
      <c r="M300" s="13"/>
      <c r="N300" s="13"/>
      <c r="O300" s="13" t="s">
        <v>436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x14ac:dyDescent="0.3">
      <c r="A301" t="s">
        <v>445</v>
      </c>
      <c r="C301" s="13">
        <v>7</v>
      </c>
      <c r="D301" t="s">
        <v>375</v>
      </c>
      <c r="E301" t="s">
        <v>369</v>
      </c>
      <c r="F301" t="s">
        <v>453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436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445</v>
      </c>
      <c r="C302" s="13">
        <v>8</v>
      </c>
      <c r="D302" t="s">
        <v>399</v>
      </c>
      <c r="E302" t="s">
        <v>398</v>
      </c>
      <c r="F302" t="s">
        <v>453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436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445</v>
      </c>
      <c r="C303" s="13">
        <v>9</v>
      </c>
      <c r="D303" t="s">
        <v>399</v>
      </c>
      <c r="E303" t="s">
        <v>398</v>
      </c>
      <c r="F303" t="s">
        <v>453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436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445</v>
      </c>
      <c r="C304" s="13">
        <v>10</v>
      </c>
      <c r="D304" t="s">
        <v>389</v>
      </c>
      <c r="E304" t="s">
        <v>498</v>
      </c>
      <c r="F304" t="s">
        <v>453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436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445</v>
      </c>
      <c r="C305" s="13">
        <v>11</v>
      </c>
      <c r="D305" t="s">
        <v>320</v>
      </c>
      <c r="E305" t="s">
        <v>321</v>
      </c>
      <c r="F305" t="s">
        <v>435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436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445</v>
      </c>
      <c r="C306" s="13">
        <v>12</v>
      </c>
      <c r="D306" t="s">
        <v>28</v>
      </c>
      <c r="E306" t="s">
        <v>29</v>
      </c>
      <c r="F306" t="s">
        <v>435</v>
      </c>
      <c r="G306" s="13">
        <v>1</v>
      </c>
      <c r="H306" s="13"/>
      <c r="I306" s="13"/>
      <c r="J306" s="13"/>
      <c r="K306" s="13"/>
      <c r="L306" s="13"/>
      <c r="M306" s="13"/>
      <c r="N306" s="13" t="s">
        <v>502</v>
      </c>
      <c r="O306" s="13" t="s">
        <v>436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445</v>
      </c>
      <c r="C307" s="13">
        <v>12</v>
      </c>
      <c r="D307" t="s">
        <v>70</v>
      </c>
      <c r="E307" t="s">
        <v>71</v>
      </c>
      <c r="F307" t="s">
        <v>435</v>
      </c>
      <c r="G307" s="13">
        <v>0</v>
      </c>
      <c r="H307" s="13"/>
      <c r="I307" s="13"/>
      <c r="J307" s="13"/>
      <c r="K307" s="13"/>
      <c r="L307" s="13"/>
      <c r="M307" s="13"/>
      <c r="N307" s="13"/>
      <c r="O307" s="13" t="s">
        <v>436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444</v>
      </c>
      <c r="C308" s="13">
        <v>1</v>
      </c>
      <c r="D308" t="s">
        <v>373</v>
      </c>
      <c r="E308" t="s">
        <v>374</v>
      </c>
      <c r="F308" t="s">
        <v>453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436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444</v>
      </c>
      <c r="C309" s="13">
        <v>2</v>
      </c>
      <c r="D309" t="s">
        <v>399</v>
      </c>
      <c r="E309" t="s">
        <v>488</v>
      </c>
      <c r="F309" t="s">
        <v>453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436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444</v>
      </c>
      <c r="C310" s="13">
        <v>3</v>
      </c>
      <c r="D310" t="s">
        <v>310</v>
      </c>
      <c r="E310" t="s">
        <v>311</v>
      </c>
      <c r="F310" t="s">
        <v>435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436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444</v>
      </c>
      <c r="C311" s="13">
        <v>4</v>
      </c>
      <c r="D311" t="s">
        <v>314</v>
      </c>
      <c r="E311" t="s">
        <v>315</v>
      </c>
      <c r="F311" t="s">
        <v>435</v>
      </c>
      <c r="G311" s="13">
        <v>1</v>
      </c>
      <c r="H311" s="13"/>
      <c r="I311" s="13"/>
      <c r="J311" s="13"/>
      <c r="K311" s="13"/>
      <c r="L311" s="13"/>
      <c r="M311" s="13"/>
      <c r="N311" s="13"/>
      <c r="O311" s="13" t="s">
        <v>436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444</v>
      </c>
      <c r="C312" s="13">
        <v>5</v>
      </c>
      <c r="D312" t="s">
        <v>399</v>
      </c>
      <c r="E312" t="s">
        <v>488</v>
      </c>
      <c r="F312" t="s">
        <v>453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436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444</v>
      </c>
      <c r="C313" s="13">
        <v>6</v>
      </c>
      <c r="D313" t="s">
        <v>389</v>
      </c>
      <c r="E313" t="s">
        <v>500</v>
      </c>
      <c r="F313" t="s">
        <v>453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436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444</v>
      </c>
      <c r="C314" s="13">
        <v>7</v>
      </c>
      <c r="D314" t="s">
        <v>377</v>
      </c>
      <c r="E314" t="s">
        <v>378</v>
      </c>
      <c r="F314" t="s">
        <v>453</v>
      </c>
      <c r="G314" s="13">
        <v>4</v>
      </c>
      <c r="H314" s="13"/>
      <c r="I314" s="13"/>
      <c r="J314" s="13"/>
      <c r="K314" s="13"/>
      <c r="L314" s="13"/>
      <c r="M314" s="13"/>
      <c r="N314" s="13"/>
      <c r="O314" s="13" t="s">
        <v>436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444</v>
      </c>
      <c r="C315" s="13">
        <v>8</v>
      </c>
      <c r="D315" t="s">
        <v>399</v>
      </c>
      <c r="E315" t="s">
        <v>488</v>
      </c>
      <c r="F315" t="s">
        <v>453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436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444</v>
      </c>
      <c r="C316" s="13">
        <v>9</v>
      </c>
      <c r="D316" t="s">
        <v>312</v>
      </c>
      <c r="E316" t="s">
        <v>313</v>
      </c>
      <c r="F316" t="s">
        <v>435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436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444</v>
      </c>
      <c r="C317" s="13">
        <v>10</v>
      </c>
      <c r="D317" t="s">
        <v>26</v>
      </c>
      <c r="E317" t="s">
        <v>27</v>
      </c>
      <c r="F317" t="s">
        <v>435</v>
      </c>
      <c r="G317" s="13">
        <v>1</v>
      </c>
      <c r="H317" s="13"/>
      <c r="I317" s="13"/>
      <c r="J317" s="13"/>
      <c r="K317" s="13"/>
      <c r="L317" s="13"/>
      <c r="M317" s="13"/>
      <c r="N317" s="13"/>
      <c r="O317" s="13" t="s">
        <v>436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444</v>
      </c>
      <c r="C318" s="13">
        <v>10</v>
      </c>
      <c r="D318" t="s">
        <v>68</v>
      </c>
      <c r="E318" t="s">
        <v>69</v>
      </c>
      <c r="F318" t="s">
        <v>435</v>
      </c>
      <c r="G318" s="13">
        <v>0</v>
      </c>
      <c r="H318" s="13"/>
      <c r="I318" s="13"/>
      <c r="J318" s="13"/>
      <c r="K318" s="13"/>
      <c r="L318" s="13"/>
      <c r="M318" s="13"/>
      <c r="N318" s="13"/>
      <c r="O318" s="13" t="s">
        <v>436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444</v>
      </c>
      <c r="C319" s="13">
        <v>11</v>
      </c>
      <c r="D319" t="s">
        <v>399</v>
      </c>
      <c r="E319" t="s">
        <v>488</v>
      </c>
      <c r="F319" t="s">
        <v>453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436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444</v>
      </c>
      <c r="C320" s="13">
        <v>12</v>
      </c>
      <c r="D320" t="s">
        <v>389</v>
      </c>
      <c r="E320" t="s">
        <v>500</v>
      </c>
      <c r="F320" t="s">
        <v>453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436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451</v>
      </c>
      <c r="B321" t="s">
        <v>503</v>
      </c>
      <c r="C321" s="13">
        <v>1</v>
      </c>
      <c r="D321" t="s">
        <v>330</v>
      </c>
      <c r="E321" t="s">
        <v>331</v>
      </c>
      <c r="F321" t="s">
        <v>435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436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451</v>
      </c>
      <c r="B322" t="s">
        <v>503</v>
      </c>
      <c r="C322" s="13">
        <v>2</v>
      </c>
      <c r="D322" t="s">
        <v>417</v>
      </c>
      <c r="E322" t="s">
        <v>418</v>
      </c>
      <c r="F322" t="s">
        <v>466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436</v>
      </c>
      <c r="P322" s="14"/>
      <c r="Q322" s="12" t="str">
        <f>IFERROR(VLOOKUP($D322,LISTINO!$B:$I,6,FALSE),IFERROR(VLOOKUP($E322,LISTINO!$C:$I,5,FALSE),""))</f>
        <v/>
      </c>
      <c r="R322" s="12" t="str">
        <f t="shared" ref="R322:R385" si="5">IF(AND(ISNUMBER(G322),ISNUMBER(Q322)),G322*Q322,"")</f>
        <v/>
      </c>
    </row>
    <row r="323" spans="1:18" x14ac:dyDescent="0.3">
      <c r="A323" t="s">
        <v>451</v>
      </c>
      <c r="B323" t="s">
        <v>503</v>
      </c>
      <c r="C323" s="13">
        <v>3</v>
      </c>
      <c r="D323" t="s">
        <v>421</v>
      </c>
      <c r="E323" t="s">
        <v>422</v>
      </c>
      <c r="F323" t="s">
        <v>466</v>
      </c>
      <c r="G323" s="13">
        <v>1</v>
      </c>
      <c r="H323" s="13"/>
      <c r="I323" s="13"/>
      <c r="J323" s="13"/>
      <c r="K323" s="13"/>
      <c r="L323" s="13"/>
      <c r="M323" s="13"/>
      <c r="N323" s="13"/>
      <c r="O323" s="13" t="s">
        <v>436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451</v>
      </c>
      <c r="B324" t="s">
        <v>503</v>
      </c>
      <c r="C324" s="13">
        <v>4</v>
      </c>
      <c r="D324" t="s">
        <v>397</v>
      </c>
      <c r="E324" t="s">
        <v>398</v>
      </c>
      <c r="F324" t="s">
        <v>453</v>
      </c>
      <c r="G324" s="13">
        <v>2</v>
      </c>
      <c r="H324" s="13"/>
      <c r="I324" s="13"/>
      <c r="J324" s="13"/>
      <c r="K324" s="13"/>
      <c r="L324" s="13"/>
      <c r="M324" s="13"/>
      <c r="N324" s="13"/>
      <c r="O324" s="13" t="s">
        <v>436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451</v>
      </c>
      <c r="B325" t="s">
        <v>503</v>
      </c>
      <c r="C325" s="13">
        <v>5</v>
      </c>
      <c r="D325" t="s">
        <v>370</v>
      </c>
      <c r="E325" t="s">
        <v>369</v>
      </c>
      <c r="F325" t="s">
        <v>453</v>
      </c>
      <c r="G325" s="13">
        <v>2</v>
      </c>
      <c r="H325" s="13"/>
      <c r="I325" s="13"/>
      <c r="J325" s="13"/>
      <c r="K325" s="13"/>
      <c r="L325" s="13"/>
      <c r="M325" s="13"/>
      <c r="N325" s="13"/>
      <c r="O325" s="13" t="s">
        <v>436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451</v>
      </c>
      <c r="B326" t="s">
        <v>503</v>
      </c>
      <c r="C326" s="13">
        <v>4</v>
      </c>
      <c r="D326" t="s">
        <v>397</v>
      </c>
      <c r="E326" t="s">
        <v>398</v>
      </c>
      <c r="F326" t="s">
        <v>453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436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x14ac:dyDescent="0.3">
      <c r="A327" t="s">
        <v>451</v>
      </c>
      <c r="B327" t="s">
        <v>503</v>
      </c>
      <c r="C327" s="13">
        <v>6</v>
      </c>
      <c r="D327" t="s">
        <v>387</v>
      </c>
      <c r="E327" t="s">
        <v>498</v>
      </c>
      <c r="F327" t="s">
        <v>453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436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451</v>
      </c>
      <c r="B328" t="s">
        <v>504</v>
      </c>
      <c r="C328" s="13">
        <v>1</v>
      </c>
      <c r="D328" t="s">
        <v>423</v>
      </c>
      <c r="E328" t="s">
        <v>424</v>
      </c>
      <c r="F328" t="s">
        <v>466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436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451</v>
      </c>
      <c r="B329" t="s">
        <v>504</v>
      </c>
      <c r="C329" s="13">
        <v>2</v>
      </c>
      <c r="E329" t="s">
        <v>469</v>
      </c>
      <c r="F329" t="s">
        <v>468</v>
      </c>
      <c r="G329" s="13"/>
      <c r="H329" s="13"/>
      <c r="I329" s="13"/>
      <c r="J329" s="13"/>
      <c r="K329" s="13"/>
      <c r="L329" s="13"/>
      <c r="M329" s="13"/>
      <c r="N329" s="13"/>
      <c r="O329" s="13" t="s">
        <v>436</v>
      </c>
      <c r="P329" s="14"/>
      <c r="Q329" s="12">
        <f>IFERROR(VLOOKUP($D329,LISTINO!$B:$I,6,FALSE),IFERROR(VLOOKUP($E329,LISTINO!$C:$I,5,FALSE),""))</f>
        <v>0</v>
      </c>
      <c r="R329" s="12" t="str">
        <f t="shared" si="5"/>
        <v/>
      </c>
    </row>
    <row r="330" spans="1:18" x14ac:dyDescent="0.3">
      <c r="A330" t="s">
        <v>451</v>
      </c>
      <c r="B330" t="s">
        <v>504</v>
      </c>
      <c r="C330" s="13">
        <v>3</v>
      </c>
      <c r="D330" t="s">
        <v>332</v>
      </c>
      <c r="E330" t="s">
        <v>333</v>
      </c>
      <c r="F330" t="s">
        <v>435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436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451</v>
      </c>
      <c r="B331" t="s">
        <v>504</v>
      </c>
      <c r="C331" s="13">
        <v>4</v>
      </c>
      <c r="E331" t="s">
        <v>452</v>
      </c>
      <c r="F331" t="s">
        <v>435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436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451</v>
      </c>
      <c r="B332" t="s">
        <v>504</v>
      </c>
      <c r="C332" s="13">
        <v>5</v>
      </c>
      <c r="D332" t="s">
        <v>395</v>
      </c>
      <c r="E332" t="s">
        <v>396</v>
      </c>
      <c r="F332" t="s">
        <v>453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436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451</v>
      </c>
      <c r="B333" t="s">
        <v>504</v>
      </c>
      <c r="C333" s="13">
        <v>6</v>
      </c>
      <c r="D333" t="s">
        <v>360</v>
      </c>
      <c r="E333" t="s">
        <v>361</v>
      </c>
      <c r="F333" t="s">
        <v>453</v>
      </c>
      <c r="G333" s="13">
        <v>2</v>
      </c>
      <c r="H333" s="13"/>
      <c r="I333" s="13"/>
      <c r="J333" s="13"/>
      <c r="K333" s="13"/>
      <c r="L333" s="13"/>
      <c r="M333" s="13"/>
      <c r="N333" s="13"/>
      <c r="O333" s="13" t="s">
        <v>436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451</v>
      </c>
      <c r="B334" t="s">
        <v>504</v>
      </c>
      <c r="C334" s="13">
        <v>7</v>
      </c>
      <c r="D334" t="s">
        <v>395</v>
      </c>
      <c r="E334" t="s">
        <v>396</v>
      </c>
      <c r="F334" t="s">
        <v>453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436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451</v>
      </c>
      <c r="B335" t="s">
        <v>504</v>
      </c>
      <c r="C335" s="13">
        <v>8</v>
      </c>
      <c r="D335" t="s">
        <v>385</v>
      </c>
      <c r="E335" t="s">
        <v>386</v>
      </c>
      <c r="F335" t="s">
        <v>453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436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x14ac:dyDescent="0.3">
      <c r="A336" t="s">
        <v>451</v>
      </c>
      <c r="B336" t="s">
        <v>504</v>
      </c>
      <c r="C336" s="13">
        <v>9</v>
      </c>
      <c r="D336" t="s">
        <v>360</v>
      </c>
      <c r="E336" t="s">
        <v>361</v>
      </c>
      <c r="F336" t="s">
        <v>453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436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451</v>
      </c>
      <c r="B337" t="s">
        <v>504</v>
      </c>
      <c r="C337" s="13">
        <v>10</v>
      </c>
      <c r="D337" t="s">
        <v>385</v>
      </c>
      <c r="E337" t="s">
        <v>386</v>
      </c>
      <c r="F337" t="s">
        <v>453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436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451</v>
      </c>
      <c r="B338" t="s">
        <v>504</v>
      </c>
      <c r="C338" s="13">
        <v>11</v>
      </c>
      <c r="D338" t="s">
        <v>395</v>
      </c>
      <c r="E338" t="s">
        <v>396</v>
      </c>
      <c r="F338" t="s">
        <v>453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436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451</v>
      </c>
      <c r="B339" t="s">
        <v>504</v>
      </c>
      <c r="C339" s="13">
        <v>12</v>
      </c>
      <c r="D339" t="s">
        <v>360</v>
      </c>
      <c r="E339" t="s">
        <v>361</v>
      </c>
      <c r="F339" t="s">
        <v>453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436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451</v>
      </c>
      <c r="B340" t="s">
        <v>504</v>
      </c>
      <c r="C340" s="13">
        <v>13</v>
      </c>
      <c r="D340" t="s">
        <v>395</v>
      </c>
      <c r="E340" t="s">
        <v>396</v>
      </c>
      <c r="F340" t="s">
        <v>453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436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451</v>
      </c>
      <c r="B341" t="s">
        <v>504</v>
      </c>
      <c r="C341" s="13">
        <v>14</v>
      </c>
      <c r="D341" t="s">
        <v>385</v>
      </c>
      <c r="E341" t="s">
        <v>386</v>
      </c>
      <c r="F341" t="s">
        <v>453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436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451</v>
      </c>
      <c r="B342" t="s">
        <v>505</v>
      </c>
      <c r="C342" s="13">
        <v>1</v>
      </c>
      <c r="D342" t="s">
        <v>334</v>
      </c>
      <c r="E342" t="s">
        <v>335</v>
      </c>
      <c r="F342" t="s">
        <v>435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436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451</v>
      </c>
      <c r="B343" t="s">
        <v>505</v>
      </c>
      <c r="C343" s="13">
        <v>2</v>
      </c>
      <c r="D343" t="s">
        <v>419</v>
      </c>
      <c r="E343" t="s">
        <v>420</v>
      </c>
      <c r="F343" t="s">
        <v>466</v>
      </c>
      <c r="G343" s="13">
        <v>1</v>
      </c>
      <c r="H343" s="13"/>
      <c r="I343" s="13"/>
      <c r="J343" s="13"/>
      <c r="K343" s="13"/>
      <c r="L343" s="13"/>
      <c r="M343" s="13"/>
      <c r="N343" s="13"/>
      <c r="O343" s="13" t="s">
        <v>436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451</v>
      </c>
      <c r="B344" t="s">
        <v>506</v>
      </c>
      <c r="C344" s="13">
        <v>1</v>
      </c>
      <c r="D344" t="s">
        <v>342</v>
      </c>
      <c r="E344" t="s">
        <v>343</v>
      </c>
      <c r="F344" t="s">
        <v>453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436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6" spans="1:18" x14ac:dyDescent="0.3">
      <c r="E346" s="6" t="s">
        <v>507</v>
      </c>
      <c r="R346" s="7">
        <f>SUMIFS(R2:R344,N2:N344,"")</f>
        <v>313</v>
      </c>
    </row>
  </sheetData>
  <autoFilter ref="A1:R3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508</v>
      </c>
    </row>
    <row r="3" spans="1:2" x14ac:dyDescent="0.3">
      <c r="A3" s="6" t="s">
        <v>509</v>
      </c>
      <c r="B3">
        <v>198</v>
      </c>
    </row>
    <row r="4" spans="1:2" x14ac:dyDescent="0.3">
      <c r="A4" s="6" t="s">
        <v>510</v>
      </c>
      <c r="B4">
        <v>343</v>
      </c>
    </row>
    <row r="6" spans="1:2" x14ac:dyDescent="0.3">
      <c r="A6" s="6" t="s">
        <v>511</v>
      </c>
    </row>
    <row r="7" spans="1:2" x14ac:dyDescent="0.3">
      <c r="A7" t="s">
        <v>435</v>
      </c>
      <c r="B7">
        <v>155</v>
      </c>
    </row>
    <row r="8" spans="1:2" x14ac:dyDescent="0.3">
      <c r="A8" t="s">
        <v>453</v>
      </c>
      <c r="B8">
        <v>31</v>
      </c>
    </row>
    <row r="9" spans="1:2" x14ac:dyDescent="0.3">
      <c r="A9" t="s">
        <v>463</v>
      </c>
      <c r="B9">
        <v>1</v>
      </c>
    </row>
    <row r="10" spans="1:2" x14ac:dyDescent="0.3">
      <c r="A10" t="s">
        <v>464</v>
      </c>
      <c r="B10">
        <v>1</v>
      </c>
    </row>
    <row r="11" spans="1:2" x14ac:dyDescent="0.3">
      <c r="A11" t="s">
        <v>465</v>
      </c>
      <c r="B11">
        <v>2</v>
      </c>
    </row>
    <row r="12" spans="1:2" x14ac:dyDescent="0.3">
      <c r="A12" t="s">
        <v>466</v>
      </c>
      <c r="B12">
        <v>6</v>
      </c>
    </row>
    <row r="13" spans="1:2" x14ac:dyDescent="0.3">
      <c r="A13" t="s">
        <v>468</v>
      </c>
      <c r="B13">
        <v>2</v>
      </c>
    </row>
    <row r="15" spans="1:2" x14ac:dyDescent="0.3">
      <c r="A15" s="6" t="s">
        <v>512</v>
      </c>
    </row>
    <row r="16" spans="1:2" x14ac:dyDescent="0.3">
      <c r="A16" t="s">
        <v>513</v>
      </c>
    </row>
    <row r="17" spans="1:1" x14ac:dyDescent="0.3">
      <c r="A17" t="s">
        <v>514</v>
      </c>
    </row>
    <row r="18" spans="1:1" x14ac:dyDescent="0.3">
      <c r="A18" t="s">
        <v>515</v>
      </c>
    </row>
    <row r="19" spans="1:1" x14ac:dyDescent="0.3">
      <c r="A19" t="s">
        <v>516</v>
      </c>
    </row>
    <row r="20" spans="1:1" x14ac:dyDescent="0.3">
      <c r="A20" t="s">
        <v>517</v>
      </c>
    </row>
    <row r="21" spans="1:1" x14ac:dyDescent="0.3">
      <c r="A21" t="s">
        <v>518</v>
      </c>
    </row>
    <row r="22" spans="1:1" x14ac:dyDescent="0.3">
      <c r="A22" t="s">
        <v>519</v>
      </c>
    </row>
    <row r="23" spans="1:1" x14ac:dyDescent="0.3">
      <c r="A23" t="s">
        <v>520</v>
      </c>
    </row>
    <row r="24" spans="1:1" x14ac:dyDescent="0.3">
      <c r="A24" t="s">
        <v>521</v>
      </c>
    </row>
    <row r="25" spans="1:1" x14ac:dyDescent="0.3">
      <c r="A25" t="s">
        <v>522</v>
      </c>
    </row>
    <row r="26" spans="1:1" x14ac:dyDescent="0.3">
      <c r="A26" t="s">
        <v>523</v>
      </c>
    </row>
    <row r="27" spans="1:1" x14ac:dyDescent="0.3">
      <c r="A27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2026-08-31T14:50:37Z</dcterms:modified>
</cp:coreProperties>
</file>