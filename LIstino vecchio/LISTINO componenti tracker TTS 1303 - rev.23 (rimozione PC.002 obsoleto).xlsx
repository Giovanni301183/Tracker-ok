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CHEDA STRUTTURA" sheetId="1" state="visible" r:id="rId1"/>
    <sheet name="SCHEDA PEZZI SPECIALI" sheetId="2" state="visible" r:id="rId2"/>
    <sheet name="SCHEDA BULLONERIA" sheetId="3" state="visible" r:id="rId3"/>
    <sheet name="SCHEDA ELETTROMECCANICA" sheetId="4" state="visible" r:id="rId4"/>
    <sheet name="LISTINO" sheetId="5" state="visible" r:id="rId5"/>
    <sheet name="DISTINTA COMPLETA" sheetId="6" state="visible" r:id="rId6"/>
    <sheet name="RIEPILOGO" sheetId="7" state="visible" r:id="rId7"/>
  </sheets>
  <definedNames>
    <definedName name="_xlnm._FilterDatabase" localSheetId="4" hidden="1">'LISTINO'!$A$4:$I$202</definedName>
    <definedName name="_xlnm._FilterDatabase" localSheetId="5" hidden="1">'DISTINTA COMPLETA'!$A$1:$R$344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2" topLeftCell="A79" activePane="bottomLeft" state="frozen"/>
      <selection pane="bottomLeft" activeCell="B7" sqref="B7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/>
      <c r="D5" s="18">
        <f>IF(ISNUMBER($B5),$B5*(1+IF(ISNUMBER($C5),$C5,0)),"")</f>
        <v/>
      </c>
      <c r="E5" s="21" t="n"/>
      <c r="F5" s="21" t="n"/>
    </row>
    <row r="6">
      <c r="A6" t="inlineStr">
        <is>
          <t>IPEA 140</t>
        </is>
      </c>
      <c r="B6" s="16" t="n">
        <v>10.9</v>
      </c>
      <c r="C6" s="17" t="n"/>
      <c r="D6" s="18">
        <f>IF(ISNUMBER($B6),$B6*(1+IF(ISNUMBER($C6),$C6,0)),"")</f>
        <v/>
      </c>
      <c r="E6" s="21" t="n"/>
      <c r="F6" s="21" t="n"/>
    </row>
    <row r="7">
      <c r="A7" t="inlineStr">
        <is>
          <t>ASSE 120x120x3</t>
        </is>
      </c>
      <c r="B7" s="16" t="n">
        <v>11.8</v>
      </c>
      <c r="C7" s="17" t="n"/>
      <c r="D7" s="18">
        <f>IF(ISNUMBER($B7),$B7*(1+IF(ISNUMBER($C7),$C7,0)),"")</f>
        <v/>
      </c>
      <c r="E7" s="21" t="n"/>
      <c r="F7" s="21" t="n"/>
    </row>
    <row r="8">
      <c r="A8" t="inlineStr">
        <is>
          <t>ASSE 120x120x2,5</t>
        </is>
      </c>
      <c r="B8" s="16" t="n">
        <v>9.199999999999999</v>
      </c>
      <c r="C8" s="17" t="n"/>
      <c r="D8" s="18">
        <f>IF(ISNUMBER($B8),$B8*(1+IF(ISNUMBER($C8),$C8,0)),"")</f>
        <v/>
      </c>
      <c r="E8" s="21" t="n"/>
      <c r="F8" s="21" t="n"/>
    </row>
    <row r="9">
      <c r="B9" s="18" t="n"/>
      <c r="C9" s="17" t="n"/>
      <c r="D9" s="18" t="n"/>
      <c r="E9" s="21" t="n"/>
      <c r="F9" s="21" t="n"/>
    </row>
    <row r="10">
      <c r="B10" s="18" t="n"/>
      <c r="C10" s="17" t="n"/>
      <c r="D10" s="18" t="n"/>
      <c r="E10" s="21" t="n"/>
      <c r="F10" s="21" t="n"/>
    </row>
    <row r="11">
      <c r="B11" s="18" t="n"/>
      <c r="C11" s="17" t="n"/>
      <c r="D11" s="18" t="n"/>
      <c r="E11" s="21" t="n"/>
      <c r="F11" s="21" t="n"/>
    </row>
    <row r="12">
      <c r="A12" s="10" t="inlineStr">
        <is>
          <t>Codice</t>
        </is>
      </c>
      <c r="B12" s="10" t="inlineStr">
        <is>
          <t>Descrizione</t>
        </is>
      </c>
      <c r="C12" s="10" t="inlineStr">
        <is>
          <t>Profilo</t>
        </is>
      </c>
      <c r="D12" s="10" t="inlineStr">
        <is>
          <t>Lunghezza (m)</t>
        </is>
      </c>
      <c r="E12" s="10" t="inlineStr">
        <is>
          <t>Peso elemento (kg)</t>
        </is>
      </c>
      <c r="F12" s="10" t="inlineStr">
        <is>
          <t>Costo acquisto (€)</t>
        </is>
      </c>
      <c r="G12" s="10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3" t="inlineStr">
        <is>
          <t>IPE 140</t>
        </is>
      </c>
      <c r="D13" s="19" t="n">
        <v>2.3</v>
      </c>
      <c r="E13" s="20">
        <f>IF(AND(ISNUMBER($D13),ISNUMBER(VLOOKUP($C13,$A$5:$F$11,4,FALSE))),$D13*VLOOKUP($C13,$A$5:$F$11,4,FALSE),"")</f>
        <v/>
      </c>
      <c r="F13" s="12">
        <f>IF(AND(ISNUMBER($D13),ISNUMBER(VLOOKUP($C13,$A$5:$F$11,2,FALSE)),ISNUMBER(VLOOKUP($C13,$A$5:$F$11,5,FALSE))),$D13*VLOOKUP($C13,$A$5:$F$11,2,FALSE)*VLOOKUP($C13,$A$5:$F$11,5,FALSE),"")</f>
        <v/>
      </c>
      <c r="G13" s="12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3" t="inlineStr">
        <is>
          <t>IPE 140</t>
        </is>
      </c>
      <c r="D14" s="19" t="n">
        <v>2.3</v>
      </c>
      <c r="E14" s="20">
        <f>IF(AND(ISNUMBER($D14),ISNUMBER(VLOOKUP($C14,$A$5:$F$11,4,FALSE))),$D14*VLOOKUP($C14,$A$5:$F$11,4,FALSE),"")</f>
        <v/>
      </c>
      <c r="F14" s="12">
        <f>IF(AND(ISNUMBER($D14),ISNUMBER(VLOOKUP($C14,$A$5:$F$11,2,FALSE)),ISNUMBER(VLOOKUP($C14,$A$5:$F$11,5,FALSE))),$D14*VLOOKUP($C14,$A$5:$F$11,2,FALSE)*VLOOKUP($C14,$A$5:$F$11,5,FALSE),"")</f>
        <v/>
      </c>
      <c r="G14" s="12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3" t="inlineStr">
        <is>
          <t>IPE 140</t>
        </is>
      </c>
      <c r="D15" s="19" t="n">
        <v>2.3</v>
      </c>
      <c r="E15" s="20">
        <f>IF(AND(ISNUMBER($D15),ISNUMBER(VLOOKUP($C15,$A$5:$F$11,4,FALSE))),$D15*VLOOKUP($C15,$A$5:$F$11,4,FALSE),"")</f>
        <v/>
      </c>
      <c r="F15" s="12">
        <f>IF(AND(ISNUMBER($D15),ISNUMBER(VLOOKUP($C15,$A$5:$F$11,2,FALSE)),ISNUMBER(VLOOKUP($C15,$A$5:$F$11,5,FALSE))),$D15*VLOOKUP($C15,$A$5:$F$11,2,FALSE)*VLOOKUP($C15,$A$5:$F$11,5,FALSE),"")</f>
        <v/>
      </c>
      <c r="G15" s="12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3" t="inlineStr">
        <is>
          <t>IPE 140</t>
        </is>
      </c>
      <c r="D16" s="19" t="n">
        <v>2.8</v>
      </c>
      <c r="E16" s="20">
        <f>IF(AND(ISNUMBER($D16),ISNUMBER(VLOOKUP($C16,$A$5:$F$11,4,FALSE))),$D16*VLOOKUP($C16,$A$5:$F$11,4,FALSE),"")</f>
        <v/>
      </c>
      <c r="F16" s="12">
        <f>IF(AND(ISNUMBER($D16),ISNUMBER(VLOOKUP($C16,$A$5:$F$11,2,FALSE)),ISNUMBER(VLOOKUP($C16,$A$5:$F$11,5,FALSE))),$D16*VLOOKUP($C16,$A$5:$F$11,2,FALSE)*VLOOKUP($C16,$A$5:$F$11,5,FALSE),"")</f>
        <v/>
      </c>
      <c r="G16" s="12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3" t="inlineStr">
        <is>
          <t>IPE 140</t>
        </is>
      </c>
      <c r="D17" s="19" t="n">
        <v>2.9</v>
      </c>
      <c r="E17" s="20">
        <f>IF(AND(ISNUMBER($D17),ISNUMBER(VLOOKUP($C17,$A$5:$F$11,4,FALSE))),$D17*VLOOKUP($C17,$A$5:$F$11,4,FALSE),"")</f>
        <v/>
      </c>
      <c r="F17" s="12">
        <f>IF(AND(ISNUMBER($D17),ISNUMBER(VLOOKUP($C17,$A$5:$F$11,2,FALSE)),ISNUMBER(VLOOKUP($C17,$A$5:$F$11,5,FALSE))),$D17*VLOOKUP($C17,$A$5:$F$11,2,FALSE)*VLOOKUP($C17,$A$5:$F$11,5,FALSE),"")</f>
        <v/>
      </c>
      <c r="G17" s="12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3" t="inlineStr">
        <is>
          <t>IPE 140</t>
        </is>
      </c>
      <c r="D18" s="19" t="n">
        <v>3</v>
      </c>
      <c r="E18" s="20">
        <f>IF(AND(ISNUMBER($D18),ISNUMBER(VLOOKUP($C18,$A$5:$F$11,4,FALSE))),$D18*VLOOKUP($C18,$A$5:$F$11,4,FALSE),"")</f>
        <v/>
      </c>
      <c r="F18" s="12">
        <f>IF(AND(ISNUMBER($D18),ISNUMBER(VLOOKUP($C18,$A$5:$F$11,2,FALSE)),ISNUMBER(VLOOKUP($C18,$A$5:$F$11,5,FALSE))),$D18*VLOOKUP($C18,$A$5:$F$11,2,FALSE)*VLOOKUP($C18,$A$5:$F$11,5,FALSE),"")</f>
        <v/>
      </c>
      <c r="G18" s="12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3" t="inlineStr">
        <is>
          <t>IPE 140</t>
        </is>
      </c>
      <c r="D19" s="19" t="n">
        <v>3.1</v>
      </c>
      <c r="E19" s="20">
        <f>IF(AND(ISNUMBER($D19),ISNUMBER(VLOOKUP($C19,$A$5:$F$11,4,FALSE))),$D19*VLOOKUP($C19,$A$5:$F$11,4,FALSE),"")</f>
        <v/>
      </c>
      <c r="F19" s="12">
        <f>IF(AND(ISNUMBER($D19),ISNUMBER(VLOOKUP($C19,$A$5:$F$11,2,FALSE)),ISNUMBER(VLOOKUP($C19,$A$5:$F$11,5,FALSE))),$D19*VLOOKUP($C19,$A$5:$F$11,2,FALSE)*VLOOKUP($C19,$A$5:$F$11,5,FALSE),"")</f>
        <v/>
      </c>
      <c r="G19" s="12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3" t="inlineStr">
        <is>
          <t>IPE 140</t>
        </is>
      </c>
      <c r="D20" s="19" t="n">
        <v>3.2</v>
      </c>
      <c r="E20" s="20">
        <f>IF(AND(ISNUMBER($D20),ISNUMBER(VLOOKUP($C20,$A$5:$F$11,4,FALSE))),$D20*VLOOKUP($C20,$A$5:$F$11,4,FALSE),"")</f>
        <v/>
      </c>
      <c r="F20" s="12">
        <f>IF(AND(ISNUMBER($D20),ISNUMBER(VLOOKUP($C20,$A$5:$F$11,2,FALSE)),ISNUMBER(VLOOKUP($C20,$A$5:$F$11,5,FALSE))),$D20*VLOOKUP($C20,$A$5:$F$11,2,FALSE)*VLOOKUP($C20,$A$5:$F$11,5,FALSE),"")</f>
        <v/>
      </c>
      <c r="G20" s="12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3" t="inlineStr">
        <is>
          <t>IPE 140</t>
        </is>
      </c>
      <c r="D21" s="19" t="n">
        <v>3.3</v>
      </c>
      <c r="E21" s="20">
        <f>IF(AND(ISNUMBER($D21),ISNUMBER(VLOOKUP($C21,$A$5:$F$11,4,FALSE))),$D21*VLOOKUP($C21,$A$5:$F$11,4,FALSE),"")</f>
        <v/>
      </c>
      <c r="F21" s="12">
        <f>IF(AND(ISNUMBER($D21),ISNUMBER(VLOOKUP($C21,$A$5:$F$11,2,FALSE)),ISNUMBER(VLOOKUP($C21,$A$5:$F$11,5,FALSE))),$D21*VLOOKUP($C21,$A$5:$F$11,2,FALSE)*VLOOKUP($C21,$A$5:$F$11,5,FALSE),"")</f>
        <v/>
      </c>
      <c r="G21" s="12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3" t="inlineStr">
        <is>
          <t>IPE 140</t>
        </is>
      </c>
      <c r="D22" s="19" t="n">
        <v>3.4</v>
      </c>
      <c r="E22" s="20">
        <f>IF(AND(ISNUMBER($D22),ISNUMBER(VLOOKUP($C22,$A$5:$F$11,4,FALSE))),$D22*VLOOKUP($C22,$A$5:$F$11,4,FALSE),"")</f>
        <v/>
      </c>
      <c r="F22" s="12">
        <f>IF(AND(ISNUMBER($D22),ISNUMBER(VLOOKUP($C22,$A$5:$F$11,2,FALSE)),ISNUMBER(VLOOKUP($C22,$A$5:$F$11,5,FALSE))),$D22*VLOOKUP($C22,$A$5:$F$11,2,FALSE)*VLOOKUP($C22,$A$5:$F$11,5,FALSE),"")</f>
        <v/>
      </c>
      <c r="G22" s="12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3" t="inlineStr">
        <is>
          <t>IPE 140</t>
        </is>
      </c>
      <c r="D23" s="19" t="n">
        <v>3.5</v>
      </c>
      <c r="E23" s="20">
        <f>IF(AND(ISNUMBER($D23),ISNUMBER(VLOOKUP($C23,$A$5:$F$11,4,FALSE))),$D23*VLOOKUP($C23,$A$5:$F$11,4,FALSE),"")</f>
        <v/>
      </c>
      <c r="F23" s="12">
        <f>IF(AND(ISNUMBER($D23),ISNUMBER(VLOOKUP($C23,$A$5:$F$11,2,FALSE)),ISNUMBER(VLOOKUP($C23,$A$5:$F$11,5,FALSE))),$D23*VLOOKUP($C23,$A$5:$F$11,2,FALSE)*VLOOKUP($C23,$A$5:$F$11,5,FALSE),"")</f>
        <v/>
      </c>
      <c r="G23" s="12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3" t="inlineStr">
        <is>
          <t>IPE 140</t>
        </is>
      </c>
      <c r="D24" s="19" t="n">
        <v>3.6</v>
      </c>
      <c r="E24" s="20">
        <f>IF(AND(ISNUMBER($D24),ISNUMBER(VLOOKUP($C24,$A$5:$F$11,4,FALSE))),$D24*VLOOKUP($C24,$A$5:$F$11,4,FALSE),"")</f>
        <v/>
      </c>
      <c r="F24" s="12">
        <f>IF(AND(ISNUMBER($D24),ISNUMBER(VLOOKUP($C24,$A$5:$F$11,2,FALSE)),ISNUMBER(VLOOKUP($C24,$A$5:$F$11,5,FALSE))),$D24*VLOOKUP($C24,$A$5:$F$11,2,FALSE)*VLOOKUP($C24,$A$5:$F$11,5,FALSE),"")</f>
        <v/>
      </c>
      <c r="G24" s="12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3" t="inlineStr">
        <is>
          <t>IPE 140</t>
        </is>
      </c>
      <c r="D25" s="19" t="n">
        <v>3.7</v>
      </c>
      <c r="E25" s="20">
        <f>IF(AND(ISNUMBER($D25),ISNUMBER(VLOOKUP($C25,$A$5:$F$11,4,FALSE))),$D25*VLOOKUP($C25,$A$5:$F$11,4,FALSE),"")</f>
        <v/>
      </c>
      <c r="F25" s="12">
        <f>IF(AND(ISNUMBER($D25),ISNUMBER(VLOOKUP($C25,$A$5:$F$11,2,FALSE)),ISNUMBER(VLOOKUP($C25,$A$5:$F$11,5,FALSE))),$D25*VLOOKUP($C25,$A$5:$F$11,2,FALSE)*VLOOKUP($C25,$A$5:$F$11,5,FALSE),"")</f>
        <v/>
      </c>
      <c r="G25" s="12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3" t="inlineStr">
        <is>
          <t>IPE 140</t>
        </is>
      </c>
      <c r="D26" s="19" t="n">
        <v>3.8</v>
      </c>
      <c r="E26" s="20">
        <f>IF(AND(ISNUMBER($D26),ISNUMBER(VLOOKUP($C26,$A$5:$F$11,4,FALSE))),$D26*VLOOKUP($C26,$A$5:$F$11,4,FALSE),"")</f>
        <v/>
      </c>
      <c r="F26" s="12">
        <f>IF(AND(ISNUMBER($D26),ISNUMBER(VLOOKUP($C26,$A$5:$F$11,2,FALSE)),ISNUMBER(VLOOKUP($C26,$A$5:$F$11,5,FALSE))),$D26*VLOOKUP($C26,$A$5:$F$11,2,FALSE)*VLOOKUP($C26,$A$5:$F$11,5,FALSE),"")</f>
        <v/>
      </c>
      <c r="G26" s="12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3" t="inlineStr">
        <is>
          <t>IPE 140</t>
        </is>
      </c>
      <c r="D27" s="19" t="n">
        <v>3.9</v>
      </c>
      <c r="E27" s="20">
        <f>IF(AND(ISNUMBER($D27),ISNUMBER(VLOOKUP($C27,$A$5:$F$11,4,FALSE))),$D27*VLOOKUP($C27,$A$5:$F$11,4,FALSE),"")</f>
        <v/>
      </c>
      <c r="F27" s="12">
        <f>IF(AND(ISNUMBER($D27),ISNUMBER(VLOOKUP($C27,$A$5:$F$11,2,FALSE)),ISNUMBER(VLOOKUP($C27,$A$5:$F$11,5,FALSE))),$D27*VLOOKUP($C27,$A$5:$F$11,2,FALSE)*VLOOKUP($C27,$A$5:$F$11,5,FALSE),"")</f>
        <v/>
      </c>
      <c r="G27" s="12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3" t="inlineStr">
        <is>
          <t>IPE 140</t>
        </is>
      </c>
      <c r="D28" s="19" t="n">
        <v>4</v>
      </c>
      <c r="E28" s="20">
        <f>IF(AND(ISNUMBER($D28),ISNUMBER(VLOOKUP($C28,$A$5:$F$11,4,FALSE))),$D28*VLOOKUP($C28,$A$5:$F$11,4,FALSE),"")</f>
        <v/>
      </c>
      <c r="F28" s="12">
        <f>IF(AND(ISNUMBER($D28),ISNUMBER(VLOOKUP($C28,$A$5:$F$11,2,FALSE)),ISNUMBER(VLOOKUP($C28,$A$5:$F$11,5,FALSE))),$D28*VLOOKUP($C28,$A$5:$F$11,2,FALSE)*VLOOKUP($C28,$A$5:$F$11,5,FALSE),"")</f>
        <v/>
      </c>
      <c r="G28" s="12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3" t="inlineStr">
        <is>
          <t>IPE 140</t>
        </is>
      </c>
      <c r="D29" s="19" t="n">
        <v>4.1</v>
      </c>
      <c r="E29" s="20">
        <f>IF(AND(ISNUMBER($D29),ISNUMBER(VLOOKUP($C29,$A$5:$F$11,4,FALSE))),$D29*VLOOKUP($C29,$A$5:$F$11,4,FALSE),"")</f>
        <v/>
      </c>
      <c r="F29" s="12">
        <f>IF(AND(ISNUMBER($D29),ISNUMBER(VLOOKUP($C29,$A$5:$F$11,2,FALSE)),ISNUMBER(VLOOKUP($C29,$A$5:$F$11,5,FALSE))),$D29*VLOOKUP($C29,$A$5:$F$11,2,FALSE)*VLOOKUP($C29,$A$5:$F$11,5,FALSE),"")</f>
        <v/>
      </c>
      <c r="G29" s="12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3" t="inlineStr">
        <is>
          <t>IPE 140</t>
        </is>
      </c>
      <c r="D30" s="19" t="n">
        <v>4.2</v>
      </c>
      <c r="E30" s="20">
        <f>IF(AND(ISNUMBER($D30),ISNUMBER(VLOOKUP($C30,$A$5:$F$11,4,FALSE))),$D30*VLOOKUP($C30,$A$5:$F$11,4,FALSE),"")</f>
        <v/>
      </c>
      <c r="F30" s="12">
        <f>IF(AND(ISNUMBER($D30),ISNUMBER(VLOOKUP($C30,$A$5:$F$11,2,FALSE)),ISNUMBER(VLOOKUP($C30,$A$5:$F$11,5,FALSE))),$D30*VLOOKUP($C30,$A$5:$F$11,2,FALSE)*VLOOKUP($C30,$A$5:$F$11,5,FALSE),"")</f>
        <v/>
      </c>
      <c r="G30" s="12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3" t="inlineStr">
        <is>
          <t>IPE 140</t>
        </is>
      </c>
      <c r="D31" s="19" t="n">
        <v>4.3</v>
      </c>
      <c r="E31" s="20">
        <f>IF(AND(ISNUMBER($D31),ISNUMBER(VLOOKUP($C31,$A$5:$F$11,4,FALSE))),$D31*VLOOKUP($C31,$A$5:$F$11,4,FALSE),"")</f>
        <v/>
      </c>
      <c r="F31" s="12">
        <f>IF(AND(ISNUMBER($D31),ISNUMBER(VLOOKUP($C31,$A$5:$F$11,2,FALSE)),ISNUMBER(VLOOKUP($C31,$A$5:$F$11,5,FALSE))),$D31*VLOOKUP($C31,$A$5:$F$11,2,FALSE)*VLOOKUP($C31,$A$5:$F$11,5,FALSE),"")</f>
        <v/>
      </c>
      <c r="G31" s="12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3" t="inlineStr">
        <is>
          <t>IPE 140</t>
        </is>
      </c>
      <c r="D32" s="19" t="n">
        <v>4.4</v>
      </c>
      <c r="E32" s="20">
        <f>IF(AND(ISNUMBER($D32),ISNUMBER(VLOOKUP($C32,$A$5:$F$11,4,FALSE))),$D32*VLOOKUP($C32,$A$5:$F$11,4,FALSE),"")</f>
        <v/>
      </c>
      <c r="F32" s="12">
        <f>IF(AND(ISNUMBER($D32),ISNUMBER(VLOOKUP($C32,$A$5:$F$11,2,FALSE)),ISNUMBER(VLOOKUP($C32,$A$5:$F$11,5,FALSE))),$D32*VLOOKUP($C32,$A$5:$F$11,2,FALSE)*VLOOKUP($C32,$A$5:$F$11,5,FALSE),"")</f>
        <v/>
      </c>
      <c r="G32" s="12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3" t="inlineStr">
        <is>
          <t>IPE 140</t>
        </is>
      </c>
      <c r="D33" s="19" t="n">
        <v>4.5</v>
      </c>
      <c r="E33" s="20">
        <f>IF(AND(ISNUMBER($D33),ISNUMBER(VLOOKUP($C33,$A$5:$F$11,4,FALSE))),$D33*VLOOKUP($C33,$A$5:$F$11,4,FALSE),"")</f>
        <v/>
      </c>
      <c r="F33" s="12">
        <f>IF(AND(ISNUMBER($D33),ISNUMBER(VLOOKUP($C33,$A$5:$F$11,2,FALSE)),ISNUMBER(VLOOKUP($C33,$A$5:$F$11,5,FALSE))),$D33*VLOOKUP($C33,$A$5:$F$11,2,FALSE)*VLOOKUP($C33,$A$5:$F$11,5,FALSE),"")</f>
        <v/>
      </c>
      <c r="G33" s="12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3" t="inlineStr">
        <is>
          <t>IPEA 140</t>
        </is>
      </c>
      <c r="D34" s="19" t="n">
        <v>2.3</v>
      </c>
      <c r="E34" s="20">
        <f>IF(AND(ISNUMBER($D34),ISNUMBER(VLOOKUP($C34,$A$5:$F$11,4,FALSE))),$D34*VLOOKUP($C34,$A$5:$F$11,4,FALSE),"")</f>
        <v/>
      </c>
      <c r="F34" s="12">
        <f>IF(AND(ISNUMBER($D34),ISNUMBER(VLOOKUP($C34,$A$5:$F$11,2,FALSE)),ISNUMBER(VLOOKUP($C34,$A$5:$F$11,5,FALSE))),$D34*VLOOKUP($C34,$A$5:$F$11,2,FALSE)*VLOOKUP($C34,$A$5:$F$11,5,FALSE),"")</f>
        <v/>
      </c>
      <c r="G34" s="12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3" t="inlineStr">
        <is>
          <t>IPEA 140</t>
        </is>
      </c>
      <c r="D35" s="19" t="n">
        <v>2.3</v>
      </c>
      <c r="E35" s="20">
        <f>IF(AND(ISNUMBER($D35),ISNUMBER(VLOOKUP($C35,$A$5:$F$11,4,FALSE))),$D35*VLOOKUP($C35,$A$5:$F$11,4,FALSE),"")</f>
        <v/>
      </c>
      <c r="F35" s="12">
        <f>IF(AND(ISNUMBER($D35),ISNUMBER(VLOOKUP($C35,$A$5:$F$11,2,FALSE)),ISNUMBER(VLOOKUP($C35,$A$5:$F$11,5,FALSE))),$D35*VLOOKUP($C35,$A$5:$F$11,2,FALSE)*VLOOKUP($C35,$A$5:$F$11,5,FALSE),"")</f>
        <v/>
      </c>
      <c r="G35" s="12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3" t="inlineStr">
        <is>
          <t>IPEA 140</t>
        </is>
      </c>
      <c r="D36" s="19" t="n">
        <v>2.3</v>
      </c>
      <c r="E36" s="20">
        <f>IF(AND(ISNUMBER($D36),ISNUMBER(VLOOKUP($C36,$A$5:$F$11,4,FALSE))),$D36*VLOOKUP($C36,$A$5:$F$11,4,FALSE),"")</f>
        <v/>
      </c>
      <c r="F36" s="12">
        <f>IF(AND(ISNUMBER($D36),ISNUMBER(VLOOKUP($C36,$A$5:$F$11,2,FALSE)),ISNUMBER(VLOOKUP($C36,$A$5:$F$11,5,FALSE))),$D36*VLOOKUP($C36,$A$5:$F$11,2,FALSE)*VLOOKUP($C36,$A$5:$F$11,5,FALSE),"")</f>
        <v/>
      </c>
      <c r="G36" s="12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3" t="inlineStr">
        <is>
          <t>IPEA 140</t>
        </is>
      </c>
      <c r="D37" s="19" t="n">
        <v>2.8</v>
      </c>
      <c r="E37" s="20">
        <f>IF(AND(ISNUMBER($D37),ISNUMBER(VLOOKUP($C37,$A$5:$F$11,4,FALSE))),$D37*VLOOKUP($C37,$A$5:$F$11,4,FALSE),"")</f>
        <v/>
      </c>
      <c r="F37" s="12">
        <f>IF(AND(ISNUMBER($D37),ISNUMBER(VLOOKUP($C37,$A$5:$F$11,2,FALSE)),ISNUMBER(VLOOKUP($C37,$A$5:$F$11,5,FALSE))),$D37*VLOOKUP($C37,$A$5:$F$11,2,FALSE)*VLOOKUP($C37,$A$5:$F$11,5,FALSE),"")</f>
        <v/>
      </c>
      <c r="G37" s="12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3" t="inlineStr">
        <is>
          <t>IPEA 140</t>
        </is>
      </c>
      <c r="D38" s="19" t="n">
        <v>2.9</v>
      </c>
      <c r="E38" s="20">
        <f>IF(AND(ISNUMBER($D38),ISNUMBER(VLOOKUP($C38,$A$5:$F$11,4,FALSE))),$D38*VLOOKUP($C38,$A$5:$F$11,4,FALSE),"")</f>
        <v/>
      </c>
      <c r="F38" s="12">
        <f>IF(AND(ISNUMBER($D38),ISNUMBER(VLOOKUP($C38,$A$5:$F$11,2,FALSE)),ISNUMBER(VLOOKUP($C38,$A$5:$F$11,5,FALSE))),$D38*VLOOKUP($C38,$A$5:$F$11,2,FALSE)*VLOOKUP($C38,$A$5:$F$11,5,FALSE),"")</f>
        <v/>
      </c>
      <c r="G38" s="12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3" t="inlineStr">
        <is>
          <t>IPEA 140</t>
        </is>
      </c>
      <c r="D39" s="19" t="n">
        <v>3</v>
      </c>
      <c r="E39" s="20">
        <f>IF(AND(ISNUMBER($D39),ISNUMBER(VLOOKUP($C39,$A$5:$F$11,4,FALSE))),$D39*VLOOKUP($C39,$A$5:$F$11,4,FALSE),"")</f>
        <v/>
      </c>
      <c r="F39" s="12">
        <f>IF(AND(ISNUMBER($D39),ISNUMBER(VLOOKUP($C39,$A$5:$F$11,2,FALSE)),ISNUMBER(VLOOKUP($C39,$A$5:$F$11,5,FALSE))),$D39*VLOOKUP($C39,$A$5:$F$11,2,FALSE)*VLOOKUP($C39,$A$5:$F$11,5,FALSE),"")</f>
        <v/>
      </c>
      <c r="G39" s="12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3" t="inlineStr">
        <is>
          <t>IPEA 140</t>
        </is>
      </c>
      <c r="D40" s="19" t="n">
        <v>3.1</v>
      </c>
      <c r="E40" s="20">
        <f>IF(AND(ISNUMBER($D40),ISNUMBER(VLOOKUP($C40,$A$5:$F$11,4,FALSE))),$D40*VLOOKUP($C40,$A$5:$F$11,4,FALSE),"")</f>
        <v/>
      </c>
      <c r="F40" s="12">
        <f>IF(AND(ISNUMBER($D40),ISNUMBER(VLOOKUP($C40,$A$5:$F$11,2,FALSE)),ISNUMBER(VLOOKUP($C40,$A$5:$F$11,5,FALSE))),$D40*VLOOKUP($C40,$A$5:$F$11,2,FALSE)*VLOOKUP($C40,$A$5:$F$11,5,FALSE),"")</f>
        <v/>
      </c>
      <c r="G40" s="12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3" t="inlineStr">
        <is>
          <t>IPEA 140</t>
        </is>
      </c>
      <c r="D41" s="19" t="n">
        <v>3.2</v>
      </c>
      <c r="E41" s="20">
        <f>IF(AND(ISNUMBER($D41),ISNUMBER(VLOOKUP($C41,$A$5:$F$11,4,FALSE))),$D41*VLOOKUP($C41,$A$5:$F$11,4,FALSE),"")</f>
        <v/>
      </c>
      <c r="F41" s="12">
        <f>IF(AND(ISNUMBER($D41),ISNUMBER(VLOOKUP($C41,$A$5:$F$11,2,FALSE)),ISNUMBER(VLOOKUP($C41,$A$5:$F$11,5,FALSE))),$D41*VLOOKUP($C41,$A$5:$F$11,2,FALSE)*VLOOKUP($C41,$A$5:$F$11,5,FALSE),"")</f>
        <v/>
      </c>
      <c r="G41" s="12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3" t="inlineStr">
        <is>
          <t>IPEA 140</t>
        </is>
      </c>
      <c r="D42" s="19" t="n">
        <v>3.3</v>
      </c>
      <c r="E42" s="20">
        <f>IF(AND(ISNUMBER($D42),ISNUMBER(VLOOKUP($C42,$A$5:$F$11,4,FALSE))),$D42*VLOOKUP($C42,$A$5:$F$11,4,FALSE),"")</f>
        <v/>
      </c>
      <c r="F42" s="12">
        <f>IF(AND(ISNUMBER($D42),ISNUMBER(VLOOKUP($C42,$A$5:$F$11,2,FALSE)),ISNUMBER(VLOOKUP($C42,$A$5:$F$11,5,FALSE))),$D42*VLOOKUP($C42,$A$5:$F$11,2,FALSE)*VLOOKUP($C42,$A$5:$F$11,5,FALSE),"")</f>
        <v/>
      </c>
      <c r="G42" s="12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3" t="inlineStr">
        <is>
          <t>IPEA 140</t>
        </is>
      </c>
      <c r="D43" s="19" t="n">
        <v>3.4</v>
      </c>
      <c r="E43" s="20">
        <f>IF(AND(ISNUMBER($D43),ISNUMBER(VLOOKUP($C43,$A$5:$F$11,4,FALSE))),$D43*VLOOKUP($C43,$A$5:$F$11,4,FALSE),"")</f>
        <v/>
      </c>
      <c r="F43" s="12">
        <f>IF(AND(ISNUMBER($D43),ISNUMBER(VLOOKUP($C43,$A$5:$F$11,2,FALSE)),ISNUMBER(VLOOKUP($C43,$A$5:$F$11,5,FALSE))),$D43*VLOOKUP($C43,$A$5:$F$11,2,FALSE)*VLOOKUP($C43,$A$5:$F$11,5,FALSE),"")</f>
        <v/>
      </c>
      <c r="G43" s="12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3" t="inlineStr">
        <is>
          <t>IPEA 140</t>
        </is>
      </c>
      <c r="D44" s="19" t="n">
        <v>3.5</v>
      </c>
      <c r="E44" s="20">
        <f>IF(AND(ISNUMBER($D44),ISNUMBER(VLOOKUP($C44,$A$5:$F$11,4,FALSE))),$D44*VLOOKUP($C44,$A$5:$F$11,4,FALSE),"")</f>
        <v/>
      </c>
      <c r="F44" s="12">
        <f>IF(AND(ISNUMBER($D44),ISNUMBER(VLOOKUP($C44,$A$5:$F$11,2,FALSE)),ISNUMBER(VLOOKUP($C44,$A$5:$F$11,5,FALSE))),$D44*VLOOKUP($C44,$A$5:$F$11,2,FALSE)*VLOOKUP($C44,$A$5:$F$11,5,FALSE),"")</f>
        <v/>
      </c>
      <c r="G44" s="12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3" t="inlineStr">
        <is>
          <t>IPEA 140</t>
        </is>
      </c>
      <c r="D45" s="19" t="n">
        <v>3.6</v>
      </c>
      <c r="E45" s="20">
        <f>IF(AND(ISNUMBER($D45),ISNUMBER(VLOOKUP($C45,$A$5:$F$11,4,FALSE))),$D45*VLOOKUP($C45,$A$5:$F$11,4,FALSE),"")</f>
        <v/>
      </c>
      <c r="F45" s="12">
        <f>IF(AND(ISNUMBER($D45),ISNUMBER(VLOOKUP($C45,$A$5:$F$11,2,FALSE)),ISNUMBER(VLOOKUP($C45,$A$5:$F$11,5,FALSE))),$D45*VLOOKUP($C45,$A$5:$F$11,2,FALSE)*VLOOKUP($C45,$A$5:$F$11,5,FALSE),"")</f>
        <v/>
      </c>
      <c r="G45" s="12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3" t="inlineStr">
        <is>
          <t>IPEA 140</t>
        </is>
      </c>
      <c r="D46" s="19" t="n">
        <v>3.7</v>
      </c>
      <c r="E46" s="20">
        <f>IF(AND(ISNUMBER($D46),ISNUMBER(VLOOKUP($C46,$A$5:$F$11,4,FALSE))),$D46*VLOOKUP($C46,$A$5:$F$11,4,FALSE),"")</f>
        <v/>
      </c>
      <c r="F46" s="12">
        <f>IF(AND(ISNUMBER($D46),ISNUMBER(VLOOKUP($C46,$A$5:$F$11,2,FALSE)),ISNUMBER(VLOOKUP($C46,$A$5:$F$11,5,FALSE))),$D46*VLOOKUP($C46,$A$5:$F$11,2,FALSE)*VLOOKUP($C46,$A$5:$F$11,5,FALSE),"")</f>
        <v/>
      </c>
      <c r="G46" s="12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3" t="inlineStr">
        <is>
          <t>IPEA 140</t>
        </is>
      </c>
      <c r="D47" s="19" t="n">
        <v>3.8</v>
      </c>
      <c r="E47" s="20">
        <f>IF(AND(ISNUMBER($D47),ISNUMBER(VLOOKUP($C47,$A$5:$F$11,4,FALSE))),$D47*VLOOKUP($C47,$A$5:$F$11,4,FALSE),"")</f>
        <v/>
      </c>
      <c r="F47" s="12">
        <f>IF(AND(ISNUMBER($D47),ISNUMBER(VLOOKUP($C47,$A$5:$F$11,2,FALSE)),ISNUMBER(VLOOKUP($C47,$A$5:$F$11,5,FALSE))),$D47*VLOOKUP($C47,$A$5:$F$11,2,FALSE)*VLOOKUP($C47,$A$5:$F$11,5,FALSE),"")</f>
        <v/>
      </c>
      <c r="G47" s="12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3" t="inlineStr">
        <is>
          <t>IPEA 140</t>
        </is>
      </c>
      <c r="D48" s="19" t="n">
        <v>3.9</v>
      </c>
      <c r="E48" s="20">
        <f>IF(AND(ISNUMBER($D48),ISNUMBER(VLOOKUP($C48,$A$5:$F$11,4,FALSE))),$D48*VLOOKUP($C48,$A$5:$F$11,4,FALSE),"")</f>
        <v/>
      </c>
      <c r="F48" s="12">
        <f>IF(AND(ISNUMBER($D48),ISNUMBER(VLOOKUP($C48,$A$5:$F$11,2,FALSE)),ISNUMBER(VLOOKUP($C48,$A$5:$F$11,5,FALSE))),$D48*VLOOKUP($C48,$A$5:$F$11,2,FALSE)*VLOOKUP($C48,$A$5:$F$11,5,FALSE),"")</f>
        <v/>
      </c>
      <c r="G48" s="12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3" t="inlineStr">
        <is>
          <t>IPEA 140</t>
        </is>
      </c>
      <c r="D49" s="19" t="n">
        <v>4</v>
      </c>
      <c r="E49" s="20">
        <f>IF(AND(ISNUMBER($D49),ISNUMBER(VLOOKUP($C49,$A$5:$F$11,4,FALSE))),$D49*VLOOKUP($C49,$A$5:$F$11,4,FALSE),"")</f>
        <v/>
      </c>
      <c r="F49" s="12">
        <f>IF(AND(ISNUMBER($D49),ISNUMBER(VLOOKUP($C49,$A$5:$F$11,2,FALSE)),ISNUMBER(VLOOKUP($C49,$A$5:$F$11,5,FALSE))),$D49*VLOOKUP($C49,$A$5:$F$11,2,FALSE)*VLOOKUP($C49,$A$5:$F$11,5,FALSE),"")</f>
        <v/>
      </c>
      <c r="G49" s="12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3" t="inlineStr">
        <is>
          <t>IPEA 140</t>
        </is>
      </c>
      <c r="D50" s="19" t="n">
        <v>4.1</v>
      </c>
      <c r="E50" s="20">
        <f>IF(AND(ISNUMBER($D50),ISNUMBER(VLOOKUP($C50,$A$5:$F$11,4,FALSE))),$D50*VLOOKUP($C50,$A$5:$F$11,4,FALSE),"")</f>
        <v/>
      </c>
      <c r="F50" s="12">
        <f>IF(AND(ISNUMBER($D50),ISNUMBER(VLOOKUP($C50,$A$5:$F$11,2,FALSE)),ISNUMBER(VLOOKUP($C50,$A$5:$F$11,5,FALSE))),$D50*VLOOKUP($C50,$A$5:$F$11,2,FALSE)*VLOOKUP($C50,$A$5:$F$11,5,FALSE),"")</f>
        <v/>
      </c>
      <c r="G50" s="12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3" t="inlineStr">
        <is>
          <t>IPEA 140</t>
        </is>
      </c>
      <c r="D51" s="19" t="n">
        <v>4.2</v>
      </c>
      <c r="E51" s="20">
        <f>IF(AND(ISNUMBER($D51),ISNUMBER(VLOOKUP($C51,$A$5:$F$11,4,FALSE))),$D51*VLOOKUP($C51,$A$5:$F$11,4,FALSE),"")</f>
        <v/>
      </c>
      <c r="F51" s="12">
        <f>IF(AND(ISNUMBER($D51),ISNUMBER(VLOOKUP($C51,$A$5:$F$11,2,FALSE)),ISNUMBER(VLOOKUP($C51,$A$5:$F$11,5,FALSE))),$D51*VLOOKUP($C51,$A$5:$F$11,2,FALSE)*VLOOKUP($C51,$A$5:$F$11,5,FALSE),"")</f>
        <v/>
      </c>
      <c r="G51" s="12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3" t="inlineStr">
        <is>
          <t>IPEA 140</t>
        </is>
      </c>
      <c r="D52" s="19" t="n">
        <v>4.3</v>
      </c>
      <c r="E52" s="20">
        <f>IF(AND(ISNUMBER($D52),ISNUMBER(VLOOKUP($C52,$A$5:$F$11,4,FALSE))),$D52*VLOOKUP($C52,$A$5:$F$11,4,FALSE),"")</f>
        <v/>
      </c>
      <c r="F52" s="12">
        <f>IF(AND(ISNUMBER($D52),ISNUMBER(VLOOKUP($C52,$A$5:$F$11,2,FALSE)),ISNUMBER(VLOOKUP($C52,$A$5:$F$11,5,FALSE))),$D52*VLOOKUP($C52,$A$5:$F$11,2,FALSE)*VLOOKUP($C52,$A$5:$F$11,5,FALSE),"")</f>
        <v/>
      </c>
      <c r="G52" s="12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3" t="inlineStr">
        <is>
          <t>IPEA 140</t>
        </is>
      </c>
      <c r="D53" s="19" t="n">
        <v>4.4</v>
      </c>
      <c r="E53" s="20">
        <f>IF(AND(ISNUMBER($D53),ISNUMBER(VLOOKUP($C53,$A$5:$F$11,4,FALSE))),$D53*VLOOKUP($C53,$A$5:$F$11,4,FALSE),"")</f>
        <v/>
      </c>
      <c r="F53" s="12">
        <f>IF(AND(ISNUMBER($D53),ISNUMBER(VLOOKUP($C53,$A$5:$F$11,2,FALSE)),ISNUMBER(VLOOKUP($C53,$A$5:$F$11,5,FALSE))),$D53*VLOOKUP($C53,$A$5:$F$11,2,FALSE)*VLOOKUP($C53,$A$5:$F$11,5,FALSE),"")</f>
        <v/>
      </c>
      <c r="G53" s="12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3" t="inlineStr">
        <is>
          <t>IPEA 140</t>
        </is>
      </c>
      <c r="D54" s="19" t="n">
        <v>4.5</v>
      </c>
      <c r="E54" s="20">
        <f>IF(AND(ISNUMBER($D54),ISNUMBER(VLOOKUP($C54,$A$5:$F$11,4,FALSE))),$D54*VLOOKUP($C54,$A$5:$F$11,4,FALSE),"")</f>
        <v/>
      </c>
      <c r="F54" s="12">
        <f>IF(AND(ISNUMBER($D54),ISNUMBER(VLOOKUP($C54,$A$5:$F$11,2,FALSE)),ISNUMBER(VLOOKUP($C54,$A$5:$F$11,5,FALSE))),$D54*VLOOKUP($C54,$A$5:$F$11,2,FALSE)*VLOOKUP($C54,$A$5:$F$11,5,FALSE),"")</f>
        <v/>
      </c>
      <c r="G54" s="12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3" t="inlineStr">
        <is>
          <t>IPE 140</t>
        </is>
      </c>
      <c r="D55" s="19" t="n">
        <v>2.6</v>
      </c>
      <c r="E55" s="20">
        <f>IF(AND(ISNUMBER($D55),ISNUMBER(VLOOKUP($C55,$A$5:$F$11,4,FALSE))),$D55*VLOOKUP($C55,$A$5:$F$11,4,FALSE),"")</f>
        <v/>
      </c>
      <c r="F55" s="12">
        <f>IF(AND(ISNUMBER($D55),ISNUMBER(VLOOKUP($C55,$A$5:$F$11,2,FALSE)),ISNUMBER(VLOOKUP($C55,$A$5:$F$11,5,FALSE))),$D55*VLOOKUP($C55,$A$5:$F$11,2,FALSE)*VLOOKUP($C55,$A$5:$F$11,5,FALSE),"")</f>
        <v/>
      </c>
      <c r="G55" s="12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3" t="inlineStr">
        <is>
          <t>IPE 140</t>
        </is>
      </c>
      <c r="D56" s="19" t="n">
        <v>2.7</v>
      </c>
      <c r="E56" s="20">
        <f>IF(AND(ISNUMBER($D56),ISNUMBER(VLOOKUP($C56,$A$5:$F$11,4,FALSE))),$D56*VLOOKUP($C56,$A$5:$F$11,4,FALSE),"")</f>
        <v/>
      </c>
      <c r="F56" s="12">
        <f>IF(AND(ISNUMBER($D56),ISNUMBER(VLOOKUP($C56,$A$5:$F$11,2,FALSE)),ISNUMBER(VLOOKUP($C56,$A$5:$F$11,5,FALSE))),$D56*VLOOKUP($C56,$A$5:$F$11,2,FALSE)*VLOOKUP($C56,$A$5:$F$11,5,FALSE),"")</f>
        <v/>
      </c>
      <c r="G56" s="12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3" t="inlineStr">
        <is>
          <t>IPE 140</t>
        </is>
      </c>
      <c r="D57" s="19" t="n">
        <v>2.8</v>
      </c>
      <c r="E57" s="20">
        <f>IF(AND(ISNUMBER($D57),ISNUMBER(VLOOKUP($C57,$A$5:$F$11,4,FALSE))),$D57*VLOOKUP($C57,$A$5:$F$11,4,FALSE),"")</f>
        <v/>
      </c>
      <c r="F57" s="12">
        <f>IF(AND(ISNUMBER($D57),ISNUMBER(VLOOKUP($C57,$A$5:$F$11,2,FALSE)),ISNUMBER(VLOOKUP($C57,$A$5:$F$11,5,FALSE))),$D57*VLOOKUP($C57,$A$5:$F$11,2,FALSE)*VLOOKUP($C57,$A$5:$F$11,5,FALSE),"")</f>
        <v/>
      </c>
      <c r="G57" s="12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3" t="inlineStr">
        <is>
          <t>IPE 140</t>
        </is>
      </c>
      <c r="D58" s="19" t="n">
        <v>2.9</v>
      </c>
      <c r="E58" s="20">
        <f>IF(AND(ISNUMBER($D58),ISNUMBER(VLOOKUP($C58,$A$5:$F$11,4,FALSE))),$D58*VLOOKUP($C58,$A$5:$F$11,4,FALSE),"")</f>
        <v/>
      </c>
      <c r="F58" s="12">
        <f>IF(AND(ISNUMBER($D58),ISNUMBER(VLOOKUP($C58,$A$5:$F$11,2,FALSE)),ISNUMBER(VLOOKUP($C58,$A$5:$F$11,5,FALSE))),$D58*VLOOKUP($C58,$A$5:$F$11,2,FALSE)*VLOOKUP($C58,$A$5:$F$11,5,FALSE),"")</f>
        <v/>
      </c>
      <c r="G58" s="12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3" t="inlineStr">
        <is>
          <t>IPE 140</t>
        </is>
      </c>
      <c r="D59" s="19" t="n">
        <v>3</v>
      </c>
      <c r="E59" s="20">
        <f>IF(AND(ISNUMBER($D59),ISNUMBER(VLOOKUP($C59,$A$5:$F$11,4,FALSE))),$D59*VLOOKUP($C59,$A$5:$F$11,4,FALSE),"")</f>
        <v/>
      </c>
      <c r="F59" s="12">
        <f>IF(AND(ISNUMBER($D59),ISNUMBER(VLOOKUP($C59,$A$5:$F$11,2,FALSE)),ISNUMBER(VLOOKUP($C59,$A$5:$F$11,5,FALSE))),$D59*VLOOKUP($C59,$A$5:$F$11,2,FALSE)*VLOOKUP($C59,$A$5:$F$11,5,FALSE),"")</f>
        <v/>
      </c>
      <c r="G59" s="12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3" t="inlineStr">
        <is>
          <t>IPE 140</t>
        </is>
      </c>
      <c r="D60" s="19" t="n">
        <v>3.1</v>
      </c>
      <c r="E60" s="20">
        <f>IF(AND(ISNUMBER($D60),ISNUMBER(VLOOKUP($C60,$A$5:$F$11,4,FALSE))),$D60*VLOOKUP($C60,$A$5:$F$11,4,FALSE),"")</f>
        <v/>
      </c>
      <c r="F60" s="12">
        <f>IF(AND(ISNUMBER($D60),ISNUMBER(VLOOKUP($C60,$A$5:$F$11,2,FALSE)),ISNUMBER(VLOOKUP($C60,$A$5:$F$11,5,FALSE))),$D60*VLOOKUP($C60,$A$5:$F$11,2,FALSE)*VLOOKUP($C60,$A$5:$F$11,5,FALSE),"")</f>
        <v/>
      </c>
      <c r="G60" s="12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3" t="inlineStr">
        <is>
          <t>IPE 140</t>
        </is>
      </c>
      <c r="D61" s="19" t="n">
        <v>3.2</v>
      </c>
      <c r="E61" s="20">
        <f>IF(AND(ISNUMBER($D61),ISNUMBER(VLOOKUP($C61,$A$5:$F$11,4,FALSE))),$D61*VLOOKUP($C61,$A$5:$F$11,4,FALSE),"")</f>
        <v/>
      </c>
      <c r="F61" s="12">
        <f>IF(AND(ISNUMBER($D61),ISNUMBER(VLOOKUP($C61,$A$5:$F$11,2,FALSE)),ISNUMBER(VLOOKUP($C61,$A$5:$F$11,5,FALSE))),$D61*VLOOKUP($C61,$A$5:$F$11,2,FALSE)*VLOOKUP($C61,$A$5:$F$11,5,FALSE),"")</f>
        <v/>
      </c>
      <c r="G61" s="12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3" t="inlineStr">
        <is>
          <t>IPE 140</t>
        </is>
      </c>
      <c r="D62" s="19" t="n">
        <v>3.3</v>
      </c>
      <c r="E62" s="20">
        <f>IF(AND(ISNUMBER($D62),ISNUMBER(VLOOKUP($C62,$A$5:$F$11,4,FALSE))),$D62*VLOOKUP($C62,$A$5:$F$11,4,FALSE),"")</f>
        <v/>
      </c>
      <c r="F62" s="12">
        <f>IF(AND(ISNUMBER($D62),ISNUMBER(VLOOKUP($C62,$A$5:$F$11,2,FALSE)),ISNUMBER(VLOOKUP($C62,$A$5:$F$11,5,FALSE))),$D62*VLOOKUP($C62,$A$5:$F$11,2,FALSE)*VLOOKUP($C62,$A$5:$F$11,5,FALSE),"")</f>
        <v/>
      </c>
      <c r="G62" s="12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3" t="inlineStr">
        <is>
          <t>IPE 140</t>
        </is>
      </c>
      <c r="D63" s="19" t="n">
        <v>3.4</v>
      </c>
      <c r="E63" s="20">
        <f>IF(AND(ISNUMBER($D63),ISNUMBER(VLOOKUP($C63,$A$5:$F$11,4,FALSE))),$D63*VLOOKUP($C63,$A$5:$F$11,4,FALSE),"")</f>
        <v/>
      </c>
      <c r="F63" s="12">
        <f>IF(AND(ISNUMBER($D63),ISNUMBER(VLOOKUP($C63,$A$5:$F$11,2,FALSE)),ISNUMBER(VLOOKUP($C63,$A$5:$F$11,5,FALSE))),$D63*VLOOKUP($C63,$A$5:$F$11,2,FALSE)*VLOOKUP($C63,$A$5:$F$11,5,FALSE),"")</f>
        <v/>
      </c>
      <c r="G63" s="12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3" t="inlineStr">
        <is>
          <t>IPE 140</t>
        </is>
      </c>
      <c r="D64" s="19" t="n">
        <v>3.5</v>
      </c>
      <c r="E64" s="20">
        <f>IF(AND(ISNUMBER($D64),ISNUMBER(VLOOKUP($C64,$A$5:$F$11,4,FALSE))),$D64*VLOOKUP($C64,$A$5:$F$11,4,FALSE),"")</f>
        <v/>
      </c>
      <c r="F64" s="12">
        <f>IF(AND(ISNUMBER($D64),ISNUMBER(VLOOKUP($C64,$A$5:$F$11,2,FALSE)),ISNUMBER(VLOOKUP($C64,$A$5:$F$11,5,FALSE))),$D64*VLOOKUP($C64,$A$5:$F$11,2,FALSE)*VLOOKUP($C64,$A$5:$F$11,5,FALSE),"")</f>
        <v/>
      </c>
      <c r="G64" s="12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3" t="inlineStr">
        <is>
          <t>IPE 140</t>
        </is>
      </c>
      <c r="D65" s="19" t="n">
        <v>3.6</v>
      </c>
      <c r="E65" s="20">
        <f>IF(AND(ISNUMBER($D65),ISNUMBER(VLOOKUP($C65,$A$5:$F$11,4,FALSE))),$D65*VLOOKUP($C65,$A$5:$F$11,4,FALSE),"")</f>
        <v/>
      </c>
      <c r="F65" s="12">
        <f>IF(AND(ISNUMBER($D65),ISNUMBER(VLOOKUP($C65,$A$5:$F$11,2,FALSE)),ISNUMBER(VLOOKUP($C65,$A$5:$F$11,5,FALSE))),$D65*VLOOKUP($C65,$A$5:$F$11,2,FALSE)*VLOOKUP($C65,$A$5:$F$11,5,FALSE),"")</f>
        <v/>
      </c>
      <c r="G65" s="12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3" t="inlineStr">
        <is>
          <t>IPEA 140</t>
        </is>
      </c>
      <c r="D66" s="19" t="n">
        <v>2.6</v>
      </c>
      <c r="E66" s="20">
        <f>IF(AND(ISNUMBER($D66),ISNUMBER(VLOOKUP($C66,$A$5:$F$11,4,FALSE))),$D66*VLOOKUP($C66,$A$5:$F$11,4,FALSE),"")</f>
        <v/>
      </c>
      <c r="F66" s="12">
        <f>IF(AND(ISNUMBER($D66),ISNUMBER(VLOOKUP($C66,$A$5:$F$11,2,FALSE)),ISNUMBER(VLOOKUP($C66,$A$5:$F$11,5,FALSE))),$D66*VLOOKUP($C66,$A$5:$F$11,2,FALSE)*VLOOKUP($C66,$A$5:$F$11,5,FALSE),"")</f>
        <v/>
      </c>
      <c r="G66" s="12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3" t="inlineStr">
        <is>
          <t>IPEA 140</t>
        </is>
      </c>
      <c r="D67" s="19" t="n">
        <v>2.7</v>
      </c>
      <c r="E67" s="20">
        <f>IF(AND(ISNUMBER($D67),ISNUMBER(VLOOKUP($C67,$A$5:$F$11,4,FALSE))),$D67*VLOOKUP($C67,$A$5:$F$11,4,FALSE),"")</f>
        <v/>
      </c>
      <c r="F67" s="12">
        <f>IF(AND(ISNUMBER($D67),ISNUMBER(VLOOKUP($C67,$A$5:$F$11,2,FALSE)),ISNUMBER(VLOOKUP($C67,$A$5:$F$11,5,FALSE))),$D67*VLOOKUP($C67,$A$5:$F$11,2,FALSE)*VLOOKUP($C67,$A$5:$F$11,5,FALSE),"")</f>
        <v/>
      </c>
      <c r="G67" s="12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3" t="inlineStr">
        <is>
          <t>IPEA 140</t>
        </is>
      </c>
      <c r="D68" s="19" t="n">
        <v>2.8</v>
      </c>
      <c r="E68" s="20">
        <f>IF(AND(ISNUMBER($D68),ISNUMBER(VLOOKUP($C68,$A$5:$F$11,4,FALSE))),$D68*VLOOKUP($C68,$A$5:$F$11,4,FALSE),"")</f>
        <v/>
      </c>
      <c r="F68" s="12">
        <f>IF(AND(ISNUMBER($D68),ISNUMBER(VLOOKUP($C68,$A$5:$F$11,2,FALSE)),ISNUMBER(VLOOKUP($C68,$A$5:$F$11,5,FALSE))),$D68*VLOOKUP($C68,$A$5:$F$11,2,FALSE)*VLOOKUP($C68,$A$5:$F$11,5,FALSE),"")</f>
        <v/>
      </c>
      <c r="G68" s="12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3" t="inlineStr">
        <is>
          <t>IPEA 140</t>
        </is>
      </c>
      <c r="D69" s="19" t="n">
        <v>2.9</v>
      </c>
      <c r="E69" s="20">
        <f>IF(AND(ISNUMBER($D69),ISNUMBER(VLOOKUP($C69,$A$5:$F$11,4,FALSE))),$D69*VLOOKUP($C69,$A$5:$F$11,4,FALSE),"")</f>
        <v/>
      </c>
      <c r="F69" s="12">
        <f>IF(AND(ISNUMBER($D69),ISNUMBER(VLOOKUP($C69,$A$5:$F$11,2,FALSE)),ISNUMBER(VLOOKUP($C69,$A$5:$F$11,5,FALSE))),$D69*VLOOKUP($C69,$A$5:$F$11,2,FALSE)*VLOOKUP($C69,$A$5:$F$11,5,FALSE),"")</f>
        <v/>
      </c>
      <c r="G69" s="12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3" t="inlineStr">
        <is>
          <t>IPEA 140</t>
        </is>
      </c>
      <c r="D70" s="19" t="n">
        <v>3</v>
      </c>
      <c r="E70" s="20">
        <f>IF(AND(ISNUMBER($D70),ISNUMBER(VLOOKUP($C70,$A$5:$F$11,4,FALSE))),$D70*VLOOKUP($C70,$A$5:$F$11,4,FALSE),"")</f>
        <v/>
      </c>
      <c r="F70" s="12">
        <f>IF(AND(ISNUMBER($D70),ISNUMBER(VLOOKUP($C70,$A$5:$F$11,2,FALSE)),ISNUMBER(VLOOKUP($C70,$A$5:$F$11,5,FALSE))),$D70*VLOOKUP($C70,$A$5:$F$11,2,FALSE)*VLOOKUP($C70,$A$5:$F$11,5,FALSE),"")</f>
        <v/>
      </c>
      <c r="G70" s="12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3" t="inlineStr">
        <is>
          <t>IPEA 140</t>
        </is>
      </c>
      <c r="D71" s="19" t="n">
        <v>3.1</v>
      </c>
      <c r="E71" s="20">
        <f>IF(AND(ISNUMBER($D71),ISNUMBER(VLOOKUP($C71,$A$5:$F$11,4,FALSE))),$D71*VLOOKUP($C71,$A$5:$F$11,4,FALSE),"")</f>
        <v/>
      </c>
      <c r="F71" s="12">
        <f>IF(AND(ISNUMBER($D71),ISNUMBER(VLOOKUP($C71,$A$5:$F$11,2,FALSE)),ISNUMBER(VLOOKUP($C71,$A$5:$F$11,5,FALSE))),$D71*VLOOKUP($C71,$A$5:$F$11,2,FALSE)*VLOOKUP($C71,$A$5:$F$11,5,FALSE),"")</f>
        <v/>
      </c>
      <c r="G71" s="12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3" t="inlineStr">
        <is>
          <t>IPEA 140</t>
        </is>
      </c>
      <c r="D72" s="19" t="n">
        <v>3.2</v>
      </c>
      <c r="E72" s="20">
        <f>IF(AND(ISNUMBER($D72),ISNUMBER(VLOOKUP($C72,$A$5:$F$11,4,FALSE))),$D72*VLOOKUP($C72,$A$5:$F$11,4,FALSE),"")</f>
        <v/>
      </c>
      <c r="F72" s="12">
        <f>IF(AND(ISNUMBER($D72),ISNUMBER(VLOOKUP($C72,$A$5:$F$11,2,FALSE)),ISNUMBER(VLOOKUP($C72,$A$5:$F$11,5,FALSE))),$D72*VLOOKUP($C72,$A$5:$F$11,2,FALSE)*VLOOKUP($C72,$A$5:$F$11,5,FALSE),"")</f>
        <v/>
      </c>
      <c r="G72" s="12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3" t="inlineStr">
        <is>
          <t>IPEA 140</t>
        </is>
      </c>
      <c r="D73" s="19" t="n">
        <v>3.3</v>
      </c>
      <c r="E73" s="20">
        <f>IF(AND(ISNUMBER($D73),ISNUMBER(VLOOKUP($C73,$A$5:$F$11,4,FALSE))),$D73*VLOOKUP($C73,$A$5:$F$11,4,FALSE),"")</f>
        <v/>
      </c>
      <c r="F73" s="12">
        <f>IF(AND(ISNUMBER($D73),ISNUMBER(VLOOKUP($C73,$A$5:$F$11,2,FALSE)),ISNUMBER(VLOOKUP($C73,$A$5:$F$11,5,FALSE))),$D73*VLOOKUP($C73,$A$5:$F$11,2,FALSE)*VLOOKUP($C73,$A$5:$F$11,5,FALSE),"")</f>
        <v/>
      </c>
      <c r="G73" s="12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3" t="inlineStr">
        <is>
          <t>IPEA 140</t>
        </is>
      </c>
      <c r="D74" s="19" t="n">
        <v>3.4</v>
      </c>
      <c r="E74" s="20">
        <f>IF(AND(ISNUMBER($D74),ISNUMBER(VLOOKUP($C74,$A$5:$F$11,4,FALSE))),$D74*VLOOKUP($C74,$A$5:$F$11,4,FALSE),"")</f>
        <v/>
      </c>
      <c r="F74" s="12">
        <f>IF(AND(ISNUMBER($D74),ISNUMBER(VLOOKUP($C74,$A$5:$F$11,2,FALSE)),ISNUMBER(VLOOKUP($C74,$A$5:$F$11,5,FALSE))),$D74*VLOOKUP($C74,$A$5:$F$11,2,FALSE)*VLOOKUP($C74,$A$5:$F$11,5,FALSE),"")</f>
        <v/>
      </c>
      <c r="G74" s="12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3" t="inlineStr">
        <is>
          <t>IPEA 140</t>
        </is>
      </c>
      <c r="D75" s="19" t="n">
        <v>3.5</v>
      </c>
      <c r="E75" s="20">
        <f>IF(AND(ISNUMBER($D75),ISNUMBER(VLOOKUP($C75,$A$5:$F$11,4,FALSE))),$D75*VLOOKUP($C75,$A$5:$F$11,4,FALSE),"")</f>
        <v/>
      </c>
      <c r="F75" s="12">
        <f>IF(AND(ISNUMBER($D75),ISNUMBER(VLOOKUP($C75,$A$5:$F$11,2,FALSE)),ISNUMBER(VLOOKUP($C75,$A$5:$F$11,5,FALSE))),$D75*VLOOKUP($C75,$A$5:$F$11,2,FALSE)*VLOOKUP($C75,$A$5:$F$11,5,FALSE),"")</f>
        <v/>
      </c>
      <c r="G75" s="12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3" t="inlineStr">
        <is>
          <t>IPEA 140</t>
        </is>
      </c>
      <c r="D76" s="19" t="n">
        <v>3.6</v>
      </c>
      <c r="E76" s="20">
        <f>IF(AND(ISNUMBER($D76),ISNUMBER(VLOOKUP($C76,$A$5:$F$11,4,FALSE))),$D76*VLOOKUP($C76,$A$5:$F$11,4,FALSE),"")</f>
        <v/>
      </c>
      <c r="F76" s="12">
        <f>IF(AND(ISNUMBER($D76),ISNUMBER(VLOOKUP($C76,$A$5:$F$11,2,FALSE)),ISNUMBER(VLOOKUP($C76,$A$5:$F$11,5,FALSE))),$D76*VLOOKUP($C76,$A$5:$F$11,2,FALSE)*VLOOKUP($C76,$A$5:$F$11,5,FALSE),"")</f>
        <v/>
      </c>
      <c r="G76" s="12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3" t="inlineStr">
        <is>
          <t>IPE 140</t>
        </is>
      </c>
      <c r="D77" s="19" t="n">
        <v>2.22</v>
      </c>
      <c r="E77" s="20">
        <f>IF(AND(ISNUMBER($D77),ISNUMBER(VLOOKUP($C77,$A$5:$F$11,4,FALSE))),$D77*VLOOKUP($C77,$A$5:$F$11,4,FALSE),"")</f>
        <v/>
      </c>
      <c r="F77" s="12">
        <f>IF(AND(ISNUMBER($D77),ISNUMBER(VLOOKUP($C77,$A$5:$F$11,2,FALSE)),ISNUMBER(VLOOKUP($C77,$A$5:$F$11,5,FALSE))),$D77*VLOOKUP($C77,$A$5:$F$11,2,FALSE)*VLOOKUP($C77,$A$5:$F$11,5,FALSE),"")</f>
        <v/>
      </c>
      <c r="G77" s="12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3" t="inlineStr">
        <is>
          <t>IPE 140</t>
        </is>
      </c>
      <c r="D78" s="19" t="n">
        <v>2.22</v>
      </c>
      <c r="E78" s="20">
        <f>IF(AND(ISNUMBER($D78),ISNUMBER(VLOOKUP($C78,$A$5:$F$11,4,FALSE))),$D78*VLOOKUP($C78,$A$5:$F$11,4,FALSE),"")</f>
        <v/>
      </c>
      <c r="F78" s="12">
        <f>IF(AND(ISNUMBER($D78),ISNUMBER(VLOOKUP($C78,$A$5:$F$11,2,FALSE)),ISNUMBER(VLOOKUP($C78,$A$5:$F$11,5,FALSE))),$D78*VLOOKUP($C78,$A$5:$F$11,2,FALSE)*VLOOKUP($C78,$A$5:$F$11,5,FALSE),"")</f>
        <v/>
      </c>
      <c r="G78" s="12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3" t="inlineStr">
        <is>
          <t>IPE 140</t>
        </is>
      </c>
      <c r="D79" s="19" t="n">
        <v>2.72</v>
      </c>
      <c r="E79" s="20">
        <f>IF(AND(ISNUMBER($D79),ISNUMBER(VLOOKUP($C79,$A$5:$F$11,4,FALSE))),$D79*VLOOKUP($C79,$A$5:$F$11,4,FALSE),"")</f>
        <v/>
      </c>
      <c r="F79" s="12">
        <f>IF(AND(ISNUMBER($D79),ISNUMBER(VLOOKUP($C79,$A$5:$F$11,2,FALSE)),ISNUMBER(VLOOKUP($C79,$A$5:$F$11,5,FALSE))),$D79*VLOOKUP($C79,$A$5:$F$11,2,FALSE)*VLOOKUP($C79,$A$5:$F$11,5,FALSE),"")</f>
        <v/>
      </c>
      <c r="G79" s="12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3" t="inlineStr">
        <is>
          <t>IPE 140</t>
        </is>
      </c>
      <c r="D80" s="19" t="n">
        <v>2.82</v>
      </c>
      <c r="E80" s="20">
        <f>IF(AND(ISNUMBER($D80),ISNUMBER(VLOOKUP($C80,$A$5:$F$11,4,FALSE))),$D80*VLOOKUP($C80,$A$5:$F$11,4,FALSE),"")</f>
        <v/>
      </c>
      <c r="F80" s="12">
        <f>IF(AND(ISNUMBER($D80),ISNUMBER(VLOOKUP($C80,$A$5:$F$11,2,FALSE)),ISNUMBER(VLOOKUP($C80,$A$5:$F$11,5,FALSE))),$D80*VLOOKUP($C80,$A$5:$F$11,2,FALSE)*VLOOKUP($C80,$A$5:$F$11,5,FALSE),"")</f>
        <v/>
      </c>
      <c r="G80" s="12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3" t="inlineStr">
        <is>
          <t>IPE 140</t>
        </is>
      </c>
      <c r="D81" s="19" t="n">
        <v>2.92</v>
      </c>
      <c r="E81" s="20">
        <f>IF(AND(ISNUMBER($D81),ISNUMBER(VLOOKUP($C81,$A$5:$F$11,4,FALSE))),$D81*VLOOKUP($C81,$A$5:$F$11,4,FALSE),"")</f>
        <v/>
      </c>
      <c r="F81" s="12">
        <f>IF(AND(ISNUMBER($D81),ISNUMBER(VLOOKUP($C81,$A$5:$F$11,2,FALSE)),ISNUMBER(VLOOKUP($C81,$A$5:$F$11,5,FALSE))),$D81*VLOOKUP($C81,$A$5:$F$11,2,FALSE)*VLOOKUP($C81,$A$5:$F$11,5,FALSE),"")</f>
        <v/>
      </c>
      <c r="G81" s="12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3" t="inlineStr">
        <is>
          <t>IPE 140</t>
        </is>
      </c>
      <c r="D82" s="19" t="n">
        <v>3.02</v>
      </c>
      <c r="E82" s="20">
        <f>IF(AND(ISNUMBER($D82),ISNUMBER(VLOOKUP($C82,$A$5:$F$11,4,FALSE))),$D82*VLOOKUP($C82,$A$5:$F$11,4,FALSE),"")</f>
        <v/>
      </c>
      <c r="F82" s="12">
        <f>IF(AND(ISNUMBER($D82),ISNUMBER(VLOOKUP($C82,$A$5:$F$11,2,FALSE)),ISNUMBER(VLOOKUP($C82,$A$5:$F$11,5,FALSE))),$D82*VLOOKUP($C82,$A$5:$F$11,2,FALSE)*VLOOKUP($C82,$A$5:$F$11,5,FALSE),"")</f>
        <v/>
      </c>
      <c r="G82" s="12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3" t="inlineStr">
        <is>
          <t>IPE 140</t>
        </is>
      </c>
      <c r="D83" s="19" t="n">
        <v>3.12</v>
      </c>
      <c r="E83" s="20">
        <f>IF(AND(ISNUMBER($D83),ISNUMBER(VLOOKUP($C83,$A$5:$F$11,4,FALSE))),$D83*VLOOKUP($C83,$A$5:$F$11,4,FALSE),"")</f>
        <v/>
      </c>
      <c r="F83" s="12">
        <f>IF(AND(ISNUMBER($D83),ISNUMBER(VLOOKUP($C83,$A$5:$F$11,2,FALSE)),ISNUMBER(VLOOKUP($C83,$A$5:$F$11,5,FALSE))),$D83*VLOOKUP($C83,$A$5:$F$11,2,FALSE)*VLOOKUP($C83,$A$5:$F$11,5,FALSE),"")</f>
        <v/>
      </c>
      <c r="G83" s="12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3" t="inlineStr">
        <is>
          <t>IPE 140</t>
        </is>
      </c>
      <c r="D84" s="19" t="n">
        <v>3.22</v>
      </c>
      <c r="E84" s="20">
        <f>IF(AND(ISNUMBER($D84),ISNUMBER(VLOOKUP($C84,$A$5:$F$11,4,FALSE))),$D84*VLOOKUP($C84,$A$5:$F$11,4,FALSE),"")</f>
        <v/>
      </c>
      <c r="F84" s="12">
        <f>IF(AND(ISNUMBER($D84),ISNUMBER(VLOOKUP($C84,$A$5:$F$11,2,FALSE)),ISNUMBER(VLOOKUP($C84,$A$5:$F$11,5,FALSE))),$D84*VLOOKUP($C84,$A$5:$F$11,2,FALSE)*VLOOKUP($C84,$A$5:$F$11,5,FALSE),"")</f>
        <v/>
      </c>
      <c r="G84" s="12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3" t="inlineStr">
        <is>
          <t>IPE 140</t>
        </is>
      </c>
      <c r="D85" s="19" t="n">
        <v>3.32</v>
      </c>
      <c r="E85" s="20">
        <f>IF(AND(ISNUMBER($D85),ISNUMBER(VLOOKUP($C85,$A$5:$F$11,4,FALSE))),$D85*VLOOKUP($C85,$A$5:$F$11,4,FALSE),"")</f>
        <v/>
      </c>
      <c r="F85" s="12">
        <f>IF(AND(ISNUMBER($D85),ISNUMBER(VLOOKUP($C85,$A$5:$F$11,2,FALSE)),ISNUMBER(VLOOKUP($C85,$A$5:$F$11,5,FALSE))),$D85*VLOOKUP($C85,$A$5:$F$11,2,FALSE)*VLOOKUP($C85,$A$5:$F$11,5,FALSE),"")</f>
        <v/>
      </c>
      <c r="G85" s="12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3" t="inlineStr">
        <is>
          <t>IPE 140</t>
        </is>
      </c>
      <c r="D86" s="19" t="n">
        <v>3.42</v>
      </c>
      <c r="E86" s="20">
        <f>IF(AND(ISNUMBER($D86),ISNUMBER(VLOOKUP($C86,$A$5:$F$11,4,FALSE))),$D86*VLOOKUP($C86,$A$5:$F$11,4,FALSE),"")</f>
        <v/>
      </c>
      <c r="F86" s="12">
        <f>IF(AND(ISNUMBER($D86),ISNUMBER(VLOOKUP($C86,$A$5:$F$11,2,FALSE)),ISNUMBER(VLOOKUP($C86,$A$5:$F$11,5,FALSE))),$D86*VLOOKUP($C86,$A$5:$F$11,2,FALSE)*VLOOKUP($C86,$A$5:$F$11,5,FALSE),"")</f>
        <v/>
      </c>
      <c r="G86" s="12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3" t="inlineStr">
        <is>
          <t>IPE 140</t>
        </is>
      </c>
      <c r="D87" s="19" t="n">
        <v>3.52</v>
      </c>
      <c r="E87" s="20">
        <f>IF(AND(ISNUMBER($D87),ISNUMBER(VLOOKUP($C87,$A$5:$F$11,4,FALSE))),$D87*VLOOKUP($C87,$A$5:$F$11,4,FALSE),"")</f>
        <v/>
      </c>
      <c r="F87" s="12">
        <f>IF(AND(ISNUMBER($D87),ISNUMBER(VLOOKUP($C87,$A$5:$F$11,2,FALSE)),ISNUMBER(VLOOKUP($C87,$A$5:$F$11,5,FALSE))),$D87*VLOOKUP($C87,$A$5:$F$11,2,FALSE)*VLOOKUP($C87,$A$5:$F$11,5,FALSE),"")</f>
        <v/>
      </c>
      <c r="G87" s="12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3" t="inlineStr">
        <is>
          <t>IPE 140</t>
        </is>
      </c>
      <c r="D88" s="19" t="n">
        <v>3.62</v>
      </c>
      <c r="E88" s="20">
        <f>IF(AND(ISNUMBER($D88),ISNUMBER(VLOOKUP($C88,$A$5:$F$11,4,FALSE))),$D88*VLOOKUP($C88,$A$5:$F$11,4,FALSE),"")</f>
        <v/>
      </c>
      <c r="F88" s="12">
        <f>IF(AND(ISNUMBER($D88),ISNUMBER(VLOOKUP($C88,$A$5:$F$11,2,FALSE)),ISNUMBER(VLOOKUP($C88,$A$5:$F$11,5,FALSE))),$D88*VLOOKUP($C88,$A$5:$F$11,2,FALSE)*VLOOKUP($C88,$A$5:$F$11,5,FALSE),"")</f>
        <v/>
      </c>
      <c r="G88" s="12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3" t="inlineStr">
        <is>
          <t>IPE 140</t>
        </is>
      </c>
      <c r="D89" s="19" t="n">
        <v>3.72</v>
      </c>
      <c r="E89" s="20">
        <f>IF(AND(ISNUMBER($D89),ISNUMBER(VLOOKUP($C89,$A$5:$F$11,4,FALSE))),$D89*VLOOKUP($C89,$A$5:$F$11,4,FALSE),"")</f>
        <v/>
      </c>
      <c r="F89" s="12">
        <f>IF(AND(ISNUMBER($D89),ISNUMBER(VLOOKUP($C89,$A$5:$F$11,2,FALSE)),ISNUMBER(VLOOKUP($C89,$A$5:$F$11,5,FALSE))),$D89*VLOOKUP($C89,$A$5:$F$11,2,FALSE)*VLOOKUP($C89,$A$5:$F$11,5,FALSE),"")</f>
        <v/>
      </c>
      <c r="G89" s="12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3" t="inlineStr">
        <is>
          <t>IPE 140</t>
        </is>
      </c>
      <c r="D90" s="19" t="n">
        <v>3.82</v>
      </c>
      <c r="E90" s="20">
        <f>IF(AND(ISNUMBER($D90),ISNUMBER(VLOOKUP($C90,$A$5:$F$11,4,FALSE))),$D90*VLOOKUP($C90,$A$5:$F$11,4,FALSE),"")</f>
        <v/>
      </c>
      <c r="F90" s="12">
        <f>IF(AND(ISNUMBER($D90),ISNUMBER(VLOOKUP($C90,$A$5:$F$11,2,FALSE)),ISNUMBER(VLOOKUP($C90,$A$5:$F$11,5,FALSE))),$D90*VLOOKUP($C90,$A$5:$F$11,2,FALSE)*VLOOKUP($C90,$A$5:$F$11,5,FALSE),"")</f>
        <v/>
      </c>
      <c r="G90" s="12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3" t="inlineStr">
        <is>
          <t>IPE 140</t>
        </is>
      </c>
      <c r="D91" s="19" t="n">
        <v>3.92</v>
      </c>
      <c r="E91" s="20">
        <f>IF(AND(ISNUMBER($D91),ISNUMBER(VLOOKUP($C91,$A$5:$F$11,4,FALSE))),$D91*VLOOKUP($C91,$A$5:$F$11,4,FALSE),"")</f>
        <v/>
      </c>
      <c r="F91" s="12">
        <f>IF(AND(ISNUMBER($D91),ISNUMBER(VLOOKUP($C91,$A$5:$F$11,2,FALSE)),ISNUMBER(VLOOKUP($C91,$A$5:$F$11,5,FALSE))),$D91*VLOOKUP($C91,$A$5:$F$11,2,FALSE)*VLOOKUP($C91,$A$5:$F$11,5,FALSE),"")</f>
        <v/>
      </c>
      <c r="G91" s="12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3" t="inlineStr">
        <is>
          <t>IPE 140</t>
        </is>
      </c>
      <c r="D92" s="19" t="n">
        <v>4.02</v>
      </c>
      <c r="E92" s="20">
        <f>IF(AND(ISNUMBER($D92),ISNUMBER(VLOOKUP($C92,$A$5:$F$11,4,FALSE))),$D92*VLOOKUP($C92,$A$5:$F$11,4,FALSE),"")</f>
        <v/>
      </c>
      <c r="F92" s="12">
        <f>IF(AND(ISNUMBER($D92),ISNUMBER(VLOOKUP($C92,$A$5:$F$11,2,FALSE)),ISNUMBER(VLOOKUP($C92,$A$5:$F$11,5,FALSE))),$D92*VLOOKUP($C92,$A$5:$F$11,2,FALSE)*VLOOKUP($C92,$A$5:$F$11,5,FALSE),"")</f>
        <v/>
      </c>
      <c r="G92" s="12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3" t="inlineStr">
        <is>
          <t>IPE 140</t>
        </is>
      </c>
      <c r="D93" s="19" t="n">
        <v>4.12</v>
      </c>
      <c r="E93" s="20">
        <f>IF(AND(ISNUMBER($D93),ISNUMBER(VLOOKUP($C93,$A$5:$F$11,4,FALSE))),$D93*VLOOKUP($C93,$A$5:$F$11,4,FALSE),"")</f>
        <v/>
      </c>
      <c r="F93" s="12">
        <f>IF(AND(ISNUMBER($D93),ISNUMBER(VLOOKUP($C93,$A$5:$F$11,2,FALSE)),ISNUMBER(VLOOKUP($C93,$A$5:$F$11,5,FALSE))),$D93*VLOOKUP($C93,$A$5:$F$11,2,FALSE)*VLOOKUP($C93,$A$5:$F$11,5,FALSE),"")</f>
        <v/>
      </c>
      <c r="G93" s="12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3" t="inlineStr">
        <is>
          <t>IPE 140</t>
        </is>
      </c>
      <c r="D94" s="19" t="n">
        <v>4.22</v>
      </c>
      <c r="E94" s="20">
        <f>IF(AND(ISNUMBER($D94),ISNUMBER(VLOOKUP($C94,$A$5:$F$11,4,FALSE))),$D94*VLOOKUP($C94,$A$5:$F$11,4,FALSE),"")</f>
        <v/>
      </c>
      <c r="F94" s="12">
        <f>IF(AND(ISNUMBER($D94),ISNUMBER(VLOOKUP($C94,$A$5:$F$11,2,FALSE)),ISNUMBER(VLOOKUP($C94,$A$5:$F$11,5,FALSE))),$D94*VLOOKUP($C94,$A$5:$F$11,2,FALSE)*VLOOKUP($C94,$A$5:$F$11,5,FALSE),"")</f>
        <v/>
      </c>
      <c r="G94" s="12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3" t="inlineStr">
        <is>
          <t>IPE 140</t>
        </is>
      </c>
      <c r="D95" s="19" t="n">
        <v>4.32</v>
      </c>
      <c r="E95" s="20">
        <f>IF(AND(ISNUMBER($D95),ISNUMBER(VLOOKUP($C95,$A$5:$F$11,4,FALSE))),$D95*VLOOKUP($C95,$A$5:$F$11,4,FALSE),"")</f>
        <v/>
      </c>
      <c r="F95" s="12">
        <f>IF(AND(ISNUMBER($D95),ISNUMBER(VLOOKUP($C95,$A$5:$F$11,2,FALSE)),ISNUMBER(VLOOKUP($C95,$A$5:$F$11,5,FALSE))),$D95*VLOOKUP($C95,$A$5:$F$11,2,FALSE)*VLOOKUP($C95,$A$5:$F$11,5,FALSE),"")</f>
        <v/>
      </c>
      <c r="G95" s="12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3" t="inlineStr">
        <is>
          <t>IPE 140</t>
        </is>
      </c>
      <c r="D96" s="19" t="n">
        <v>4.42</v>
      </c>
      <c r="E96" s="20">
        <f>IF(AND(ISNUMBER($D96),ISNUMBER(VLOOKUP($C96,$A$5:$F$11,4,FALSE))),$D96*VLOOKUP($C96,$A$5:$F$11,4,FALSE),"")</f>
        <v/>
      </c>
      <c r="F96" s="12">
        <f>IF(AND(ISNUMBER($D96),ISNUMBER(VLOOKUP($C96,$A$5:$F$11,2,FALSE)),ISNUMBER(VLOOKUP($C96,$A$5:$F$11,5,FALSE))),$D96*VLOOKUP($C96,$A$5:$F$11,2,FALSE)*VLOOKUP($C96,$A$5:$F$11,5,FALSE),"")</f>
        <v/>
      </c>
      <c r="G96" s="12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3" t="inlineStr">
        <is>
          <t>IPEA 140</t>
        </is>
      </c>
      <c r="D97" s="19" t="n">
        <v>2.22</v>
      </c>
      <c r="E97" s="20">
        <f>IF(AND(ISNUMBER($D97),ISNUMBER(VLOOKUP($C97,$A$5:$F$11,4,FALSE))),$D97*VLOOKUP($C97,$A$5:$F$11,4,FALSE),"")</f>
        <v/>
      </c>
      <c r="F97" s="12">
        <f>IF(AND(ISNUMBER($D97),ISNUMBER(VLOOKUP($C97,$A$5:$F$11,2,FALSE)),ISNUMBER(VLOOKUP($C97,$A$5:$F$11,5,FALSE))),$D97*VLOOKUP($C97,$A$5:$F$11,2,FALSE)*VLOOKUP($C97,$A$5:$F$11,5,FALSE),"")</f>
        <v/>
      </c>
      <c r="G97" s="12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3" t="inlineStr">
        <is>
          <t>IPEA 140</t>
        </is>
      </c>
      <c r="D98" s="19" t="n">
        <v>2.22</v>
      </c>
      <c r="E98" s="20">
        <f>IF(AND(ISNUMBER($D98),ISNUMBER(VLOOKUP($C98,$A$5:$F$11,4,FALSE))),$D98*VLOOKUP($C98,$A$5:$F$11,4,FALSE),"")</f>
        <v/>
      </c>
      <c r="F98" s="12">
        <f>IF(AND(ISNUMBER($D98),ISNUMBER(VLOOKUP($C98,$A$5:$F$11,2,FALSE)),ISNUMBER(VLOOKUP($C98,$A$5:$F$11,5,FALSE))),$D98*VLOOKUP($C98,$A$5:$F$11,2,FALSE)*VLOOKUP($C98,$A$5:$F$11,5,FALSE),"")</f>
        <v/>
      </c>
      <c r="G98" s="12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3" t="inlineStr">
        <is>
          <t>IPEA 140</t>
        </is>
      </c>
      <c r="D99" s="19" t="n">
        <v>2.72</v>
      </c>
      <c r="E99" s="20">
        <f>IF(AND(ISNUMBER($D99),ISNUMBER(VLOOKUP($C99,$A$5:$F$11,4,FALSE))),$D99*VLOOKUP($C99,$A$5:$F$11,4,FALSE),"")</f>
        <v/>
      </c>
      <c r="F99" s="12">
        <f>IF(AND(ISNUMBER($D99),ISNUMBER(VLOOKUP($C99,$A$5:$F$11,2,FALSE)),ISNUMBER(VLOOKUP($C99,$A$5:$F$11,5,FALSE))),$D99*VLOOKUP($C99,$A$5:$F$11,2,FALSE)*VLOOKUP($C99,$A$5:$F$11,5,FALSE),"")</f>
        <v/>
      </c>
      <c r="G99" s="12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3" t="inlineStr">
        <is>
          <t>IPEA 140</t>
        </is>
      </c>
      <c r="D100" s="19" t="n">
        <v>2.82</v>
      </c>
      <c r="E100" s="20">
        <f>IF(AND(ISNUMBER($D100),ISNUMBER(VLOOKUP($C100,$A$5:$F$11,4,FALSE))),$D100*VLOOKUP($C100,$A$5:$F$11,4,FALSE),"")</f>
        <v/>
      </c>
      <c r="F100" s="12">
        <f>IF(AND(ISNUMBER($D100),ISNUMBER(VLOOKUP($C100,$A$5:$F$11,2,FALSE)),ISNUMBER(VLOOKUP($C100,$A$5:$F$11,5,FALSE))),$D100*VLOOKUP($C100,$A$5:$F$11,2,FALSE)*VLOOKUP($C100,$A$5:$F$11,5,FALSE),"")</f>
        <v/>
      </c>
      <c r="G100" s="12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3" t="inlineStr">
        <is>
          <t>IPEA 140</t>
        </is>
      </c>
      <c r="D101" s="19" t="n">
        <v>2.92</v>
      </c>
      <c r="E101" s="20">
        <f>IF(AND(ISNUMBER($D101),ISNUMBER(VLOOKUP($C101,$A$5:$F$11,4,FALSE))),$D101*VLOOKUP($C101,$A$5:$F$11,4,FALSE),"")</f>
        <v/>
      </c>
      <c r="F101" s="12">
        <f>IF(AND(ISNUMBER($D101),ISNUMBER(VLOOKUP($C101,$A$5:$F$11,2,FALSE)),ISNUMBER(VLOOKUP($C101,$A$5:$F$11,5,FALSE))),$D101*VLOOKUP($C101,$A$5:$F$11,2,FALSE)*VLOOKUP($C101,$A$5:$F$11,5,FALSE),"")</f>
        <v/>
      </c>
      <c r="G101" s="12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3" t="inlineStr">
        <is>
          <t>IPEA 140</t>
        </is>
      </c>
      <c r="D102" s="19" t="n">
        <v>3.02</v>
      </c>
      <c r="E102" s="20">
        <f>IF(AND(ISNUMBER($D102),ISNUMBER(VLOOKUP($C102,$A$5:$F$11,4,FALSE))),$D102*VLOOKUP($C102,$A$5:$F$11,4,FALSE),"")</f>
        <v/>
      </c>
      <c r="F102" s="12">
        <f>IF(AND(ISNUMBER($D102),ISNUMBER(VLOOKUP($C102,$A$5:$F$11,2,FALSE)),ISNUMBER(VLOOKUP($C102,$A$5:$F$11,5,FALSE))),$D102*VLOOKUP($C102,$A$5:$F$11,2,FALSE)*VLOOKUP($C102,$A$5:$F$11,5,FALSE),"")</f>
        <v/>
      </c>
      <c r="G102" s="12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3" t="inlineStr">
        <is>
          <t>IPEA 140</t>
        </is>
      </c>
      <c r="D103" s="19" t="n">
        <v>3.12</v>
      </c>
      <c r="E103" s="20">
        <f>IF(AND(ISNUMBER($D103),ISNUMBER(VLOOKUP($C103,$A$5:$F$11,4,FALSE))),$D103*VLOOKUP($C103,$A$5:$F$11,4,FALSE),"")</f>
        <v/>
      </c>
      <c r="F103" s="12">
        <f>IF(AND(ISNUMBER($D103),ISNUMBER(VLOOKUP($C103,$A$5:$F$11,2,FALSE)),ISNUMBER(VLOOKUP($C103,$A$5:$F$11,5,FALSE))),$D103*VLOOKUP($C103,$A$5:$F$11,2,FALSE)*VLOOKUP($C103,$A$5:$F$11,5,FALSE),"")</f>
        <v/>
      </c>
      <c r="G103" s="12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3" t="inlineStr">
        <is>
          <t>IPEA 140</t>
        </is>
      </c>
      <c r="D104" s="19" t="n">
        <v>3.22</v>
      </c>
      <c r="E104" s="20">
        <f>IF(AND(ISNUMBER($D104),ISNUMBER(VLOOKUP($C104,$A$5:$F$11,4,FALSE))),$D104*VLOOKUP($C104,$A$5:$F$11,4,FALSE),"")</f>
        <v/>
      </c>
      <c r="F104" s="12">
        <f>IF(AND(ISNUMBER($D104),ISNUMBER(VLOOKUP($C104,$A$5:$F$11,2,FALSE)),ISNUMBER(VLOOKUP($C104,$A$5:$F$11,5,FALSE))),$D104*VLOOKUP($C104,$A$5:$F$11,2,FALSE)*VLOOKUP($C104,$A$5:$F$11,5,FALSE),"")</f>
        <v/>
      </c>
      <c r="G104" s="12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3" t="inlineStr">
        <is>
          <t>IPEA 140</t>
        </is>
      </c>
      <c r="D105" s="19" t="n">
        <v>3.32</v>
      </c>
      <c r="E105" s="20">
        <f>IF(AND(ISNUMBER($D105),ISNUMBER(VLOOKUP($C105,$A$5:$F$11,4,FALSE))),$D105*VLOOKUP($C105,$A$5:$F$11,4,FALSE),"")</f>
        <v/>
      </c>
      <c r="F105" s="12">
        <f>IF(AND(ISNUMBER($D105),ISNUMBER(VLOOKUP($C105,$A$5:$F$11,2,FALSE)),ISNUMBER(VLOOKUP($C105,$A$5:$F$11,5,FALSE))),$D105*VLOOKUP($C105,$A$5:$F$11,2,FALSE)*VLOOKUP($C105,$A$5:$F$11,5,FALSE),"")</f>
        <v/>
      </c>
      <c r="G105" s="12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3" t="inlineStr">
        <is>
          <t>IPEA 140</t>
        </is>
      </c>
      <c r="D106" s="19" t="n">
        <v>3.42</v>
      </c>
      <c r="E106" s="20">
        <f>IF(AND(ISNUMBER($D106),ISNUMBER(VLOOKUP($C106,$A$5:$F$11,4,FALSE))),$D106*VLOOKUP($C106,$A$5:$F$11,4,FALSE),"")</f>
        <v/>
      </c>
      <c r="F106" s="12">
        <f>IF(AND(ISNUMBER($D106),ISNUMBER(VLOOKUP($C106,$A$5:$F$11,2,FALSE)),ISNUMBER(VLOOKUP($C106,$A$5:$F$11,5,FALSE))),$D106*VLOOKUP($C106,$A$5:$F$11,2,FALSE)*VLOOKUP($C106,$A$5:$F$11,5,FALSE),"")</f>
        <v/>
      </c>
      <c r="G106" s="12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3" t="inlineStr">
        <is>
          <t>IPEA 140</t>
        </is>
      </c>
      <c r="D107" s="19" t="n">
        <v>3.52</v>
      </c>
      <c r="E107" s="20">
        <f>IF(AND(ISNUMBER($D107),ISNUMBER(VLOOKUP($C107,$A$5:$F$11,4,FALSE))),$D107*VLOOKUP($C107,$A$5:$F$11,4,FALSE),"")</f>
        <v/>
      </c>
      <c r="F107" s="12">
        <f>IF(AND(ISNUMBER($D107),ISNUMBER(VLOOKUP($C107,$A$5:$F$11,2,FALSE)),ISNUMBER(VLOOKUP($C107,$A$5:$F$11,5,FALSE))),$D107*VLOOKUP($C107,$A$5:$F$11,2,FALSE)*VLOOKUP($C107,$A$5:$F$11,5,FALSE),"")</f>
        <v/>
      </c>
      <c r="G107" s="12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3" t="inlineStr">
        <is>
          <t>IPEA 140</t>
        </is>
      </c>
      <c r="D108" s="19" t="n">
        <v>3.62</v>
      </c>
      <c r="E108" s="20">
        <f>IF(AND(ISNUMBER($D108),ISNUMBER(VLOOKUP($C108,$A$5:$F$11,4,FALSE))),$D108*VLOOKUP($C108,$A$5:$F$11,4,FALSE),"")</f>
        <v/>
      </c>
      <c r="F108" s="12">
        <f>IF(AND(ISNUMBER($D108),ISNUMBER(VLOOKUP($C108,$A$5:$F$11,2,FALSE)),ISNUMBER(VLOOKUP($C108,$A$5:$F$11,5,FALSE))),$D108*VLOOKUP($C108,$A$5:$F$11,2,FALSE)*VLOOKUP($C108,$A$5:$F$11,5,FALSE),"")</f>
        <v/>
      </c>
      <c r="G108" s="12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3" t="inlineStr">
        <is>
          <t>IPEA 140</t>
        </is>
      </c>
      <c r="D109" s="19" t="n">
        <v>3.72</v>
      </c>
      <c r="E109" s="20">
        <f>IF(AND(ISNUMBER($D109),ISNUMBER(VLOOKUP($C109,$A$5:$F$11,4,FALSE))),$D109*VLOOKUP($C109,$A$5:$F$11,4,FALSE),"")</f>
        <v/>
      </c>
      <c r="F109" s="12">
        <f>IF(AND(ISNUMBER($D109),ISNUMBER(VLOOKUP($C109,$A$5:$F$11,2,FALSE)),ISNUMBER(VLOOKUP($C109,$A$5:$F$11,5,FALSE))),$D109*VLOOKUP($C109,$A$5:$F$11,2,FALSE)*VLOOKUP($C109,$A$5:$F$11,5,FALSE),"")</f>
        <v/>
      </c>
      <c r="G109" s="12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3" t="inlineStr">
        <is>
          <t>IPEA 140</t>
        </is>
      </c>
      <c r="D110" s="19" t="n">
        <v>3.82</v>
      </c>
      <c r="E110" s="20">
        <f>IF(AND(ISNUMBER($D110),ISNUMBER(VLOOKUP($C110,$A$5:$F$11,4,FALSE))),$D110*VLOOKUP($C110,$A$5:$F$11,4,FALSE),"")</f>
        <v/>
      </c>
      <c r="F110" s="12">
        <f>IF(AND(ISNUMBER($D110),ISNUMBER(VLOOKUP($C110,$A$5:$F$11,2,FALSE)),ISNUMBER(VLOOKUP($C110,$A$5:$F$11,5,FALSE))),$D110*VLOOKUP($C110,$A$5:$F$11,2,FALSE)*VLOOKUP($C110,$A$5:$F$11,5,FALSE),"")</f>
        <v/>
      </c>
      <c r="G110" s="12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3" t="inlineStr">
        <is>
          <t>IPEA 140</t>
        </is>
      </c>
      <c r="D111" s="19" t="n">
        <v>3.92</v>
      </c>
      <c r="E111" s="20">
        <f>IF(AND(ISNUMBER($D111),ISNUMBER(VLOOKUP($C111,$A$5:$F$11,4,FALSE))),$D111*VLOOKUP($C111,$A$5:$F$11,4,FALSE),"")</f>
        <v/>
      </c>
      <c r="F111" s="12">
        <f>IF(AND(ISNUMBER($D111),ISNUMBER(VLOOKUP($C111,$A$5:$F$11,2,FALSE)),ISNUMBER(VLOOKUP($C111,$A$5:$F$11,5,FALSE))),$D111*VLOOKUP($C111,$A$5:$F$11,2,FALSE)*VLOOKUP($C111,$A$5:$F$11,5,FALSE),"")</f>
        <v/>
      </c>
      <c r="G111" s="12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3" t="inlineStr">
        <is>
          <t>IPEA 140</t>
        </is>
      </c>
      <c r="D112" s="19" t="n">
        <v>4.02</v>
      </c>
      <c r="E112" s="20">
        <f>IF(AND(ISNUMBER($D112),ISNUMBER(VLOOKUP($C112,$A$5:$F$11,4,FALSE))),$D112*VLOOKUP($C112,$A$5:$F$11,4,FALSE),"")</f>
        <v/>
      </c>
      <c r="F112" s="12">
        <f>IF(AND(ISNUMBER($D112),ISNUMBER(VLOOKUP($C112,$A$5:$F$11,2,FALSE)),ISNUMBER(VLOOKUP($C112,$A$5:$F$11,5,FALSE))),$D112*VLOOKUP($C112,$A$5:$F$11,2,FALSE)*VLOOKUP($C112,$A$5:$F$11,5,FALSE),"")</f>
        <v/>
      </c>
      <c r="G112" s="12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3" t="inlineStr">
        <is>
          <t>IPEA 140</t>
        </is>
      </c>
      <c r="D113" s="19" t="n">
        <v>4.12</v>
      </c>
      <c r="E113" s="20">
        <f>IF(AND(ISNUMBER($D113),ISNUMBER(VLOOKUP($C113,$A$5:$F$11,4,FALSE))),$D113*VLOOKUP($C113,$A$5:$F$11,4,FALSE),"")</f>
        <v/>
      </c>
      <c r="F113" s="12">
        <f>IF(AND(ISNUMBER($D113),ISNUMBER(VLOOKUP($C113,$A$5:$F$11,2,FALSE)),ISNUMBER(VLOOKUP($C113,$A$5:$F$11,5,FALSE))),$D113*VLOOKUP($C113,$A$5:$F$11,2,FALSE)*VLOOKUP($C113,$A$5:$F$11,5,FALSE),"")</f>
        <v/>
      </c>
      <c r="G113" s="12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3" t="inlineStr">
        <is>
          <t>IPEA 140</t>
        </is>
      </c>
      <c r="D114" s="19" t="n">
        <v>4.22</v>
      </c>
      <c r="E114" s="20">
        <f>IF(AND(ISNUMBER($D114),ISNUMBER(VLOOKUP($C114,$A$5:$F$11,4,FALSE))),$D114*VLOOKUP($C114,$A$5:$F$11,4,FALSE),"")</f>
        <v/>
      </c>
      <c r="F114" s="12">
        <f>IF(AND(ISNUMBER($D114),ISNUMBER(VLOOKUP($C114,$A$5:$F$11,2,FALSE)),ISNUMBER(VLOOKUP($C114,$A$5:$F$11,5,FALSE))),$D114*VLOOKUP($C114,$A$5:$F$11,2,FALSE)*VLOOKUP($C114,$A$5:$F$11,5,FALSE),"")</f>
        <v/>
      </c>
      <c r="G114" s="12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3" t="inlineStr">
        <is>
          <t>IPEA 140</t>
        </is>
      </c>
      <c r="D115" s="19" t="n">
        <v>4.32</v>
      </c>
      <c r="E115" s="20">
        <f>IF(AND(ISNUMBER($D115),ISNUMBER(VLOOKUP($C115,$A$5:$F$11,4,FALSE))),$D115*VLOOKUP($C115,$A$5:$F$11,4,FALSE),"")</f>
        <v/>
      </c>
      <c r="F115" s="12">
        <f>IF(AND(ISNUMBER($D115),ISNUMBER(VLOOKUP($C115,$A$5:$F$11,2,FALSE)),ISNUMBER(VLOOKUP($C115,$A$5:$F$11,5,FALSE))),$D115*VLOOKUP($C115,$A$5:$F$11,2,FALSE)*VLOOKUP($C115,$A$5:$F$11,5,FALSE),"")</f>
        <v/>
      </c>
      <c r="G115" s="12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3" t="inlineStr">
        <is>
          <t>IPEA 140</t>
        </is>
      </c>
      <c r="D116" s="19" t="n">
        <v>4.42</v>
      </c>
      <c r="E116" s="20">
        <f>IF(AND(ISNUMBER($D116),ISNUMBER(VLOOKUP($C116,$A$5:$F$11,4,FALSE))),$D116*VLOOKUP($C116,$A$5:$F$11,4,FALSE),"")</f>
        <v/>
      </c>
      <c r="F116" s="12">
        <f>IF(AND(ISNUMBER($D116),ISNUMBER(VLOOKUP($C116,$A$5:$F$11,2,FALSE)),ISNUMBER(VLOOKUP($C116,$A$5:$F$11,5,FALSE))),$D116*VLOOKUP($C116,$A$5:$F$11,2,FALSE)*VLOOKUP($C116,$A$5:$F$11,5,FALSE),"")</f>
        <v/>
      </c>
      <c r="G116" s="12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3" t="inlineStr">
        <is>
          <t>ASSE 120x120x3</t>
        </is>
      </c>
      <c r="D117" s="19" t="n">
        <v>7.2</v>
      </c>
      <c r="E117" s="20">
        <f>IF(AND(ISNUMBER($D117),ISNUMBER(VLOOKUP($C117,$A$5:$F$11,4,FALSE))),$D117*VLOOKUP($C117,$A$5:$F$11,4,FALSE),"")</f>
        <v/>
      </c>
      <c r="F117" s="12">
        <f>IF(AND(ISNUMBER($D117),ISNUMBER(VLOOKUP($C117,$A$5:$F$11,2,FALSE)),ISNUMBER(VLOOKUP($C117,$A$5:$F$11,5,FALSE))),$D117*VLOOKUP($C117,$A$5:$F$11,2,FALSE)*VLOOKUP($C117,$A$5:$F$11,5,FALSE),"")</f>
        <v/>
      </c>
      <c r="G117" s="12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3" t="inlineStr">
        <is>
          <t>ASSE 120x120x2,5</t>
        </is>
      </c>
      <c r="D118" s="19" t="n">
        <v>7.2</v>
      </c>
      <c r="E118" s="20">
        <f>IF(AND(ISNUMBER($D118),ISNUMBER(VLOOKUP($C118,$A$5:$F$11,4,FALSE))),$D118*VLOOKUP($C118,$A$5:$F$11,4,FALSE),"")</f>
        <v/>
      </c>
      <c r="F118" s="12">
        <f>IF(AND(ISNUMBER($D118),ISNUMBER(VLOOKUP($C118,$A$5:$F$11,2,FALSE)),ISNUMBER(VLOOKUP($C118,$A$5:$F$11,5,FALSE))),$D118*VLOOKUP($C118,$A$5:$F$11,2,FALSE)*VLOOKUP($C118,$A$5:$F$11,5,FALSE),"")</f>
        <v/>
      </c>
      <c r="G118" s="12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3" t="inlineStr">
        <is>
          <t>ASSE 120x120x3</t>
        </is>
      </c>
      <c r="D119" s="19" t="n">
        <v>8.25</v>
      </c>
      <c r="E119" s="20">
        <f>IF(AND(ISNUMBER($D119),ISNUMBER(VLOOKUP($C119,$A$5:$F$11,4,FALSE))),$D119*VLOOKUP($C119,$A$5:$F$11,4,FALSE),"")</f>
        <v/>
      </c>
      <c r="F119" s="12">
        <f>IF(AND(ISNUMBER($D119),ISNUMBER(VLOOKUP($C119,$A$5:$F$11,2,FALSE)),ISNUMBER(VLOOKUP($C119,$A$5:$F$11,5,FALSE))),$D119*VLOOKUP($C119,$A$5:$F$11,2,FALSE)*VLOOKUP($C119,$A$5:$F$11,5,FALSE),"")</f>
        <v/>
      </c>
      <c r="G119" s="12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3" t="inlineStr">
        <is>
          <t>ASSE 120x120x2,5</t>
        </is>
      </c>
      <c r="D120" s="19" t="n">
        <v>8.25</v>
      </c>
      <c r="E120" s="20">
        <f>IF(AND(ISNUMBER($D120),ISNUMBER(VLOOKUP($C120,$A$5:$F$11,4,FALSE))),$D120*VLOOKUP($C120,$A$5:$F$11,4,FALSE),"")</f>
        <v/>
      </c>
      <c r="F120" s="12">
        <f>IF(AND(ISNUMBER($D120),ISNUMBER(VLOOKUP($C120,$A$5:$F$11,2,FALSE)),ISNUMBER(VLOOKUP($C120,$A$5:$F$11,5,FALSE))),$D120*VLOOKUP($C120,$A$5:$F$11,2,FALSE)*VLOOKUP($C120,$A$5:$F$11,5,FALSE),"")</f>
        <v/>
      </c>
      <c r="G120" s="12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3" t="inlineStr">
        <is>
          <t>ASSE 120x120x3</t>
        </is>
      </c>
      <c r="D121" s="19" t="n">
        <v>8.699999999999999</v>
      </c>
      <c r="E121" s="20">
        <f>IF(AND(ISNUMBER($D121),ISNUMBER(VLOOKUP($C121,$A$5:$F$11,4,FALSE))),$D121*VLOOKUP($C121,$A$5:$F$11,4,FALSE),"")</f>
        <v/>
      </c>
      <c r="F121" s="12">
        <f>IF(AND(ISNUMBER($D121),ISNUMBER(VLOOKUP($C121,$A$5:$F$11,2,FALSE)),ISNUMBER(VLOOKUP($C121,$A$5:$F$11,5,FALSE))),$D121*VLOOKUP($C121,$A$5:$F$11,2,FALSE)*VLOOKUP($C121,$A$5:$F$11,5,FALSE),"")</f>
        <v/>
      </c>
      <c r="G121" s="12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3" t="inlineStr">
        <is>
          <t>ASSE 120x120x2,5</t>
        </is>
      </c>
      <c r="D122" s="19" t="n">
        <v>8.699999999999999</v>
      </c>
      <c r="E122" s="20">
        <f>IF(AND(ISNUMBER($D122),ISNUMBER(VLOOKUP($C122,$A$5:$F$11,4,FALSE))),$D122*VLOOKUP($C122,$A$5:$F$11,4,FALSE),"")</f>
        <v/>
      </c>
      <c r="F122" s="12">
        <f>IF(AND(ISNUMBER($D122),ISNUMBER(VLOOKUP($C122,$A$5:$F$11,2,FALSE)),ISNUMBER(VLOOKUP($C122,$A$5:$F$11,5,FALSE))),$D122*VLOOKUP($C122,$A$5:$F$11,2,FALSE)*VLOOKUP($C122,$A$5:$F$11,5,FALSE),"")</f>
        <v/>
      </c>
      <c r="G122" s="12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3" t="inlineStr">
        <is>
          <t>ASSE 120x120x3</t>
        </is>
      </c>
      <c r="D123" s="19" t="n">
        <v>5</v>
      </c>
      <c r="E123" s="20">
        <f>IF(AND(ISNUMBER($D123),ISNUMBER(VLOOKUP($C123,$A$5:$F$11,4,FALSE))),$D123*VLOOKUP($C123,$A$5:$F$11,4,FALSE),"")</f>
        <v/>
      </c>
      <c r="F123" s="12">
        <f>IF(AND(ISNUMBER($D123),ISNUMBER(VLOOKUP($C123,$A$5:$F$11,2,FALSE)),ISNUMBER(VLOOKUP($C123,$A$5:$F$11,5,FALSE))),$D123*VLOOKUP($C123,$A$5:$F$11,2,FALSE)*VLOOKUP($C123,$A$5:$F$11,5,FALSE),"")</f>
        <v/>
      </c>
      <c r="G123" s="12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3" t="inlineStr">
        <is>
          <t>ASSE 120x120x2,5</t>
        </is>
      </c>
      <c r="D124" s="19" t="n">
        <v>5</v>
      </c>
      <c r="E124" s="20">
        <f>IF(AND(ISNUMBER($D124),ISNUMBER(VLOOKUP($C124,$A$5:$F$11,4,FALSE))),$D124*VLOOKUP($C124,$A$5:$F$11,4,FALSE),"")</f>
        <v/>
      </c>
      <c r="F124" s="12">
        <f>IF(AND(ISNUMBER($D124),ISNUMBER(VLOOKUP($C124,$A$5:$F$11,2,FALSE)),ISNUMBER(VLOOKUP($C124,$A$5:$F$11,5,FALSE))),$D124*VLOOKUP($C124,$A$5:$F$11,2,FALSE)*VLOOKUP($C124,$A$5:$F$11,5,FALSE),"")</f>
        <v/>
      </c>
      <c r="G124" s="12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3" t="inlineStr">
        <is>
          <t>ASSE 120x120x3</t>
        </is>
      </c>
      <c r="D125" s="19" t="n">
        <v>6.15</v>
      </c>
      <c r="E125" s="20">
        <f>IF(AND(ISNUMBER($D125),ISNUMBER(VLOOKUP($C125,$A$5:$F$11,4,FALSE))),$D125*VLOOKUP($C125,$A$5:$F$11,4,FALSE),"")</f>
        <v/>
      </c>
      <c r="F125" s="12">
        <f>IF(AND(ISNUMBER($D125),ISNUMBER(VLOOKUP($C125,$A$5:$F$11,2,FALSE)),ISNUMBER(VLOOKUP($C125,$A$5:$F$11,5,FALSE))),$D125*VLOOKUP($C125,$A$5:$F$11,2,FALSE)*VLOOKUP($C125,$A$5:$F$11,5,FALSE),"")</f>
        <v/>
      </c>
      <c r="G125" s="12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3" t="inlineStr">
        <is>
          <t>ASSE 120x120x2,5</t>
        </is>
      </c>
      <c r="D126" s="19" t="n">
        <v>6.15</v>
      </c>
      <c r="E126" s="20">
        <f>IF(AND(ISNUMBER($D126),ISNUMBER(VLOOKUP($C126,$A$5:$F$11,4,FALSE))),$D126*VLOOKUP($C126,$A$5:$F$11,4,FALSE),"")</f>
        <v/>
      </c>
      <c r="F126" s="12">
        <f>IF(AND(ISNUMBER($D126),ISNUMBER(VLOOKUP($C126,$A$5:$F$11,2,FALSE)),ISNUMBER(VLOOKUP($C126,$A$5:$F$11,5,FALSE))),$D126*VLOOKUP($C126,$A$5:$F$11,2,FALSE)*VLOOKUP($C126,$A$5:$F$11,5,FALSE),"")</f>
        <v/>
      </c>
      <c r="G126" s="12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3" t="inlineStr">
        <is>
          <t>ASSE 120x120x3</t>
        </is>
      </c>
      <c r="D127" s="19" t="n">
        <v>6.3</v>
      </c>
      <c r="E127" s="20">
        <f>IF(AND(ISNUMBER($D127),ISNUMBER(VLOOKUP($C127,$A$5:$F$11,4,FALSE))),$D127*VLOOKUP($C127,$A$5:$F$11,4,FALSE),"")</f>
        <v/>
      </c>
      <c r="F127" s="12">
        <f>IF(AND(ISNUMBER($D127),ISNUMBER(VLOOKUP($C127,$A$5:$F$11,2,FALSE)),ISNUMBER(VLOOKUP($C127,$A$5:$F$11,5,FALSE))),$D127*VLOOKUP($C127,$A$5:$F$11,2,FALSE)*VLOOKUP($C127,$A$5:$F$11,5,FALSE),"")</f>
        <v/>
      </c>
      <c r="G127" s="12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3" t="inlineStr">
        <is>
          <t>ASSE 120x120x2,5</t>
        </is>
      </c>
      <c r="D128" s="19" t="n">
        <v>6.3</v>
      </c>
      <c r="E128" s="20">
        <f>IF(AND(ISNUMBER($D128),ISNUMBER(VLOOKUP($C128,$A$5:$F$11,4,FALSE))),$D128*VLOOKUP($C128,$A$5:$F$11,4,FALSE),"")</f>
        <v/>
      </c>
      <c r="F128" s="12">
        <f>IF(AND(ISNUMBER($D128),ISNUMBER(VLOOKUP($C128,$A$5:$F$11,2,FALSE)),ISNUMBER(VLOOKUP($C128,$A$5:$F$11,5,FALSE))),$D128*VLOOKUP($C128,$A$5:$F$11,2,FALSE)*VLOOKUP($C128,$A$5:$F$11,5,FALSE),"")</f>
        <v/>
      </c>
      <c r="G128" s="12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3" t="inlineStr">
        <is>
          <t>ASSE 120x120x3</t>
        </is>
      </c>
      <c r="D129" s="19" t="n">
        <v>6.756</v>
      </c>
      <c r="E129" s="20">
        <f>IF(AND(ISNUMBER($D129),ISNUMBER(VLOOKUP($C129,$A$5:$F$11,4,FALSE))),$D129*VLOOKUP($C129,$A$5:$F$11,4,FALSE),"")</f>
        <v/>
      </c>
      <c r="F129" s="12">
        <f>IF(AND(ISNUMBER($D129),ISNUMBER(VLOOKUP($C129,$A$5:$F$11,2,FALSE)),ISNUMBER(VLOOKUP($C129,$A$5:$F$11,5,FALSE))),$D129*VLOOKUP($C129,$A$5:$F$11,2,FALSE)*VLOOKUP($C129,$A$5:$F$11,5,FALSE),"")</f>
        <v/>
      </c>
      <c r="G129" s="12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3" t="inlineStr">
        <is>
          <t>ASSE 120x120x2,5</t>
        </is>
      </c>
      <c r="D130" s="19" t="n">
        <v>6.756</v>
      </c>
      <c r="E130" s="20">
        <f>IF(AND(ISNUMBER($D130),ISNUMBER(VLOOKUP($C130,$A$5:$F$11,4,FALSE))),$D130*VLOOKUP($C130,$A$5:$F$11,4,FALSE),"")</f>
        <v/>
      </c>
      <c r="F130" s="12">
        <f>IF(AND(ISNUMBER($D130),ISNUMBER(VLOOKUP($C130,$A$5:$F$11,2,FALSE)),ISNUMBER(VLOOKUP($C130,$A$5:$F$11,5,FALSE))),$D130*VLOOKUP($C130,$A$5:$F$11,2,FALSE)*VLOOKUP($C130,$A$5:$F$11,5,FALSE),"")</f>
        <v/>
      </c>
      <c r="G130" s="12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3" t="inlineStr">
        <is>
          <t>ASSE 120x120x3</t>
        </is>
      </c>
      <c r="D131" s="19" t="n">
        <v>8.25</v>
      </c>
      <c r="E131" s="20">
        <f>IF(AND(ISNUMBER($D131),ISNUMBER(VLOOKUP($C131,$A$5:$F$11,4,FALSE))),$D131*VLOOKUP($C131,$A$5:$F$11,4,FALSE),"")</f>
        <v/>
      </c>
      <c r="F131" s="12">
        <f>IF(AND(ISNUMBER($D131),ISNUMBER(VLOOKUP($C131,$A$5:$F$11,2,FALSE)),ISNUMBER(VLOOKUP($C131,$A$5:$F$11,5,FALSE))),$D131*VLOOKUP($C131,$A$5:$F$11,2,FALSE)*VLOOKUP($C131,$A$5:$F$11,5,FALSE),"")</f>
        <v/>
      </c>
      <c r="G131" s="12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3" t="inlineStr">
        <is>
          <t>ASSE 120x120x2,5</t>
        </is>
      </c>
      <c r="D132" s="19" t="n">
        <v>8.25</v>
      </c>
      <c r="E132" s="20">
        <f>IF(AND(ISNUMBER($D132),ISNUMBER(VLOOKUP($C132,$A$5:$F$11,4,FALSE))),$D132*VLOOKUP($C132,$A$5:$F$11,4,FALSE),"")</f>
        <v/>
      </c>
      <c r="F132" s="12">
        <f>IF(AND(ISNUMBER($D132),ISNUMBER(VLOOKUP($C132,$A$5:$F$11,2,FALSE)),ISNUMBER(VLOOKUP($C132,$A$5:$F$11,5,FALSE))),$D132*VLOOKUP($C132,$A$5:$F$11,2,FALSE)*VLOOKUP($C132,$A$5:$F$11,5,FALSE),"")</f>
        <v/>
      </c>
      <c r="G132" s="12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3" t="inlineStr">
        <is>
          <t>ASSE 120x120x3</t>
        </is>
      </c>
      <c r="D133" s="19" t="n">
        <v>8.645</v>
      </c>
      <c r="E133" s="20">
        <f>IF(AND(ISNUMBER($D133),ISNUMBER(VLOOKUP($C133,$A$5:$F$11,4,FALSE))),$D133*VLOOKUP($C133,$A$5:$F$11,4,FALSE),"")</f>
        <v/>
      </c>
      <c r="F133" s="12">
        <f>IF(AND(ISNUMBER($D133),ISNUMBER(VLOOKUP($C133,$A$5:$F$11,2,FALSE)),ISNUMBER(VLOOKUP($C133,$A$5:$F$11,5,FALSE))),$D133*VLOOKUP($C133,$A$5:$F$11,2,FALSE)*VLOOKUP($C133,$A$5:$F$11,5,FALSE),"")</f>
        <v/>
      </c>
      <c r="G133" s="12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3" t="inlineStr">
        <is>
          <t>ASSE 120x120x2,5</t>
        </is>
      </c>
      <c r="D134" s="19" t="n">
        <v>8.645</v>
      </c>
      <c r="E134" s="20">
        <f>IF(AND(ISNUMBER($D134),ISNUMBER(VLOOKUP($C134,$A$5:$F$11,4,FALSE))),$D134*VLOOKUP($C134,$A$5:$F$11,4,FALSE),"")</f>
        <v/>
      </c>
      <c r="F134" s="12">
        <f>IF(AND(ISNUMBER($D134),ISNUMBER(VLOOKUP($C134,$A$5:$F$11,2,FALSE)),ISNUMBER(VLOOKUP($C134,$A$5:$F$11,5,FALSE))),$D134*VLOOKUP($C134,$A$5:$F$11,2,FALSE)*VLOOKUP($C134,$A$5:$F$11,5,FALSE),"")</f>
        <v/>
      </c>
      <c r="G134" s="12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3" t="inlineStr">
        <is>
          <t>ASSE 120x120x3</t>
        </is>
      </c>
      <c r="D135" s="19" t="n">
        <v>5</v>
      </c>
      <c r="E135" s="20">
        <f>IF(AND(ISNUMBER($D135),ISNUMBER(VLOOKUP($C135,$A$5:$F$11,4,FALSE))),$D135*VLOOKUP($C135,$A$5:$F$11,4,FALSE),"")</f>
        <v/>
      </c>
      <c r="F135" s="12">
        <f>IF(AND(ISNUMBER($D135),ISNUMBER(VLOOKUP($C135,$A$5:$F$11,2,FALSE)),ISNUMBER(VLOOKUP($C135,$A$5:$F$11,5,FALSE))),$D135*VLOOKUP($C135,$A$5:$F$11,2,FALSE)*VLOOKUP($C135,$A$5:$F$11,5,FALSE),"")</f>
        <v/>
      </c>
      <c r="G135" s="12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3" t="inlineStr">
        <is>
          <t>ASSE 120x120x2,5</t>
        </is>
      </c>
      <c r="D136" s="19" t="n">
        <v>5</v>
      </c>
      <c r="E136" s="20">
        <f>IF(AND(ISNUMBER($D136),ISNUMBER(VLOOKUP($C136,$A$5:$F$11,4,FALSE))),$D136*VLOOKUP($C136,$A$5:$F$11,4,FALSE),"")</f>
        <v/>
      </c>
      <c r="F136" s="12">
        <f>IF(AND(ISNUMBER($D136),ISNUMBER(VLOOKUP($C136,$A$5:$F$11,2,FALSE)),ISNUMBER(VLOOKUP($C136,$A$5:$F$11,5,FALSE))),$D136*VLOOKUP($C136,$A$5:$F$11,2,FALSE)*VLOOKUP($C136,$A$5:$F$11,5,FALSE),"")</f>
        <v/>
      </c>
      <c r="G136" s="12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3" t="inlineStr">
        <is>
          <t>ASSE 120x120x3</t>
        </is>
      </c>
      <c r="D137" s="19" t="n">
        <v>4.8</v>
      </c>
      <c r="E137" s="20">
        <f>IF(AND(ISNUMBER($D137),ISNUMBER(VLOOKUP($C137,$A$5:$F$11,4,FALSE))),$D137*VLOOKUP($C137,$A$5:$F$11,4,FALSE),"")</f>
        <v/>
      </c>
      <c r="F137" s="12">
        <f>IF(AND(ISNUMBER($D137),ISNUMBER(VLOOKUP($C137,$A$5:$F$11,2,FALSE)),ISNUMBER(VLOOKUP($C137,$A$5:$F$11,5,FALSE))),$D137*VLOOKUP($C137,$A$5:$F$11,2,FALSE)*VLOOKUP($C137,$A$5:$F$11,5,FALSE),"")</f>
        <v/>
      </c>
      <c r="G137" s="12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3" t="inlineStr">
        <is>
          <t>ASSE 120x120x2,5</t>
        </is>
      </c>
      <c r="D138" s="19" t="n">
        <v>4.8</v>
      </c>
      <c r="E138" s="20">
        <f>IF(AND(ISNUMBER($D138),ISNUMBER(VLOOKUP($C138,$A$5:$F$11,4,FALSE))),$D138*VLOOKUP($C138,$A$5:$F$11,4,FALSE),"")</f>
        <v/>
      </c>
      <c r="F138" s="12">
        <f>IF(AND(ISNUMBER($D138),ISNUMBER(VLOOKUP($C138,$A$5:$F$11,2,FALSE)),ISNUMBER(VLOOKUP($C138,$A$5:$F$11,5,FALSE))),$D138*VLOOKUP($C138,$A$5:$F$11,2,FALSE)*VLOOKUP($C138,$A$5:$F$11,5,FALSE),"")</f>
        <v/>
      </c>
      <c r="G138" s="12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workbookViewId="0">
      <pane ySplit="5" topLeftCell="A36" activePane="bottomLeft" state="frozen"/>
      <selection pane="bottomLeft" activeCell="C10" sqref="C10"/>
    </sheetView>
  </sheetViews>
  <sheetFormatPr baseColWidth="8" defaultRowHeight="14.4"/>
  <cols>
    <col width="22" customWidth="1" min="1" max="1"/>
    <col width="52" customWidth="1" min="2" max="2"/>
    <col width="20" customWidth="1" min="3" max="3"/>
    <col width="16" customWidth="1" min="4" max="7"/>
  </cols>
  <sheetData>
    <row r="1" ht="15.6" customHeight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      </is>
      </c>
    </row>
    <row r="4" ht="15.6" customHeight="1">
      <c r="A4" s="15" t="inlineStr">
        <is>
          <t>PEZZI SPECIALI — parametri (compilare Descrizione, Peso pezzo, % zincatura e €/kg)</t>
        </is>
      </c>
    </row>
    <row r="5" ht="27.6" customHeight="1">
      <c r="A5" s="23" t="inlineStr">
        <is>
          <t>Voce</t>
        </is>
      </c>
      <c r="B5" s="23" t="inlineStr">
        <is>
          <t>Descrizione</t>
        </is>
      </c>
      <c r="C5" s="23" t="inlineStr">
        <is>
          <t>Peso pezzo (kg)</t>
        </is>
      </c>
      <c r="D5" s="23" t="inlineStr">
        <is>
          <t>Magg. zincatura %</t>
        </is>
      </c>
      <c r="E5" s="23" t="inlineStr">
        <is>
          <t>Peso finale (kg)</t>
        </is>
      </c>
      <c r="F5" s="23" t="inlineStr">
        <is>
          <t>Costo acquisto (€/kg)</t>
        </is>
      </c>
      <c r="G5" s="23" t="inlineStr">
        <is>
          <t>Costo zincatura (€/kg)</t>
        </is>
      </c>
    </row>
    <row r="6">
      <c r="A6" t="inlineStr">
        <is>
          <t>TTS.PF.002.IPE140</t>
        </is>
      </c>
      <c r="B6" t="inlineStr">
        <is>
          <t>Piastra giunzione montanti centrali 200x100x4 (8 fori Ø 11)</t>
        </is>
      </c>
      <c r="C6" s="18" t="n">
        <v>0.624</v>
      </c>
      <c r="D6" s="17" t="n"/>
      <c r="E6" s="18">
        <f>IF(ISNUMBER($C6),$C6*(1+IF(ISNUMBER($D6),$D6,0)),"")</f>
        <v/>
      </c>
      <c r="F6" s="21" t="n"/>
      <c r="G6" s="21" t="n"/>
    </row>
    <row r="7">
      <c r="A7" t="inlineStr">
        <is>
          <t>TTS.PF.003.IPE140</t>
        </is>
      </c>
      <c r="B7" t="inlineStr">
        <is>
          <t>Piastra giunzione montanti esterna 240x70x6 (12 fori Ø 11)</t>
        </is>
      </c>
      <c r="C7" s="18" t="n">
        <v>0.7862</v>
      </c>
      <c r="D7" s="17" t="n"/>
      <c r="E7" s="18">
        <f>IF(ISNUMBER($C7),$C7*(1+IF(ISNUMBER($D7),$D7,0)),"")</f>
        <v/>
      </c>
      <c r="F7" s="21" t="n"/>
      <c r="G7" s="21" t="n"/>
    </row>
    <row r="8">
      <c r="A8" t="inlineStr">
        <is>
          <t>TTS.PF.004.IPE140</t>
        </is>
      </c>
      <c r="B8" t="inlineStr">
        <is>
          <t>Piastra giunzione montanti interna 240x25x6 (6 fori Ø 11)</t>
        </is>
      </c>
      <c r="C8" s="18" t="n">
        <v>0.2808</v>
      </c>
      <c r="D8" s="17" t="n"/>
      <c r="E8" s="18">
        <f>IF(ISNUMBER($C8),$C8*(1+IF(ISNUMBER($D8),$D8,0)),"")</f>
        <v/>
      </c>
      <c r="F8" s="21" t="n"/>
      <c r="G8" s="21" t="n"/>
    </row>
    <row r="9">
      <c r="A9" t="inlineStr">
        <is>
          <t>TTS.AR.2011</t>
        </is>
      </c>
      <c r="B9" t="inlineStr">
        <is>
          <t>Gaffa giunzione asse</t>
        </is>
      </c>
      <c r="C9" s="18" t="n">
        <v>5.075</v>
      </c>
      <c r="D9" s="17" t="n"/>
      <c r="E9" s="18">
        <f>IF(ISNUMBER($C9),$C9*(1+IF(ISNUMBER($D9),$D9,0)),"")</f>
        <v/>
      </c>
      <c r="F9" s="21" t="n"/>
      <c r="G9" s="21" t="n"/>
    </row>
    <row r="10">
      <c r="A10" t="inlineStr">
        <is>
          <t>TTS.AR.3011</t>
        </is>
      </c>
      <c r="B10" t="inlineStr">
        <is>
          <t>Supporto a L superiore omega</t>
        </is>
      </c>
      <c r="C10" s="18" t="n">
        <v>0.8568</v>
      </c>
      <c r="D10" s="17" t="n"/>
      <c r="E10" s="18">
        <f>IF(ISNUMBER($C10),$C10*(1+IF(ISNUMBER($D10),$D10,0)),"")</f>
        <v/>
      </c>
      <c r="F10" s="21" t="n"/>
      <c r="G10" s="21" t="n"/>
    </row>
    <row r="11">
      <c r="A11" t="inlineStr">
        <is>
          <t>TTS.AR.3012</t>
        </is>
      </c>
      <c r="B11" t="inlineStr">
        <is>
          <t>Supporto a V inferiore omega</t>
        </is>
      </c>
      <c r="C11" s="18" t="n">
        <v>0.4095</v>
      </c>
      <c r="D11" s="17" t="n"/>
      <c r="E11" s="18">
        <f>IF(ISNUMBER($C11),$C11*(1+IF(ISNUMBER($D11),$D11,0)),"")</f>
        <v/>
      </c>
      <c r="F11" s="21" t="n"/>
      <c r="G11" s="21" t="n"/>
    </row>
    <row r="12">
      <c r="A12" t="inlineStr">
        <is>
          <t>TTS.AR.3013</t>
        </is>
      </c>
      <c r="B12" t="inlineStr">
        <is>
          <t>Gaffa sotto omega</t>
        </is>
      </c>
      <c r="C12" s="18" t="n">
        <v>1.278</v>
      </c>
      <c r="D12" s="17" t="n"/>
      <c r="E12" s="18">
        <f>IF(ISNUMBER($C12),$C12*(1+IF(ISNUMBER($D12),$D12,0)),"")</f>
        <v/>
      </c>
      <c r="F12" s="21" t="n"/>
      <c r="G12" s="21" t="n"/>
    </row>
    <row r="13">
      <c r="A13" t="inlineStr">
        <is>
          <t>TTS.AR.3014</t>
        </is>
      </c>
      <c r="B13" t="inlineStr">
        <is>
          <t>Omega supporto pannello</t>
        </is>
      </c>
      <c r="C13" s="18" t="n">
        <v>5.85</v>
      </c>
      <c r="D13" s="17" t="n"/>
      <c r="E13" s="18">
        <f>IF(ISNUMBER($C13),$C13*(1+IF(ISNUMBER($D13),$D13,0)),"")</f>
        <v/>
      </c>
      <c r="F13" s="21" t="n"/>
      <c r="G13" s="21" t="n"/>
    </row>
    <row r="14">
      <c r="A14" t="inlineStr">
        <is>
          <t>TTS.AR.3014.18</t>
        </is>
      </c>
      <c r="B14" t="inlineStr">
        <is>
          <t>Omega supporto pannello mm1,8</t>
        </is>
      </c>
      <c r="C14" s="18" t="n">
        <v>5.265</v>
      </c>
      <c r="D14" s="17" t="n"/>
      <c r="E14" s="18">
        <f>IF(ISNUMBER($C14),$C14*(1+IF(ISNUMBER($D14),$D14,0)),"")</f>
        <v/>
      </c>
      <c r="F14" s="21" t="n"/>
      <c r="G14" s="21" t="n"/>
    </row>
    <row r="15">
      <c r="A15" t="inlineStr">
        <is>
          <t>TTS.AR.4011</t>
        </is>
      </c>
      <c r="B15" t="inlineStr">
        <is>
          <t>Supporto superiore inclinometro</t>
        </is>
      </c>
      <c r="C15" s="18" t="n">
        <v>0.8424</v>
      </c>
      <c r="D15" s="17" t="n"/>
      <c r="E15" s="18">
        <f>IF(ISNUMBER($C15),$C15*(1+IF(ISNUMBER($D15),$D15,0)),"")</f>
        <v/>
      </c>
      <c r="F15" s="21" t="n"/>
      <c r="G15" s="21" t="n"/>
    </row>
    <row r="16">
      <c r="A16" t="inlineStr">
        <is>
          <t>TTS.AR.4012</t>
        </is>
      </c>
      <c r="B16" t="inlineStr">
        <is>
          <t>Supporto inferiore inclinometro</t>
        </is>
      </c>
      <c r="C16" s="18" t="n">
        <v>2.9484</v>
      </c>
      <c r="D16" s="17" t="n"/>
      <c r="E16" s="18">
        <f>IF(ISNUMBER($C16),$C16*(1+IF(ISNUMBER($D16),$D16,0)),"")</f>
        <v/>
      </c>
      <c r="F16" s="21" t="n"/>
      <c r="G16" s="21" t="n"/>
    </row>
    <row r="17">
      <c r="A17" t="inlineStr">
        <is>
          <t>TTS.AR.5011</t>
        </is>
      </c>
      <c r="B17" t="inlineStr">
        <is>
          <t>Piastra ad L supporto fine corsa</t>
        </is>
      </c>
      <c r="C17" s="18" t="n">
        <v>0.2184</v>
      </c>
      <c r="D17" s="17" t="n"/>
      <c r="E17" s="18">
        <f>IF(ISNUMBER($C17),$C17*(1+IF(ISNUMBER($D17),$D17,0)),"")</f>
        <v/>
      </c>
      <c r="F17" s="21" t="n"/>
      <c r="G17" s="21" t="n"/>
    </row>
    <row r="18">
      <c r="A18" t="inlineStr">
        <is>
          <t>TTS.AR.5012</t>
        </is>
      </c>
      <c r="B18" t="inlineStr">
        <is>
          <t>Leva battente sensore fine corsa</t>
        </is>
      </c>
      <c r="C18" s="18" t="n">
        <v>0.6524</v>
      </c>
      <c r="D18" s="17" t="n"/>
      <c r="E18" s="18">
        <f>IF(ISNUMBER($C18),$C18*(1+IF(ISNUMBER($D18),$D18,0)),"")</f>
        <v/>
      </c>
      <c r="F18" s="21" t="n"/>
      <c r="G18" s="21" t="n"/>
    </row>
    <row r="19">
      <c r="A19" t="inlineStr">
        <is>
          <t>TTS.PC.002.IPE140</t>
        </is>
      </c>
      <c r="B19" t="inlineStr">
        <is>
          <t>Supporto laterale testa cuscinetto</t>
        </is>
      </c>
      <c r="C19" s="18" t="n">
        <v>2.1528</v>
      </c>
      <c r="D19" s="17" t="n"/>
      <c r="E19" s="18">
        <f>IF(ISNUMBER($C19),$C19*(1+IF(ISNUMBER($D19),$D19,0)),"")</f>
        <v/>
      </c>
      <c r="F19" s="21" t="n"/>
      <c r="G19" s="21" t="n"/>
    </row>
    <row r="20">
      <c r="A20" t="inlineStr">
        <is>
          <t>TTS.PC.003.IPE140</t>
        </is>
      </c>
      <c r="B20" t="inlineStr">
        <is>
          <t>Supporto testa cuscinetto</t>
        </is>
      </c>
      <c r="C20" s="18" t="n">
        <v>2.7256</v>
      </c>
      <c r="D20" s="17" t="n"/>
      <c r="E20" s="18">
        <f>IF(ISNUMBER($C20),$C20*(1+IF(ISNUMBER($D20),$D20,0)),"")</f>
        <v/>
      </c>
      <c r="F20" s="21" t="n"/>
      <c r="G20" s="21" t="n"/>
    </row>
    <row r="21">
      <c r="A21" t="inlineStr">
        <is>
          <t>TTS.PC.2011.1076</t>
        </is>
      </c>
      <c r="B21" t="inlineStr">
        <is>
          <t>Angolare 40x40x4 lungo 1076 mm. supporto inferiore</t>
        </is>
      </c>
      <c r="C21" s="18" t="n">
        <v>2.685696</v>
      </c>
      <c r="D21" s="17" t="n"/>
      <c r="E21" s="18">
        <f>IF(ISNUMBER($C21),$C21*(1+IF(ISNUMBER($D21),$D21,0)),"")</f>
        <v/>
      </c>
      <c r="F21" s="21" t="n"/>
      <c r="G21" s="21" t="n"/>
    </row>
    <row r="22">
      <c r="A22" t="inlineStr">
        <is>
          <t>TTS.PC.2012.1076</t>
        </is>
      </c>
      <c r="B22" t="inlineStr">
        <is>
          <t>Angolare 40x40x4 lungo1076 mm. supporto superiore</t>
        </is>
      </c>
      <c r="C22" s="18" t="n">
        <v>2.685696</v>
      </c>
      <c r="D22" s="17" t="n"/>
      <c r="E22" s="18">
        <f>IF(ISNUMBER($C22),$C22*(1+IF(ISNUMBER($D22),$D22,0)),"")</f>
        <v/>
      </c>
      <c r="F22" s="21" t="n"/>
      <c r="G22" s="21" t="n"/>
    </row>
    <row r="23">
      <c r="A23" t="inlineStr">
        <is>
          <t>TTS.PC.2013</t>
        </is>
      </c>
      <c r="B23" t="inlineStr">
        <is>
          <t>Palo MAX lungo mt.2,040</t>
        </is>
      </c>
      <c r="C23" s="18" t="n">
        <v>7.00128</v>
      </c>
      <c r="D23" s="17" t="n"/>
      <c r="E23" s="18">
        <f>IF(ISNUMBER($C23),$C23*(1+IF(ISNUMBER($D23),$D23,0)),"")</f>
        <v/>
      </c>
      <c r="F23" s="21" t="n"/>
      <c r="G23" s="21" t="n"/>
    </row>
    <row r="24">
      <c r="A24" t="inlineStr">
        <is>
          <t>TTS.PC.3011</t>
        </is>
      </c>
      <c r="B24" t="inlineStr">
        <is>
          <t>Angolare 40x40x4 lungo 869 mm. superiore</t>
        </is>
      </c>
      <c r="C24" s="18" t="n">
        <v>2.169</v>
      </c>
      <c r="D24" s="17" t="n"/>
      <c r="E24" s="18">
        <f>IF(ISNUMBER($C24),$C24*(1+IF(ISNUMBER($D24),$D24,0)),"")</f>
        <v/>
      </c>
      <c r="F24" s="21" t="n"/>
      <c r="G24" s="21" t="n"/>
    </row>
    <row r="25">
      <c r="A25" t="inlineStr">
        <is>
          <t>TTS.PC.3012</t>
        </is>
      </c>
      <c r="B25" t="inlineStr">
        <is>
          <t>Angolare 40x40x4 lungo 869 mm. inferiore</t>
        </is>
      </c>
      <c r="C25" s="18" t="n">
        <v>2.169</v>
      </c>
      <c r="D25" s="17" t="n"/>
      <c r="E25" s="18">
        <f>IF(ISNUMBER($C25),$C25*(1+IF(ISNUMBER($D25),$D25,0)),"")</f>
        <v/>
      </c>
      <c r="F25" s="21" t="n"/>
      <c r="G25" s="21" t="n"/>
    </row>
    <row r="26">
      <c r="A26" t="inlineStr">
        <is>
          <t>TTS.PC.3013</t>
        </is>
      </c>
      <c r="B26" t="inlineStr">
        <is>
          <t>Palo MAX lungo mt.2,150</t>
        </is>
      </c>
      <c r="C26" s="18" t="n">
        <v>7.3788</v>
      </c>
      <c r="D26" s="17" t="n"/>
      <c r="E26" s="18">
        <f>IF(ISNUMBER($C26),$C26*(1+IF(ISNUMBER($D26),$D26,0)),"")</f>
        <v/>
      </c>
      <c r="F26" s="21" t="n"/>
      <c r="G26" s="21" t="n"/>
    </row>
    <row r="27">
      <c r="A27" t="inlineStr">
        <is>
          <t>TTS.PM.002.IPE140</t>
        </is>
      </c>
      <c r="B27" t="inlineStr">
        <is>
          <t>Supporto laterale testa riduttore</t>
        </is>
      </c>
      <c r="C27" s="18" t="n">
        <v>4.5708</v>
      </c>
      <c r="D27" s="17" t="n"/>
      <c r="E27" s="18">
        <f>IF(ISNUMBER($C27),$C27*(1+IF(ISNUMBER($D27),$D27,0)),"")</f>
        <v/>
      </c>
      <c r="F27" s="21" t="n"/>
      <c r="G27" s="21" t="n"/>
    </row>
    <row r="28">
      <c r="A28" t="inlineStr">
        <is>
          <t>TTS.PM.003.IPE140</t>
        </is>
      </c>
      <c r="B28" t="inlineStr">
        <is>
          <t>Testa riduttore pilastro motore</t>
        </is>
      </c>
      <c r="C28" s="18" t="n">
        <v>2.54</v>
      </c>
      <c r="D28" s="17" t="n"/>
      <c r="E28" s="18">
        <f>IF(ISNUMBER($C28),$C28*(1+IF(ISNUMBER($D28),$D28,0)),"")</f>
        <v/>
      </c>
      <c r="F28" s="21" t="n"/>
      <c r="G28" s="21" t="n"/>
    </row>
    <row r="29">
      <c r="A29" t="inlineStr">
        <is>
          <t>TTS.PM.2011</t>
        </is>
      </c>
      <c r="B29" t="inlineStr">
        <is>
          <t>Angolare 30x30x4 lungo 370 mm. superiore</t>
        </is>
      </c>
      <c r="C29" s="18" t="n">
        <v>0.5195</v>
      </c>
      <c r="D29" s="17" t="n"/>
      <c r="E29" s="18">
        <f>IF(ISNUMBER($C29),$C29*(1+IF(ISNUMBER($D29),$D29,0)),"")</f>
        <v/>
      </c>
      <c r="F29" s="21" t="n"/>
      <c r="G29" s="21" t="n"/>
    </row>
    <row r="30">
      <c r="A30" t="inlineStr">
        <is>
          <t>TTS.PM.2012</t>
        </is>
      </c>
      <c r="B30" t="inlineStr">
        <is>
          <t>Angolare 30x30x4 lungo 370 mm. inferiore</t>
        </is>
      </c>
      <c r="C30" s="18" t="n">
        <v>0.5195</v>
      </c>
      <c r="D30" s="17" t="n"/>
      <c r="E30" s="18">
        <f>IF(ISNUMBER($C30),$C30*(1+IF(ISNUMBER($D30),$D30,0)),"")</f>
        <v/>
      </c>
      <c r="F30" s="21" t="n"/>
      <c r="G30" s="21" t="n"/>
    </row>
    <row r="31">
      <c r="A31" t="inlineStr">
        <is>
          <t>TTS.SM.001</t>
        </is>
      </c>
      <c r="B31" t="inlineStr">
        <is>
          <t>Piatto 50X5X230 supporto sensori</t>
        </is>
      </c>
      <c r="C31" s="18" t="n">
        <v>0.451375</v>
      </c>
      <c r="D31" s="17" t="n"/>
      <c r="E31" s="18">
        <f>IF(ISNUMBER($C31),$C31*(1+IF(ISNUMBER($D31),$D31,0)),"")</f>
        <v/>
      </c>
      <c r="F31" s="21" t="n"/>
      <c r="G31" s="21" t="n"/>
    </row>
    <row r="32">
      <c r="A32" t="inlineStr">
        <is>
          <t>TTS.SM.002</t>
        </is>
      </c>
      <c r="B32" t="inlineStr">
        <is>
          <t>Piatto 30X3X193 leva sensore temperatura pannello</t>
        </is>
      </c>
      <c r="C32" s="18" t="n">
        <v>0.136355</v>
      </c>
      <c r="D32" s="17" t="n"/>
      <c r="E32" s="18">
        <f>IF(ISNUMBER($C32),$C32*(1+IF(ISNUMBER($D32),$D32,0)),"")</f>
        <v/>
      </c>
      <c r="F32" s="21" t="n"/>
      <c r="G32" s="21" t="n"/>
    </row>
    <row r="33">
      <c r="A33" t="inlineStr">
        <is>
          <t>TTS.SM.003</t>
        </is>
      </c>
      <c r="B33" t="inlineStr">
        <is>
          <t>Asta supporto anemometro</t>
        </is>
      </c>
      <c r="C33" s="18" t="n"/>
      <c r="D33" s="17" t="n"/>
      <c r="E33" s="18">
        <f>IF(ISNUMBER($C33),$C33*(1+IF(ISNUMBER($D33),$D33,0)),"")</f>
        <v/>
      </c>
      <c r="F33" s="21" t="n"/>
      <c r="G33" s="21" t="n"/>
    </row>
    <row r="34">
      <c r="C34" s="18" t="n"/>
      <c r="D34" s="17" t="n"/>
      <c r="E34" s="18" t="n"/>
      <c r="F34" s="21" t="n"/>
      <c r="G34" s="21" t="n"/>
    </row>
    <row r="36" ht="15.6" customHeight="1">
      <c r="A36" s="15" t="inlineStr">
        <is>
          <t>PEZZI SPECIALI — elenco (descrizione, peso e costi richiamati dai parametri qui sopra)</t>
        </is>
      </c>
    </row>
    <row r="37" ht="27.6" customHeight="1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>
        <f>IFERROR(VLOOKUP($C38,$A$6:$G$33,2,FALSE),"")</f>
        <v/>
      </c>
      <c r="C38" t="inlineStr">
        <is>
          <t>TTS.PF.002.IPE140</t>
        </is>
      </c>
      <c r="D38" s="20">
        <f>IF(ISNUMBER(VLOOKUP($C38,$A$6:$G$33,5,FALSE)),VLOOKUP($C38,$A$6:$G$33,5,FALSE),"")</f>
        <v/>
      </c>
      <c r="E38" s="12">
        <f>IF(AND(ISNUMBER(VLOOKUP($C38,$A$6:$G$33,3,FALSE)),ISNUMBER(VLOOKUP($C38,$A$6:$G$33,6,FALSE))),VLOOKUP($C38,$A$6:$G$33,3,FALSE)*VLOOKUP($C38,$A$6:$G$33,6,FALSE),"")</f>
        <v/>
      </c>
      <c r="F38" s="12">
        <f>IF(AND(ISNUMBER(VLOOKUP($C38,$A$6:$G$33,3,FALSE)),ISNUMBER(VLOOKUP($C38,$A$6:$G$33,4,FALSE)),VLOOKUP($C38,$A$6:$G$33,4,FALSE)&gt;0,ISNUMBER(VLOOKUP($C38,$A$6:$G$33,7,FALSE))),VLOOKUP($C38,$A$6:$G$33,3,FALSE)*(1+VLOOKUP($C38,$A$6:$G$33,4,FALSE))*VLOOKUP($C38,$A$6:$G$33,7,FALSE),"")</f>
        <v/>
      </c>
    </row>
    <row r="39">
      <c r="A39" t="inlineStr">
        <is>
          <t>TTS.PF.003.IPE140</t>
        </is>
      </c>
      <c r="B39">
        <f>IFERROR(VLOOKUP($C39,$A$6:$G$33,2,FALSE),"")</f>
        <v/>
      </c>
      <c r="C39" t="inlineStr">
        <is>
          <t>TTS.PF.003.IPE140</t>
        </is>
      </c>
      <c r="D39" s="20">
        <f>IF(ISNUMBER(VLOOKUP($C39,$A$6:$G$33,5,FALSE)),VLOOKUP($C39,$A$6:$G$33,5,FALSE),"")</f>
        <v/>
      </c>
      <c r="E39" s="12">
        <f>IF(AND(ISNUMBER(VLOOKUP($C39,$A$6:$G$33,3,FALSE)),ISNUMBER(VLOOKUP($C39,$A$6:$G$33,6,FALSE))),VLOOKUP($C39,$A$6:$G$33,3,FALSE)*VLOOKUP($C39,$A$6:$G$33,6,FALSE),"")</f>
        <v/>
      </c>
      <c r="F39" s="12">
        <f>IF(AND(ISNUMBER(VLOOKUP($C39,$A$6:$G$33,3,FALSE)),ISNUMBER(VLOOKUP($C39,$A$6:$G$33,4,FALSE)),VLOOKUP($C39,$A$6:$G$33,4,FALSE)&gt;0,ISNUMBER(VLOOKUP($C39,$A$6:$G$33,7,FALSE))),VLOOKUP($C39,$A$6:$G$33,3,FALSE)*(1+VLOOKUP($C39,$A$6:$G$33,4,FALSE))*VLOOKUP($C39,$A$6:$G$33,7,FALSE),"")</f>
        <v/>
      </c>
    </row>
    <row r="40">
      <c r="A40" t="inlineStr">
        <is>
          <t>TTS.PF.004.IPE140</t>
        </is>
      </c>
      <c r="B40">
        <f>IFERROR(VLOOKUP($C40,$A$6:$G$33,2,FALSE),"")</f>
        <v/>
      </c>
      <c r="C40" t="inlineStr">
        <is>
          <t>TTS.PF.004.IPE140</t>
        </is>
      </c>
      <c r="D40" s="20">
        <f>IF(ISNUMBER(VLOOKUP($C40,$A$6:$G$33,5,FALSE)),VLOOKUP($C40,$A$6:$G$33,5,FALSE),"")</f>
        <v/>
      </c>
      <c r="E40" s="12">
        <f>IF(AND(ISNUMBER(VLOOKUP($C40,$A$6:$G$33,3,FALSE)),ISNUMBER(VLOOKUP($C40,$A$6:$G$33,6,FALSE))),VLOOKUP($C40,$A$6:$G$33,3,FALSE)*VLOOKUP($C40,$A$6:$G$33,6,FALSE),"")</f>
        <v/>
      </c>
      <c r="F40" s="12">
        <f>IF(AND(ISNUMBER(VLOOKUP($C40,$A$6:$G$33,3,FALSE)),ISNUMBER(VLOOKUP($C40,$A$6:$G$33,4,FALSE)),VLOOKUP($C40,$A$6:$G$33,4,FALSE)&gt;0,ISNUMBER(VLOOKUP($C40,$A$6:$G$33,7,FALSE))),VLOOKUP($C40,$A$6:$G$33,3,FALSE)*(1+VLOOKUP($C40,$A$6:$G$33,4,FALSE))*VLOOKUP($C40,$A$6:$G$33,7,FALSE),"")</f>
        <v/>
      </c>
    </row>
    <row r="41">
      <c r="A41" t="inlineStr">
        <is>
          <t>TTS.AR.2011</t>
        </is>
      </c>
      <c r="B41">
        <f>IFERROR(VLOOKUP($C41,$A$6:$G$33,2,FALSE),"")</f>
        <v/>
      </c>
      <c r="C41" t="inlineStr">
        <is>
          <t>TTS.AR.2011</t>
        </is>
      </c>
      <c r="D41" s="20">
        <f>IF(ISNUMBER(VLOOKUP($C41,$A$6:$G$33,5,FALSE)),VLOOKUP($C41,$A$6:$G$33,5,FALSE),"")</f>
        <v/>
      </c>
      <c r="E41" s="12">
        <f>IF(AND(ISNUMBER(VLOOKUP($C41,$A$6:$G$33,3,FALSE)),ISNUMBER(VLOOKUP($C41,$A$6:$G$33,6,FALSE))),VLOOKUP($C41,$A$6:$G$33,3,FALSE)*VLOOKUP($C41,$A$6:$G$33,6,FALSE),"")</f>
        <v/>
      </c>
      <c r="F41" s="12">
        <f>IF(AND(ISNUMBER(VLOOKUP($C41,$A$6:$G$33,3,FALSE)),ISNUMBER(VLOOKUP($C41,$A$6:$G$33,4,FALSE)),VLOOKUP($C41,$A$6:$G$33,4,FALSE)&gt;0,ISNUMBER(VLOOKUP($C41,$A$6:$G$33,7,FALSE))),VLOOKUP($C41,$A$6:$G$33,3,FALSE)*(1+VLOOKUP($C41,$A$6:$G$33,4,FALSE))*VLOOKUP($C41,$A$6:$G$33,7,FALSE),"")</f>
        <v/>
      </c>
    </row>
    <row r="42">
      <c r="A42" t="inlineStr">
        <is>
          <t>TTS.AR.3011</t>
        </is>
      </c>
      <c r="B42">
        <f>IFERROR(VLOOKUP($C42,$A$6:$G$33,2,FALSE),"")</f>
        <v/>
      </c>
      <c r="C42" t="inlineStr">
        <is>
          <t>TTS.AR.3011</t>
        </is>
      </c>
      <c r="D42" s="20">
        <f>IF(ISNUMBER(VLOOKUP($C42,$A$6:$G$33,5,FALSE)),VLOOKUP($C42,$A$6:$G$33,5,FALSE),"")</f>
        <v/>
      </c>
      <c r="E42" s="12">
        <f>IF(AND(ISNUMBER(VLOOKUP($C42,$A$6:$G$33,3,FALSE)),ISNUMBER(VLOOKUP($C42,$A$6:$G$33,6,FALSE))),VLOOKUP($C42,$A$6:$G$33,3,FALSE)*VLOOKUP($C42,$A$6:$G$33,6,FALSE),"")</f>
        <v/>
      </c>
      <c r="F42" s="12">
        <f>IF(AND(ISNUMBER(VLOOKUP($C42,$A$6:$G$33,3,FALSE)),ISNUMBER(VLOOKUP($C42,$A$6:$G$33,4,FALSE)),VLOOKUP($C42,$A$6:$G$33,4,FALSE)&gt;0,ISNUMBER(VLOOKUP($C42,$A$6:$G$33,7,FALSE))),VLOOKUP($C42,$A$6:$G$33,3,FALSE)*(1+VLOOKUP($C42,$A$6:$G$33,4,FALSE))*VLOOKUP($C42,$A$6:$G$33,7,FALSE),"")</f>
        <v/>
      </c>
    </row>
    <row r="43">
      <c r="A43" t="inlineStr">
        <is>
          <t>TTS.AR.3012</t>
        </is>
      </c>
      <c r="B43">
        <f>IFERROR(VLOOKUP($C43,$A$6:$G$33,2,FALSE),"")</f>
        <v/>
      </c>
      <c r="C43" t="inlineStr">
        <is>
          <t>TTS.AR.3012</t>
        </is>
      </c>
      <c r="D43" s="20">
        <f>IF(ISNUMBER(VLOOKUP($C43,$A$6:$G$33,5,FALSE)),VLOOKUP($C43,$A$6:$G$33,5,FALSE),"")</f>
        <v/>
      </c>
      <c r="E43" s="12">
        <f>IF(AND(ISNUMBER(VLOOKUP($C43,$A$6:$G$33,3,FALSE)),ISNUMBER(VLOOKUP($C43,$A$6:$G$33,6,FALSE))),VLOOKUP($C43,$A$6:$G$33,3,FALSE)*VLOOKUP($C43,$A$6:$G$33,6,FALSE),"")</f>
        <v/>
      </c>
      <c r="F43" s="12">
        <f>IF(AND(ISNUMBER(VLOOKUP($C43,$A$6:$G$33,3,FALSE)),ISNUMBER(VLOOKUP($C43,$A$6:$G$33,4,FALSE)),VLOOKUP($C43,$A$6:$G$33,4,FALSE)&gt;0,ISNUMBER(VLOOKUP($C43,$A$6:$G$33,7,FALSE))),VLOOKUP($C43,$A$6:$G$33,3,FALSE)*(1+VLOOKUP($C43,$A$6:$G$33,4,FALSE))*VLOOKUP($C43,$A$6:$G$33,7,FALSE),"")</f>
        <v/>
      </c>
    </row>
    <row r="44">
      <c r="A44" t="inlineStr">
        <is>
          <t>TTS.AR.3013</t>
        </is>
      </c>
      <c r="B44">
        <f>IFERROR(VLOOKUP($C44,$A$6:$G$33,2,FALSE),"")</f>
        <v/>
      </c>
      <c r="C44" t="inlineStr">
        <is>
          <t>TTS.AR.3013</t>
        </is>
      </c>
      <c r="D44" s="20">
        <f>IF(ISNUMBER(VLOOKUP($C44,$A$6:$G$33,5,FALSE)),VLOOKUP($C44,$A$6:$G$33,5,FALSE),"")</f>
        <v/>
      </c>
      <c r="E44" s="12">
        <f>IF(AND(ISNUMBER(VLOOKUP($C44,$A$6:$G$33,3,FALSE)),ISNUMBER(VLOOKUP($C44,$A$6:$G$33,6,FALSE))),VLOOKUP($C44,$A$6:$G$33,3,FALSE)*VLOOKUP($C44,$A$6:$G$33,6,FALSE),"")</f>
        <v/>
      </c>
      <c r="F44" s="12">
        <f>IF(AND(ISNUMBER(VLOOKUP($C44,$A$6:$G$33,3,FALSE)),ISNUMBER(VLOOKUP($C44,$A$6:$G$33,4,FALSE)),VLOOKUP($C44,$A$6:$G$33,4,FALSE)&gt;0,ISNUMBER(VLOOKUP($C44,$A$6:$G$33,7,FALSE))),VLOOKUP($C44,$A$6:$G$33,3,FALSE)*(1+VLOOKUP($C44,$A$6:$G$33,4,FALSE))*VLOOKUP($C44,$A$6:$G$33,7,FALSE),"")</f>
        <v/>
      </c>
    </row>
    <row r="45">
      <c r="A45" t="inlineStr">
        <is>
          <t>TTS.AR.3014</t>
        </is>
      </c>
      <c r="B45">
        <f>IFERROR(VLOOKUP($C45,$A$6:$G$33,2,FALSE),"")</f>
        <v/>
      </c>
      <c r="C45" t="inlineStr">
        <is>
          <t>TTS.AR.3014</t>
        </is>
      </c>
      <c r="D45" s="20">
        <f>IF(ISNUMBER(VLOOKUP($C45,$A$6:$G$33,5,FALSE)),VLOOKUP($C45,$A$6:$G$33,5,FALSE),"")</f>
        <v/>
      </c>
      <c r="E45" s="12">
        <f>IF(AND(ISNUMBER(VLOOKUP($C45,$A$6:$G$33,3,FALSE)),ISNUMBER(VLOOKUP($C45,$A$6:$G$33,6,FALSE))),VLOOKUP($C45,$A$6:$G$33,3,FALSE)*VLOOKUP($C45,$A$6:$G$33,6,FALSE),"")</f>
        <v/>
      </c>
      <c r="F45" s="12">
        <f>IF(AND(ISNUMBER(VLOOKUP($C45,$A$6:$G$33,3,FALSE)),ISNUMBER(VLOOKUP($C45,$A$6:$G$33,4,FALSE)),VLOOKUP($C45,$A$6:$G$33,4,FALSE)&gt;0,ISNUMBER(VLOOKUP($C45,$A$6:$G$33,7,FALSE))),VLOOKUP($C45,$A$6:$G$33,3,FALSE)*(1+VLOOKUP($C45,$A$6:$G$33,4,FALSE))*VLOOKUP($C45,$A$6:$G$33,7,FALSE),"")</f>
        <v/>
      </c>
    </row>
    <row r="46">
      <c r="A46" t="inlineStr">
        <is>
          <t>TTS.AR.3014.18</t>
        </is>
      </c>
      <c r="B46">
        <f>IFERROR(VLOOKUP($C46,$A$6:$G$33,2,FALSE),"")</f>
        <v/>
      </c>
      <c r="C46" t="inlineStr">
        <is>
          <t>TTS.AR.3014.18</t>
        </is>
      </c>
      <c r="D46" s="20">
        <f>IF(ISNUMBER(VLOOKUP($C46,$A$6:$G$33,5,FALSE)),VLOOKUP($C46,$A$6:$G$33,5,FALSE),"")</f>
        <v/>
      </c>
      <c r="E46" s="12">
        <f>IF(AND(ISNUMBER(VLOOKUP($C46,$A$6:$G$33,3,FALSE)),ISNUMBER(VLOOKUP($C46,$A$6:$G$33,6,FALSE))),VLOOKUP($C46,$A$6:$G$33,3,FALSE)*VLOOKUP($C46,$A$6:$G$33,6,FALSE),"")</f>
        <v/>
      </c>
      <c r="F46" s="12">
        <f>IF(AND(ISNUMBER(VLOOKUP($C46,$A$6:$G$33,3,FALSE)),ISNUMBER(VLOOKUP($C46,$A$6:$G$33,4,FALSE)),VLOOKUP($C46,$A$6:$G$33,4,FALSE)&gt;0,ISNUMBER(VLOOKUP($C46,$A$6:$G$33,7,FALSE))),VLOOKUP($C46,$A$6:$G$33,3,FALSE)*(1+VLOOKUP($C46,$A$6:$G$33,4,FALSE))*VLOOKUP($C46,$A$6:$G$33,7,FALSE),"")</f>
        <v/>
      </c>
    </row>
    <row r="47">
      <c r="A47" t="inlineStr">
        <is>
          <t>TTS.AR.4011</t>
        </is>
      </c>
      <c r="B47">
        <f>IFERROR(VLOOKUP($C47,$A$6:$G$33,2,FALSE),"")</f>
        <v/>
      </c>
      <c r="C47" t="inlineStr">
        <is>
          <t>TTS.AR.4011</t>
        </is>
      </c>
      <c r="D47" s="20">
        <f>IF(ISNUMBER(VLOOKUP($C47,$A$6:$G$33,5,FALSE)),VLOOKUP($C47,$A$6:$G$33,5,FALSE),"")</f>
        <v/>
      </c>
      <c r="E47" s="12">
        <f>IF(AND(ISNUMBER(VLOOKUP($C47,$A$6:$G$33,3,FALSE)),ISNUMBER(VLOOKUP($C47,$A$6:$G$33,6,FALSE))),VLOOKUP($C47,$A$6:$G$33,3,FALSE)*VLOOKUP($C47,$A$6:$G$33,6,FALSE),"")</f>
        <v/>
      </c>
      <c r="F47" s="12">
        <f>IF(AND(ISNUMBER(VLOOKUP($C47,$A$6:$G$33,3,FALSE)),ISNUMBER(VLOOKUP($C47,$A$6:$G$33,4,FALSE)),VLOOKUP($C47,$A$6:$G$33,4,FALSE)&gt;0,ISNUMBER(VLOOKUP($C47,$A$6:$G$33,7,FALSE))),VLOOKUP($C47,$A$6:$G$33,3,FALSE)*(1+VLOOKUP($C47,$A$6:$G$33,4,FALSE))*VLOOKUP($C47,$A$6:$G$33,7,FALSE),"")</f>
        <v/>
      </c>
    </row>
    <row r="48">
      <c r="A48" t="inlineStr">
        <is>
          <t>TTS.AR.4012</t>
        </is>
      </c>
      <c r="B48">
        <f>IFERROR(VLOOKUP($C48,$A$6:$G$33,2,FALSE),"")</f>
        <v/>
      </c>
      <c r="C48" t="inlineStr">
        <is>
          <t>TTS.AR.4012</t>
        </is>
      </c>
      <c r="D48" s="20">
        <f>IF(ISNUMBER(VLOOKUP($C48,$A$6:$G$33,5,FALSE)),VLOOKUP($C48,$A$6:$G$33,5,FALSE),"")</f>
        <v/>
      </c>
      <c r="E48" s="12">
        <f>IF(AND(ISNUMBER(VLOOKUP($C48,$A$6:$G$33,3,FALSE)),ISNUMBER(VLOOKUP($C48,$A$6:$G$33,6,FALSE))),VLOOKUP($C48,$A$6:$G$33,3,FALSE)*VLOOKUP($C48,$A$6:$G$33,6,FALSE),"")</f>
        <v/>
      </c>
      <c r="F48" s="12">
        <f>IF(AND(ISNUMBER(VLOOKUP($C48,$A$6:$G$33,3,FALSE)),ISNUMBER(VLOOKUP($C48,$A$6:$G$33,4,FALSE)),VLOOKUP($C48,$A$6:$G$33,4,FALSE)&gt;0,ISNUMBER(VLOOKUP($C48,$A$6:$G$33,7,FALSE))),VLOOKUP($C48,$A$6:$G$33,3,FALSE)*(1+VLOOKUP($C48,$A$6:$G$33,4,FALSE))*VLOOKUP($C48,$A$6:$G$33,7,FALSE),"")</f>
        <v/>
      </c>
    </row>
    <row r="49">
      <c r="A49" t="inlineStr">
        <is>
          <t>TTS.AR.5011</t>
        </is>
      </c>
      <c r="B49">
        <f>IFERROR(VLOOKUP($C49,$A$6:$G$33,2,FALSE),"")</f>
        <v/>
      </c>
      <c r="C49" t="inlineStr">
        <is>
          <t>TTS.AR.5011</t>
        </is>
      </c>
      <c r="D49" s="20">
        <f>IF(ISNUMBER(VLOOKUP($C49,$A$6:$G$33,5,FALSE)),VLOOKUP($C49,$A$6:$G$33,5,FALSE),"")</f>
        <v/>
      </c>
      <c r="E49" s="12">
        <f>IF(AND(ISNUMBER(VLOOKUP($C49,$A$6:$G$33,3,FALSE)),ISNUMBER(VLOOKUP($C49,$A$6:$G$33,6,FALSE))),VLOOKUP($C49,$A$6:$G$33,3,FALSE)*VLOOKUP($C49,$A$6:$G$33,6,FALSE),"")</f>
        <v/>
      </c>
      <c r="F49" s="12">
        <f>IF(AND(ISNUMBER(VLOOKUP($C49,$A$6:$G$33,3,FALSE)),ISNUMBER(VLOOKUP($C49,$A$6:$G$33,4,FALSE)),VLOOKUP($C49,$A$6:$G$33,4,FALSE)&gt;0,ISNUMBER(VLOOKUP($C49,$A$6:$G$33,7,FALSE))),VLOOKUP($C49,$A$6:$G$33,3,FALSE)*(1+VLOOKUP($C49,$A$6:$G$33,4,FALSE))*VLOOKUP($C49,$A$6:$G$33,7,FALSE),"")</f>
        <v/>
      </c>
    </row>
    <row r="50">
      <c r="A50" t="inlineStr">
        <is>
          <t>TTS.AR.5012</t>
        </is>
      </c>
      <c r="B50">
        <f>IFERROR(VLOOKUP($C50,$A$6:$G$33,2,FALSE),"")</f>
        <v/>
      </c>
      <c r="C50" t="inlineStr">
        <is>
          <t>TTS.AR.5012</t>
        </is>
      </c>
      <c r="D50" s="20">
        <f>IF(ISNUMBER(VLOOKUP($C50,$A$6:$G$33,5,FALSE)),VLOOKUP($C50,$A$6:$G$33,5,FALSE),"")</f>
        <v/>
      </c>
      <c r="E50" s="12">
        <f>IF(AND(ISNUMBER(VLOOKUP($C50,$A$6:$G$33,3,FALSE)),ISNUMBER(VLOOKUP($C50,$A$6:$G$33,6,FALSE))),VLOOKUP($C50,$A$6:$G$33,3,FALSE)*VLOOKUP($C50,$A$6:$G$33,6,FALSE),"")</f>
        <v/>
      </c>
      <c r="F50" s="12">
        <f>IF(AND(ISNUMBER(VLOOKUP($C50,$A$6:$G$33,3,FALSE)),ISNUMBER(VLOOKUP($C50,$A$6:$G$33,4,FALSE)),VLOOKUP($C50,$A$6:$G$33,4,FALSE)&gt;0,ISNUMBER(VLOOKUP($C50,$A$6:$G$33,7,FALSE))),VLOOKUP($C50,$A$6:$G$33,3,FALSE)*(1+VLOOKUP($C50,$A$6:$G$33,4,FALSE))*VLOOKUP($C50,$A$6:$G$33,7,FALSE),"")</f>
        <v/>
      </c>
    </row>
    <row r="51">
      <c r="A51" t="inlineStr">
        <is>
          <t>TTS.PC.002.IPE140</t>
        </is>
      </c>
      <c r="B51">
        <f>IFERROR(VLOOKUP($C51,$A$6:$G$33,2,FALSE),"")</f>
        <v/>
      </c>
      <c r="C51" t="inlineStr">
        <is>
          <t>TTS.PC.002.IPE140</t>
        </is>
      </c>
      <c r="D51" s="20">
        <f>IF(ISNUMBER(VLOOKUP($C51,$A$6:$G$33,5,FALSE)),VLOOKUP($C51,$A$6:$G$33,5,FALSE),"")</f>
        <v/>
      </c>
      <c r="E51" s="12">
        <f>IF(AND(ISNUMBER(VLOOKUP($C51,$A$6:$G$33,3,FALSE)),ISNUMBER(VLOOKUP($C51,$A$6:$G$33,6,FALSE))),VLOOKUP($C51,$A$6:$G$33,3,FALSE)*VLOOKUP($C51,$A$6:$G$33,6,FALSE),"")</f>
        <v/>
      </c>
      <c r="F51" s="12">
        <f>IF(AND(ISNUMBER(VLOOKUP($C51,$A$6:$G$33,3,FALSE)),ISNUMBER(VLOOKUP($C51,$A$6:$G$33,4,FALSE)),VLOOKUP($C51,$A$6:$G$33,4,FALSE)&gt;0,ISNUMBER(VLOOKUP($C51,$A$6:$G$33,7,FALSE))),VLOOKUP($C51,$A$6:$G$33,3,FALSE)*(1+VLOOKUP($C51,$A$6:$G$33,4,FALSE))*VLOOKUP($C51,$A$6:$G$33,7,FALSE),"")</f>
        <v/>
      </c>
    </row>
    <row r="52">
      <c r="A52" t="inlineStr">
        <is>
          <t>TTS.PC.003.IPE140</t>
        </is>
      </c>
      <c r="B52">
        <f>IFERROR(VLOOKUP($C52,$A$6:$G$33,2,FALSE),"")</f>
        <v/>
      </c>
      <c r="C52" t="inlineStr">
        <is>
          <t>TTS.PC.003.IPE140</t>
        </is>
      </c>
      <c r="D52" s="20">
        <f>IF(ISNUMBER(VLOOKUP($C52,$A$6:$G$33,5,FALSE)),VLOOKUP($C52,$A$6:$G$33,5,FALSE),"")</f>
        <v/>
      </c>
      <c r="E52" s="12">
        <f>IF(AND(ISNUMBER(VLOOKUP($C52,$A$6:$G$33,3,FALSE)),ISNUMBER(VLOOKUP($C52,$A$6:$G$33,6,FALSE))),VLOOKUP($C52,$A$6:$G$33,3,FALSE)*VLOOKUP($C52,$A$6:$G$33,6,FALSE),"")</f>
        <v/>
      </c>
      <c r="F52" s="12">
        <f>IF(AND(ISNUMBER(VLOOKUP($C52,$A$6:$G$33,3,FALSE)),ISNUMBER(VLOOKUP($C52,$A$6:$G$33,4,FALSE)),VLOOKUP($C52,$A$6:$G$33,4,FALSE)&gt;0,ISNUMBER(VLOOKUP($C52,$A$6:$G$33,7,FALSE))),VLOOKUP($C52,$A$6:$G$33,3,FALSE)*(1+VLOOKUP($C52,$A$6:$G$33,4,FALSE))*VLOOKUP($C52,$A$6:$G$33,7,FALSE),"")</f>
        <v/>
      </c>
    </row>
    <row r="53">
      <c r="A53" t="inlineStr">
        <is>
          <t>TTS.PC.2011.1076</t>
        </is>
      </c>
      <c r="B53">
        <f>IFERROR(VLOOKUP($C53,$A$6:$G$33,2,FALSE),"")</f>
        <v/>
      </c>
      <c r="C53" t="inlineStr">
        <is>
          <t>TTS.PC.2011.1076</t>
        </is>
      </c>
      <c r="D53" s="20">
        <f>IF(ISNUMBER(VLOOKUP($C53,$A$6:$G$33,5,FALSE)),VLOOKUP($C53,$A$6:$G$33,5,FALSE),"")</f>
        <v/>
      </c>
      <c r="E53" s="12">
        <f>IF(AND(ISNUMBER(VLOOKUP($C53,$A$6:$G$33,3,FALSE)),ISNUMBER(VLOOKUP($C53,$A$6:$G$33,6,FALSE))),VLOOKUP($C53,$A$6:$G$33,3,FALSE)*VLOOKUP($C53,$A$6:$G$33,6,FALSE),"")</f>
        <v/>
      </c>
      <c r="F53" s="12">
        <f>IF(AND(ISNUMBER(VLOOKUP($C53,$A$6:$G$33,3,FALSE)),ISNUMBER(VLOOKUP($C53,$A$6:$G$33,4,FALSE)),VLOOKUP($C53,$A$6:$G$33,4,FALSE)&gt;0,ISNUMBER(VLOOKUP($C53,$A$6:$G$33,7,FALSE))),VLOOKUP($C53,$A$6:$G$33,3,FALSE)*(1+VLOOKUP($C53,$A$6:$G$33,4,FALSE))*VLOOKUP($C53,$A$6:$G$33,7,FALSE),"")</f>
        <v/>
      </c>
    </row>
    <row r="54">
      <c r="A54" t="inlineStr">
        <is>
          <t>TTS.PC.2012.1076</t>
        </is>
      </c>
      <c r="B54">
        <f>IFERROR(VLOOKUP($C54,$A$6:$G$33,2,FALSE),"")</f>
        <v/>
      </c>
      <c r="C54" t="inlineStr">
        <is>
          <t>TTS.PC.2012.1076</t>
        </is>
      </c>
      <c r="D54" s="20">
        <f>IF(ISNUMBER(VLOOKUP($C54,$A$6:$G$33,5,FALSE)),VLOOKUP($C54,$A$6:$G$33,5,FALSE),"")</f>
        <v/>
      </c>
      <c r="E54" s="12">
        <f>IF(AND(ISNUMBER(VLOOKUP($C54,$A$6:$G$33,3,FALSE)),ISNUMBER(VLOOKUP($C54,$A$6:$G$33,6,FALSE))),VLOOKUP($C54,$A$6:$G$33,3,FALSE)*VLOOKUP($C54,$A$6:$G$33,6,FALSE),"")</f>
        <v/>
      </c>
      <c r="F54" s="12">
        <f>IF(AND(ISNUMBER(VLOOKUP($C54,$A$6:$G$33,3,FALSE)),ISNUMBER(VLOOKUP($C54,$A$6:$G$33,4,FALSE)),VLOOKUP($C54,$A$6:$G$33,4,FALSE)&gt;0,ISNUMBER(VLOOKUP($C54,$A$6:$G$33,7,FALSE))),VLOOKUP($C54,$A$6:$G$33,3,FALSE)*(1+VLOOKUP($C54,$A$6:$G$33,4,FALSE))*VLOOKUP($C54,$A$6:$G$33,7,FALSE),"")</f>
        <v/>
      </c>
    </row>
    <row r="55">
      <c r="A55" t="inlineStr">
        <is>
          <t>TTS.PC.2013</t>
        </is>
      </c>
      <c r="B55">
        <f>IFERROR(VLOOKUP($C55,$A$6:$G$33,2,FALSE),"")</f>
        <v/>
      </c>
      <c r="C55" t="inlineStr">
        <is>
          <t>TTS.PC.2013</t>
        </is>
      </c>
      <c r="D55" s="20">
        <f>IF(ISNUMBER(VLOOKUP($C55,$A$6:$G$33,5,FALSE)),VLOOKUP($C55,$A$6:$G$33,5,FALSE),"")</f>
        <v/>
      </c>
      <c r="E55" s="12">
        <f>IF(AND(ISNUMBER(VLOOKUP($C55,$A$6:$G$33,3,FALSE)),ISNUMBER(VLOOKUP($C55,$A$6:$G$33,6,FALSE))),VLOOKUP($C55,$A$6:$G$33,3,FALSE)*VLOOKUP($C55,$A$6:$G$33,6,FALSE),"")</f>
        <v/>
      </c>
      <c r="F55" s="12">
        <f>IF(AND(ISNUMBER(VLOOKUP($C55,$A$6:$G$33,3,FALSE)),ISNUMBER(VLOOKUP($C55,$A$6:$G$33,4,FALSE)),VLOOKUP($C55,$A$6:$G$33,4,FALSE)&gt;0,ISNUMBER(VLOOKUP($C55,$A$6:$G$33,7,FALSE))),VLOOKUP($C55,$A$6:$G$33,3,FALSE)*(1+VLOOKUP($C55,$A$6:$G$33,4,FALSE))*VLOOKUP($C55,$A$6:$G$33,7,FALSE),"")</f>
        <v/>
      </c>
    </row>
    <row r="56">
      <c r="A56" t="inlineStr">
        <is>
          <t>TTS.PC.3011</t>
        </is>
      </c>
      <c r="B56">
        <f>IFERROR(VLOOKUP($C56,$A$6:$G$33,2,FALSE),"")</f>
        <v/>
      </c>
      <c r="C56" t="inlineStr">
        <is>
          <t>TTS.PC.3011</t>
        </is>
      </c>
      <c r="D56" s="20">
        <f>IF(ISNUMBER(VLOOKUP($C56,$A$6:$G$33,5,FALSE)),VLOOKUP($C56,$A$6:$G$33,5,FALSE),"")</f>
        <v/>
      </c>
      <c r="E56" s="12">
        <f>IF(AND(ISNUMBER(VLOOKUP($C56,$A$6:$G$33,3,FALSE)),ISNUMBER(VLOOKUP($C56,$A$6:$G$33,6,FALSE))),VLOOKUP($C56,$A$6:$G$33,3,FALSE)*VLOOKUP($C56,$A$6:$G$33,6,FALSE),"")</f>
        <v/>
      </c>
      <c r="F56" s="12">
        <f>IF(AND(ISNUMBER(VLOOKUP($C56,$A$6:$G$33,3,FALSE)),ISNUMBER(VLOOKUP($C56,$A$6:$G$33,4,FALSE)),VLOOKUP($C56,$A$6:$G$33,4,FALSE)&gt;0,ISNUMBER(VLOOKUP($C56,$A$6:$G$33,7,FALSE))),VLOOKUP($C56,$A$6:$G$33,3,FALSE)*(1+VLOOKUP($C56,$A$6:$G$33,4,FALSE))*VLOOKUP($C56,$A$6:$G$33,7,FALSE),"")</f>
        <v/>
      </c>
    </row>
    <row r="57">
      <c r="A57" t="inlineStr">
        <is>
          <t>TTS.PC.3012</t>
        </is>
      </c>
      <c r="B57">
        <f>IFERROR(VLOOKUP($C57,$A$6:$G$33,2,FALSE),"")</f>
        <v/>
      </c>
      <c r="C57" t="inlineStr">
        <is>
          <t>TTS.PC.3012</t>
        </is>
      </c>
      <c r="D57" s="20">
        <f>IF(ISNUMBER(VLOOKUP($C57,$A$6:$G$33,5,FALSE)),VLOOKUP($C57,$A$6:$G$33,5,FALSE),"")</f>
        <v/>
      </c>
      <c r="E57" s="12">
        <f>IF(AND(ISNUMBER(VLOOKUP($C57,$A$6:$G$33,3,FALSE)),ISNUMBER(VLOOKUP($C57,$A$6:$G$33,6,FALSE))),VLOOKUP($C57,$A$6:$G$33,3,FALSE)*VLOOKUP($C57,$A$6:$G$33,6,FALSE),"")</f>
        <v/>
      </c>
      <c r="F57" s="12">
        <f>IF(AND(ISNUMBER(VLOOKUP($C57,$A$6:$G$33,3,FALSE)),ISNUMBER(VLOOKUP($C57,$A$6:$G$33,4,FALSE)),VLOOKUP($C57,$A$6:$G$33,4,FALSE)&gt;0,ISNUMBER(VLOOKUP($C57,$A$6:$G$33,7,FALSE))),VLOOKUP($C57,$A$6:$G$33,3,FALSE)*(1+VLOOKUP($C57,$A$6:$G$33,4,FALSE))*VLOOKUP($C57,$A$6:$G$33,7,FALSE),"")</f>
        <v/>
      </c>
    </row>
    <row r="58">
      <c r="A58" t="inlineStr">
        <is>
          <t>TTS.PC.3013</t>
        </is>
      </c>
      <c r="B58">
        <f>IFERROR(VLOOKUP($C58,$A$6:$G$33,2,FALSE),"")</f>
        <v/>
      </c>
      <c r="C58" t="inlineStr">
        <is>
          <t>TTS.PC.3013</t>
        </is>
      </c>
      <c r="D58" s="20">
        <f>IF(ISNUMBER(VLOOKUP($C58,$A$6:$G$33,5,FALSE)),VLOOKUP($C58,$A$6:$G$33,5,FALSE),"")</f>
        <v/>
      </c>
      <c r="E58" s="12">
        <f>IF(AND(ISNUMBER(VLOOKUP($C58,$A$6:$G$33,3,FALSE)),ISNUMBER(VLOOKUP($C58,$A$6:$G$33,6,FALSE))),VLOOKUP($C58,$A$6:$G$33,3,FALSE)*VLOOKUP($C58,$A$6:$G$33,6,FALSE),"")</f>
        <v/>
      </c>
      <c r="F58" s="12">
        <f>IF(AND(ISNUMBER(VLOOKUP($C58,$A$6:$G$33,3,FALSE)),ISNUMBER(VLOOKUP($C58,$A$6:$G$33,4,FALSE)),VLOOKUP($C58,$A$6:$G$33,4,FALSE)&gt;0,ISNUMBER(VLOOKUP($C58,$A$6:$G$33,7,FALSE))),VLOOKUP($C58,$A$6:$G$33,3,FALSE)*(1+VLOOKUP($C58,$A$6:$G$33,4,FALSE))*VLOOKUP($C58,$A$6:$G$33,7,FALSE),"")</f>
        <v/>
      </c>
    </row>
    <row r="59">
      <c r="A59" t="inlineStr">
        <is>
          <t>TTS.PM.002.IPE140</t>
        </is>
      </c>
      <c r="B59">
        <f>IFERROR(VLOOKUP($C59,$A$6:$G$33,2,FALSE),"")</f>
        <v/>
      </c>
      <c r="C59" t="inlineStr">
        <is>
          <t>TTS.PM.002.IPE140</t>
        </is>
      </c>
      <c r="D59" s="20">
        <f>IF(ISNUMBER(VLOOKUP($C59,$A$6:$G$33,5,FALSE)),VLOOKUP($C59,$A$6:$G$33,5,FALSE),"")</f>
        <v/>
      </c>
      <c r="E59" s="12">
        <f>IF(AND(ISNUMBER(VLOOKUP($C59,$A$6:$G$33,3,FALSE)),ISNUMBER(VLOOKUP($C59,$A$6:$G$33,6,FALSE))),VLOOKUP($C59,$A$6:$G$33,3,FALSE)*VLOOKUP($C59,$A$6:$G$33,6,FALSE),"")</f>
        <v/>
      </c>
      <c r="F59" s="12">
        <f>IF(AND(ISNUMBER(VLOOKUP($C59,$A$6:$G$33,3,FALSE)),ISNUMBER(VLOOKUP($C59,$A$6:$G$33,4,FALSE)),VLOOKUP($C59,$A$6:$G$33,4,FALSE)&gt;0,ISNUMBER(VLOOKUP($C59,$A$6:$G$33,7,FALSE))),VLOOKUP($C59,$A$6:$G$33,3,FALSE)*(1+VLOOKUP($C59,$A$6:$G$33,4,FALSE))*VLOOKUP($C59,$A$6:$G$33,7,FALSE),"")</f>
        <v/>
      </c>
    </row>
    <row r="60">
      <c r="A60" t="inlineStr">
        <is>
          <t>TTS.PM.003.IPE140</t>
        </is>
      </c>
      <c r="B60">
        <f>IFERROR(VLOOKUP($C60,$A$6:$G$33,2,FALSE),"")</f>
        <v/>
      </c>
      <c r="C60" t="inlineStr">
        <is>
          <t>TTS.PM.003.IPE140</t>
        </is>
      </c>
      <c r="D60" s="20">
        <f>IF(ISNUMBER(VLOOKUP($C60,$A$6:$G$33,5,FALSE)),VLOOKUP($C60,$A$6:$G$33,5,FALSE),"")</f>
        <v/>
      </c>
      <c r="E60" s="12">
        <f>IF(AND(ISNUMBER(VLOOKUP($C60,$A$6:$G$33,3,FALSE)),ISNUMBER(VLOOKUP($C60,$A$6:$G$33,6,FALSE))),VLOOKUP($C60,$A$6:$G$33,3,FALSE)*VLOOKUP($C60,$A$6:$G$33,6,FALSE),"")</f>
        <v/>
      </c>
      <c r="F60" s="12">
        <f>IF(AND(ISNUMBER(VLOOKUP($C60,$A$6:$G$33,3,FALSE)),ISNUMBER(VLOOKUP($C60,$A$6:$G$33,4,FALSE)),VLOOKUP($C60,$A$6:$G$33,4,FALSE)&gt;0,ISNUMBER(VLOOKUP($C60,$A$6:$G$33,7,FALSE))),VLOOKUP($C60,$A$6:$G$33,3,FALSE)*(1+VLOOKUP($C60,$A$6:$G$33,4,FALSE))*VLOOKUP($C60,$A$6:$G$33,7,FALSE),"")</f>
        <v/>
      </c>
    </row>
    <row r="61">
      <c r="A61" t="inlineStr">
        <is>
          <t>TTS.PM.2011</t>
        </is>
      </c>
      <c r="B61">
        <f>IFERROR(VLOOKUP($C61,$A$6:$G$33,2,FALSE),"")</f>
        <v/>
      </c>
      <c r="C61" t="inlineStr">
        <is>
          <t>TTS.PM.2011</t>
        </is>
      </c>
      <c r="D61" s="20">
        <f>IF(ISNUMBER(VLOOKUP($C61,$A$6:$G$33,5,FALSE)),VLOOKUP($C61,$A$6:$G$33,5,FALSE),"")</f>
        <v/>
      </c>
      <c r="E61" s="12">
        <f>IF(AND(ISNUMBER(VLOOKUP($C61,$A$6:$G$33,3,FALSE)),ISNUMBER(VLOOKUP($C61,$A$6:$G$33,6,FALSE))),VLOOKUP($C61,$A$6:$G$33,3,FALSE)*VLOOKUP($C61,$A$6:$G$33,6,FALSE),"")</f>
        <v/>
      </c>
      <c r="F61" s="12">
        <f>IF(AND(ISNUMBER(VLOOKUP($C61,$A$6:$G$33,3,FALSE)),ISNUMBER(VLOOKUP($C61,$A$6:$G$33,4,FALSE)),VLOOKUP($C61,$A$6:$G$33,4,FALSE)&gt;0,ISNUMBER(VLOOKUP($C61,$A$6:$G$33,7,FALSE))),VLOOKUP($C61,$A$6:$G$33,3,FALSE)*(1+VLOOKUP($C61,$A$6:$G$33,4,FALSE))*VLOOKUP($C61,$A$6:$G$33,7,FALSE),"")</f>
        <v/>
      </c>
    </row>
    <row r="62">
      <c r="A62" t="inlineStr">
        <is>
          <t>TTS.PM.2012</t>
        </is>
      </c>
      <c r="B62">
        <f>IFERROR(VLOOKUP($C62,$A$6:$G$33,2,FALSE),"")</f>
        <v/>
      </c>
      <c r="C62" t="inlineStr">
        <is>
          <t>TTS.PM.2012</t>
        </is>
      </c>
      <c r="D62" s="20">
        <f>IF(ISNUMBER(VLOOKUP($C62,$A$6:$G$33,5,FALSE)),VLOOKUP($C62,$A$6:$G$33,5,FALSE),"")</f>
        <v/>
      </c>
      <c r="E62" s="12">
        <f>IF(AND(ISNUMBER(VLOOKUP($C62,$A$6:$G$33,3,FALSE)),ISNUMBER(VLOOKUP($C62,$A$6:$G$33,6,FALSE))),VLOOKUP($C62,$A$6:$G$33,3,FALSE)*VLOOKUP($C62,$A$6:$G$33,6,FALSE),"")</f>
        <v/>
      </c>
      <c r="F62" s="12">
        <f>IF(AND(ISNUMBER(VLOOKUP($C62,$A$6:$G$33,3,FALSE)),ISNUMBER(VLOOKUP($C62,$A$6:$G$33,4,FALSE)),VLOOKUP($C62,$A$6:$G$33,4,FALSE)&gt;0,ISNUMBER(VLOOKUP($C62,$A$6:$G$33,7,FALSE))),VLOOKUP($C62,$A$6:$G$33,3,FALSE)*(1+VLOOKUP($C62,$A$6:$G$33,4,FALSE))*VLOOKUP($C62,$A$6:$G$33,7,FALSE),"")</f>
        <v/>
      </c>
    </row>
    <row r="63">
      <c r="A63" t="inlineStr">
        <is>
          <t>TTS.SM.001</t>
        </is>
      </c>
      <c r="B63">
        <f>IFERROR(VLOOKUP($C63,$A$6:$G$33,2,FALSE),"")</f>
        <v/>
      </c>
      <c r="C63" t="inlineStr">
        <is>
          <t>TTS.SM.001</t>
        </is>
      </c>
      <c r="D63" s="20">
        <f>IF(ISNUMBER(VLOOKUP($C63,$A$6:$G$33,5,FALSE)),VLOOKUP($C63,$A$6:$G$33,5,FALSE),"")</f>
        <v/>
      </c>
      <c r="E63" s="12">
        <f>IF(AND(ISNUMBER(VLOOKUP($C63,$A$6:$G$33,3,FALSE)),ISNUMBER(VLOOKUP($C63,$A$6:$G$33,6,FALSE))),VLOOKUP($C63,$A$6:$G$33,3,FALSE)*VLOOKUP($C63,$A$6:$G$33,6,FALSE),"")</f>
        <v/>
      </c>
      <c r="F63" s="12">
        <f>IF(AND(ISNUMBER(VLOOKUP($C63,$A$6:$G$33,3,FALSE)),ISNUMBER(VLOOKUP($C63,$A$6:$G$33,4,FALSE)),VLOOKUP($C63,$A$6:$G$33,4,FALSE)&gt;0,ISNUMBER(VLOOKUP($C63,$A$6:$G$33,7,FALSE))),VLOOKUP($C63,$A$6:$G$33,3,FALSE)*(1+VLOOKUP($C63,$A$6:$G$33,4,FALSE))*VLOOKUP($C63,$A$6:$G$33,7,FALSE),"")</f>
        <v/>
      </c>
    </row>
    <row r="64">
      <c r="A64" t="inlineStr">
        <is>
          <t>TTS.SM.002</t>
        </is>
      </c>
      <c r="B64">
        <f>IFERROR(VLOOKUP($C64,$A$6:$G$33,2,FALSE),"")</f>
        <v/>
      </c>
      <c r="C64" t="inlineStr">
        <is>
          <t>TTS.SM.002</t>
        </is>
      </c>
      <c r="D64" s="20">
        <f>IF(ISNUMBER(VLOOKUP($C64,$A$6:$G$33,5,FALSE)),VLOOKUP($C64,$A$6:$G$33,5,FALSE),"")</f>
        <v/>
      </c>
      <c r="E64" s="12">
        <f>IF(AND(ISNUMBER(VLOOKUP($C64,$A$6:$G$33,3,FALSE)),ISNUMBER(VLOOKUP($C64,$A$6:$G$33,6,FALSE))),VLOOKUP($C64,$A$6:$G$33,3,FALSE)*VLOOKUP($C64,$A$6:$G$33,6,FALSE),"")</f>
        <v/>
      </c>
      <c r="F64" s="12">
        <f>IF(AND(ISNUMBER(VLOOKUP($C64,$A$6:$G$33,3,FALSE)),ISNUMBER(VLOOKUP($C64,$A$6:$G$33,4,FALSE)),VLOOKUP($C64,$A$6:$G$33,4,FALSE)&gt;0,ISNUMBER(VLOOKUP($C64,$A$6:$G$33,7,FALSE))),VLOOKUP($C64,$A$6:$G$33,3,FALSE)*(1+VLOOKUP($C64,$A$6:$G$33,4,FALSE))*VLOOKUP($C64,$A$6:$G$33,7,FALSE),"")</f>
        <v/>
      </c>
    </row>
    <row r="65">
      <c r="A65" t="inlineStr">
        <is>
          <t>TTS.SM.003</t>
        </is>
      </c>
      <c r="B65">
        <f>IFERROR(VLOOKUP($C65,$A$6:$G$33,2,FALSE),"")</f>
        <v/>
      </c>
      <c r="C65" t="inlineStr">
        <is>
          <t>TTS.SM.003</t>
        </is>
      </c>
      <c r="D65" s="20">
        <f>IF(ISNUMBER(VLOOKUP($C65,$A$6:$G$33,5,FALSE)),VLOOKUP($C65,$A$6:$G$33,5,FALSE),"")</f>
        <v/>
      </c>
      <c r="E65" s="12">
        <f>IF(AND(ISNUMBER(VLOOKUP($C65,$A$6:$G$33,3,FALSE)),ISNUMBER(VLOOKUP($C65,$A$6:$G$33,6,FALSE))),VLOOKUP($C65,$A$6:$G$33,3,FALSE)*VLOOKUP($C65,$A$6:$G$33,6,FALSE),"")</f>
        <v/>
      </c>
      <c r="F65" s="12">
        <f>IF(AND(ISNUMBER(VLOOKUP($C65,$A$6:$G$33,3,FALSE)),ISNUMBER(VLOOKUP($C65,$A$6:$G$33,4,FALSE)),VLOOKUP($C65,$A$6:$G$33,4,FALSE)&gt;0,ISNUMBER(VLOOKUP($C65,$A$6:$G$33,7,FALSE))),VLOOKUP($C65,$A$6:$G$33,3,FALSE)*(1+VLOOKUP($C65,$A$6:$G$33,4,FALSE))*VLOOKUP($C65,$A$6:$G$33,7,FALSE),"")</f>
        <v/>
      </c>
    </row>
    <row r="66">
      <c r="D66" s="20" t="n"/>
      <c r="E66" s="12" t="n"/>
      <c r="F66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4.4"/>
  <cols>
    <col width="22" customWidth="1" min="1" max="1"/>
    <col width="52" customWidth="1" min="2" max="2"/>
    <col width="16" customWidth="1" min="3" max="3"/>
    <col width="14" customWidth="1" min="4" max="4"/>
  </cols>
  <sheetData>
    <row r="1" ht="15.6" customHeight="1">
      <c r="A1" s="15" t="inlineStr">
        <is>
          <t>SCHEDA BULLONERIA — peso unitario e costo dei minuteria/bulloneria commerciale (bulloni, dadi, rondelle)</t>
        </is>
      </c>
    </row>
    <row r="2">
      <c r="A2" s="22" t="inlineStr">
        <is>
      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      </is>
      </c>
    </row>
    <row r="4" ht="15.6" customHeight="1">
      <c r="A4" s="15" t="inlineStr">
        <is>
          <t>BULLONERIA — parametri (confermare Peso unitario, compilare Costo €/pz)</t>
        </is>
      </c>
    </row>
    <row r="5">
      <c r="A5" s="23" t="inlineStr">
        <is>
          <t>Codice</t>
        </is>
      </c>
      <c r="B5" s="23" t="inlineStr">
        <is>
          <t>Descrizione</t>
        </is>
      </c>
      <c r="C5" s="23" t="inlineStr">
        <is>
          <t>Peso unitario (kg)</t>
        </is>
      </c>
      <c r="D5" s="23" t="inlineStr">
        <is>
          <t>Costo (€/pz)</t>
        </is>
      </c>
    </row>
    <row r="6">
      <c r="A6" t="inlineStr">
        <is>
          <t>06TAP120X120</t>
        </is>
      </c>
      <c r="B6" t="inlineStr">
        <is>
          <t>Tappo profilato 120x120</t>
        </is>
      </c>
      <c r="C6" s="24" t="n"/>
      <c r="D6" s="25" t="n"/>
    </row>
    <row r="7">
      <c r="A7" t="inlineStr">
        <is>
          <t>10BZ10X30</t>
        </is>
      </c>
      <c r="B7" t="inlineStr">
        <is>
          <t>Bullone testa esagonale M10X30</t>
        </is>
      </c>
      <c r="C7" s="24" t="n">
        <v>0.0245</v>
      </c>
      <c r="D7" s="25" t="n"/>
    </row>
    <row r="8">
      <c r="A8" t="inlineStr">
        <is>
          <t>10BZ10X40</t>
        </is>
      </c>
      <c r="B8" t="inlineStr">
        <is>
          <t>Bullone testa esagonale zn M10X40</t>
        </is>
      </c>
      <c r="C8" s="24" t="n">
        <v>0.0305</v>
      </c>
      <c r="D8" s="25" t="n"/>
    </row>
    <row r="9">
      <c r="A9" t="inlineStr">
        <is>
          <t>10BZ16X140</t>
        </is>
      </c>
      <c r="B9" t="inlineStr">
        <is>
          <t>Bullone testa esagonale M16x140 mezzo filetto</t>
        </is>
      </c>
      <c r="C9" s="24" t="n">
        <v>0.21</v>
      </c>
      <c r="D9" s="25" t="n"/>
    </row>
    <row r="10">
      <c r="A10" t="inlineStr">
        <is>
          <t>10BZM10X160</t>
        </is>
      </c>
      <c r="B10" t="inlineStr">
        <is>
          <t>Bullone testa esagonale zn M10X160</t>
        </is>
      </c>
      <c r="C10" s="24" t="n">
        <v>0.095</v>
      </c>
      <c r="D10" s="25" t="n"/>
    </row>
    <row r="11">
      <c r="A11" t="inlineStr">
        <is>
          <t>10BZM10X30</t>
        </is>
      </c>
      <c r="B11" t="inlineStr">
        <is>
          <t>Bullone testa esagonale zn M10X30</t>
        </is>
      </c>
      <c r="C11" s="24" t="n">
        <v>0.0245</v>
      </c>
      <c r="D11" s="25" t="n"/>
    </row>
    <row r="12">
      <c r="A12" t="inlineStr">
        <is>
          <t>10BZM10X40</t>
        </is>
      </c>
      <c r="B12" t="inlineStr">
        <is>
          <t>Bullone testa esagonale M10X40</t>
        </is>
      </c>
      <c r="C12" s="24" t="n">
        <v>0.0305</v>
      </c>
      <c r="D12" s="25" t="n"/>
    </row>
    <row r="13">
      <c r="A13" t="inlineStr">
        <is>
          <t>10BZM16X25</t>
        </is>
      </c>
      <c r="B13" t="inlineStr">
        <is>
          <t>Bullone testa esagonale zn M16X25</t>
        </is>
      </c>
      <c r="C13" s="24" t="n">
        <v>0.052</v>
      </c>
      <c r="D13" s="25" t="n"/>
    </row>
    <row r="14">
      <c r="A14" t="inlineStr">
        <is>
          <t>10BZM16X60</t>
        </is>
      </c>
      <c r="B14" t="inlineStr">
        <is>
          <t>Bullone testa esagonale M16X60</t>
        </is>
      </c>
      <c r="C14" s="24" t="n">
        <v>0.11</v>
      </c>
      <c r="D14" s="25" t="n"/>
    </row>
    <row r="15">
      <c r="A15" t="inlineStr">
        <is>
          <t>10BZM5X20</t>
        </is>
      </c>
      <c r="B15" t="inlineStr">
        <is>
          <t>Bullone testa esagonale zn M5x20</t>
        </is>
      </c>
      <c r="C15" s="24" t="n">
        <v>0.0031</v>
      </c>
      <c r="D15" s="25" t="n"/>
    </row>
    <row r="16">
      <c r="A16" t="inlineStr">
        <is>
          <t>10BZM5X30</t>
        </is>
      </c>
      <c r="B16" t="inlineStr">
        <is>
          <t>Bullone testa esagonale zn M5x30</t>
        </is>
      </c>
      <c r="C16" s="24" t="n">
        <v>0.0042</v>
      </c>
      <c r="D16" s="25" t="n"/>
    </row>
    <row r="17">
      <c r="A17" t="inlineStr">
        <is>
          <t>10BZM6X150</t>
        </is>
      </c>
      <c r="B17" t="inlineStr">
        <is>
          <t>Bullone testa esagonale zn M6X150</t>
        </is>
      </c>
      <c r="C17" s="24" t="n">
        <v>0.026</v>
      </c>
      <c r="D17" s="25" t="n"/>
    </row>
    <row r="18">
      <c r="A18" t="inlineStr">
        <is>
          <t>10BZM6X20</t>
        </is>
      </c>
      <c r="B18" t="inlineStr">
        <is>
          <t>Bullone testa esagonale zn M6X20</t>
        </is>
      </c>
      <c r="C18" s="24" t="n">
        <v>0.0054</v>
      </c>
      <c r="D18" s="25" t="n"/>
    </row>
    <row r="19">
      <c r="A19" t="inlineStr">
        <is>
          <t>10BZM6X25</t>
        </is>
      </c>
      <c r="B19" t="inlineStr">
        <is>
          <t>Bullone testa esagonale zn M6X30</t>
        </is>
      </c>
      <c r="C19" s="24" t="n">
        <v>0.0062</v>
      </c>
      <c r="D19" s="25" t="n"/>
    </row>
    <row r="20">
      <c r="A20" t="inlineStr">
        <is>
          <t>10BZM6X30</t>
        </is>
      </c>
      <c r="B20" t="inlineStr">
        <is>
          <t>Bullone testa esagonale zn M6X30</t>
        </is>
      </c>
      <c r="C20" s="24" t="n">
        <v>0.007</v>
      </c>
      <c r="D20" s="25" t="n"/>
    </row>
    <row r="21">
      <c r="A21" t="inlineStr">
        <is>
          <t>10BZM8X150</t>
        </is>
      </c>
      <c r="B21" t="inlineStr">
        <is>
          <t>Bullone testa esagonale zn M8X150</t>
        </is>
      </c>
      <c r="C21" s="24" t="n">
        <v>0.049</v>
      </c>
      <c r="D21" s="25" t="n"/>
    </row>
    <row r="22">
      <c r="A22" t="inlineStr">
        <is>
          <t>10BZM8X20</t>
        </is>
      </c>
      <c r="B22" t="inlineStr">
        <is>
          <t>Bullone testa esagonale zn M8X20</t>
        </is>
      </c>
      <c r="C22" s="24" t="n">
        <v>0.0112</v>
      </c>
      <c r="D22" s="25" t="n"/>
    </row>
    <row r="23">
      <c r="A23" t="inlineStr">
        <is>
          <t>10BZM8X25</t>
        </is>
      </c>
      <c r="B23" t="inlineStr">
        <is>
          <t>Bullone testa esagonale zn M8X25</t>
        </is>
      </c>
      <c r="C23" s="24" t="n">
        <v>0.0129</v>
      </c>
      <c r="D23" s="25" t="n"/>
    </row>
    <row r="24">
      <c r="A24" t="inlineStr">
        <is>
          <t>10BZM8X30</t>
        </is>
      </c>
      <c r="B24" t="inlineStr">
        <is>
          <t>Bullone testa esagonale zn M8X30</t>
        </is>
      </c>
      <c r="C24" s="24" t="n">
        <v>0.0145</v>
      </c>
      <c r="D24" s="25" t="n"/>
    </row>
    <row r="25">
      <c r="A25" t="inlineStr">
        <is>
          <t>10DADAZM8</t>
        </is>
      </c>
      <c r="B25" t="inlineStr">
        <is>
          <t>Dado autobloccante M8 zn</t>
        </is>
      </c>
      <c r="C25" s="24" t="n">
        <v>0.0048</v>
      </c>
      <c r="D25" s="25" t="n"/>
    </row>
    <row r="26">
      <c r="A26" t="inlineStr">
        <is>
          <t>10DAZAM10</t>
        </is>
      </c>
      <c r="B26" t="inlineStr">
        <is>
          <t>Dado autobloccante M10</t>
        </is>
      </c>
      <c r="C26" s="24" t="n">
        <v>0.008999999999999999</v>
      </c>
      <c r="D26" s="25" t="n"/>
    </row>
    <row r="27">
      <c r="A27" t="inlineStr">
        <is>
          <t>10DAZAM16</t>
        </is>
      </c>
      <c r="B27" t="inlineStr">
        <is>
          <t>Dado autobloccante M16</t>
        </is>
      </c>
      <c r="C27" s="24" t="n">
        <v>0.036</v>
      </c>
      <c r="D27" s="25" t="n"/>
    </row>
    <row r="28">
      <c r="A28" t="inlineStr">
        <is>
          <t>10DAZAM5</t>
        </is>
      </c>
      <c r="B28" t="inlineStr">
        <is>
          <t>Dado zincato autobloc. M5</t>
        </is>
      </c>
      <c r="C28" s="24" t="n">
        <v>0.0011</v>
      </c>
      <c r="D28" s="25" t="n"/>
    </row>
    <row r="29">
      <c r="A29" t="inlineStr">
        <is>
          <t>10DAZAM6</t>
        </is>
      </c>
      <c r="B29" t="inlineStr">
        <is>
          <t>Dado autobloccante M6</t>
        </is>
      </c>
      <c r="C29" s="24" t="n">
        <v>0.0021</v>
      </c>
      <c r="D29" s="25" t="n"/>
    </row>
    <row r="30">
      <c r="A30" t="inlineStr">
        <is>
          <t>10DAZAM8</t>
        </is>
      </c>
      <c r="B30" t="inlineStr">
        <is>
          <t>Dado autobloccante M8</t>
        </is>
      </c>
      <c r="C30" s="24" t="n">
        <v>0.0048</v>
      </c>
      <c r="D30" s="25" t="n"/>
    </row>
    <row r="31">
      <c r="A31" t="inlineStr">
        <is>
          <t>10ROND10</t>
        </is>
      </c>
      <c r="B31" t="inlineStr">
        <is>
          <t>Rondella zn da 10</t>
        </is>
      </c>
      <c r="C31" s="24" t="n">
        <v>0.0039</v>
      </c>
      <c r="D31" s="25" t="n"/>
    </row>
    <row r="32">
      <c r="A32" t="inlineStr">
        <is>
          <t>10ROND16</t>
        </is>
      </c>
      <c r="B32" t="inlineStr">
        <is>
          <t>Rondella zn da 16</t>
        </is>
      </c>
      <c r="C32" s="24" t="n">
        <v>0.0135</v>
      </c>
      <c r="D32" s="25" t="n"/>
    </row>
    <row r="33">
      <c r="A33" t="inlineStr">
        <is>
          <t>10ROND5</t>
        </is>
      </c>
      <c r="B33" t="inlineStr">
        <is>
          <t>Rondella ZN da 5</t>
        </is>
      </c>
      <c r="C33" s="24" t="n">
        <v>0.0005</v>
      </c>
      <c r="D33" s="25" t="n"/>
    </row>
    <row r="34">
      <c r="A34" t="inlineStr">
        <is>
          <t>10ROND6</t>
        </is>
      </c>
      <c r="B34" t="inlineStr">
        <is>
          <t>Rondella zn 6</t>
        </is>
      </c>
      <c r="C34" s="24" t="n">
        <v>0.0011</v>
      </c>
      <c r="D34" s="25" t="n"/>
    </row>
    <row r="35">
      <c r="A35" t="inlineStr">
        <is>
          <t>10ROND8</t>
        </is>
      </c>
      <c r="B35" t="inlineStr">
        <is>
          <t>Rondella da 8 zn</t>
        </is>
      </c>
      <c r="C35" s="24" t="n">
        <v>0.0021</v>
      </c>
      <c r="D35" s="25" t="n"/>
    </row>
    <row r="36">
      <c r="A36" t="inlineStr">
        <is>
          <t>M5X30 8.8 ISO1207</t>
        </is>
      </c>
      <c r="B36" t="inlineStr">
        <is>
          <t>Bullone testa esagonale con intaglio M5x30</t>
        </is>
      </c>
      <c r="C36" s="24" t="n">
        <v>0.0042</v>
      </c>
      <c r="D36" s="25" t="n"/>
    </row>
    <row r="38" ht="15.6" customHeight="1">
      <c r="A38" s="15" t="inlineStr">
        <is>
          <t>BULLONERIA — elenco (peso e costo richiamati dai parametri qui sopra)</t>
        </is>
      </c>
    </row>
    <row r="39" ht="27.6" customHeight="1">
      <c r="A39" s="23" t="inlineStr">
        <is>
          <t>Codice</t>
        </is>
      </c>
      <c r="B39" s="23" t="inlineStr">
        <is>
          <t>Descrizione</t>
        </is>
      </c>
      <c r="C39" s="23" t="inlineStr">
        <is>
          <t>Peso elemento (kg)</t>
        </is>
      </c>
      <c r="D39" s="23" t="inlineStr">
        <is>
          <t>Costo (€)</t>
        </is>
      </c>
    </row>
    <row r="40">
      <c r="A40" t="inlineStr">
        <is>
          <t>06TAP120X120</t>
        </is>
      </c>
      <c r="B40">
        <f>IFERROR(VLOOKUP($A40,$A$6:$D$36,2,FALSE),"")</f>
        <v/>
      </c>
      <c r="C40" s="26">
        <f>IF(ISNUMBER(VLOOKUP($A40,$A$6:$D$36,3,FALSE)),VLOOKUP($A40,$A$6:$D$36,3,FALSE),"")</f>
        <v/>
      </c>
      <c r="D40" s="27">
        <f>IF(ISNUMBER(VLOOKUP($A40,$A$6:$D$36,4,FALSE)),VLOOKUP($A40,$A$6:$D$36,4,FALSE),"")</f>
        <v/>
      </c>
    </row>
    <row r="41">
      <c r="A41" t="inlineStr">
        <is>
          <t>10BZ10X30</t>
        </is>
      </c>
      <c r="B41">
        <f>IFERROR(VLOOKUP($A41,$A$6:$D$36,2,FALSE),"")</f>
        <v/>
      </c>
      <c r="C41" s="26">
        <f>IF(ISNUMBER(VLOOKUP($A41,$A$6:$D$36,3,FALSE)),VLOOKUP($A41,$A$6:$D$36,3,FALSE),"")</f>
        <v/>
      </c>
      <c r="D41" s="27">
        <f>IF(ISNUMBER(VLOOKUP($A41,$A$6:$D$36,4,FALSE)),VLOOKUP($A41,$A$6:$D$36,4,FALSE),"")</f>
        <v/>
      </c>
    </row>
    <row r="42">
      <c r="A42" t="inlineStr">
        <is>
          <t>10BZ10X40</t>
        </is>
      </c>
      <c r="B42">
        <f>IFERROR(VLOOKUP($A42,$A$6:$D$36,2,FALSE),"")</f>
        <v/>
      </c>
      <c r="C42" s="26">
        <f>IF(ISNUMBER(VLOOKUP($A42,$A$6:$D$36,3,FALSE)),VLOOKUP($A42,$A$6:$D$36,3,FALSE),"")</f>
        <v/>
      </c>
      <c r="D42" s="27">
        <f>IF(ISNUMBER(VLOOKUP($A42,$A$6:$D$36,4,FALSE)),VLOOKUP($A42,$A$6:$D$36,4,FALSE),"")</f>
        <v/>
      </c>
    </row>
    <row r="43">
      <c r="A43" t="inlineStr">
        <is>
          <t>10BZ16X140</t>
        </is>
      </c>
      <c r="B43">
        <f>IFERROR(VLOOKUP($A43,$A$6:$D$36,2,FALSE),"")</f>
        <v/>
      </c>
      <c r="C43" s="26">
        <f>IF(ISNUMBER(VLOOKUP($A43,$A$6:$D$36,3,FALSE)),VLOOKUP($A43,$A$6:$D$36,3,FALSE),"")</f>
        <v/>
      </c>
      <c r="D43" s="27">
        <f>IF(ISNUMBER(VLOOKUP($A43,$A$6:$D$36,4,FALSE)),VLOOKUP($A43,$A$6:$D$36,4,FALSE),"")</f>
        <v/>
      </c>
    </row>
    <row r="44">
      <c r="A44" t="inlineStr">
        <is>
          <t>10BZM10X160</t>
        </is>
      </c>
      <c r="B44">
        <f>IFERROR(VLOOKUP($A44,$A$6:$D$36,2,FALSE),"")</f>
        <v/>
      </c>
      <c r="C44" s="26">
        <f>IF(ISNUMBER(VLOOKUP($A44,$A$6:$D$36,3,FALSE)),VLOOKUP($A44,$A$6:$D$36,3,FALSE),"")</f>
        <v/>
      </c>
      <c r="D44" s="27">
        <f>IF(ISNUMBER(VLOOKUP($A44,$A$6:$D$36,4,FALSE)),VLOOKUP($A44,$A$6:$D$36,4,FALSE),"")</f>
        <v/>
      </c>
    </row>
    <row r="45">
      <c r="A45" t="inlineStr">
        <is>
          <t>10BZM10X30</t>
        </is>
      </c>
      <c r="B45">
        <f>IFERROR(VLOOKUP($A45,$A$6:$D$36,2,FALSE),"")</f>
        <v/>
      </c>
      <c r="C45" s="26">
        <f>IF(ISNUMBER(VLOOKUP($A45,$A$6:$D$36,3,FALSE)),VLOOKUP($A45,$A$6:$D$36,3,FALSE),"")</f>
        <v/>
      </c>
      <c r="D45" s="27">
        <f>IF(ISNUMBER(VLOOKUP($A45,$A$6:$D$36,4,FALSE)),VLOOKUP($A45,$A$6:$D$36,4,FALSE),"")</f>
        <v/>
      </c>
    </row>
    <row r="46">
      <c r="A46" t="inlineStr">
        <is>
          <t>10BZM10X40</t>
        </is>
      </c>
      <c r="B46">
        <f>IFERROR(VLOOKUP($A46,$A$6:$D$36,2,FALSE),"")</f>
        <v/>
      </c>
      <c r="C46" s="26">
        <f>IF(ISNUMBER(VLOOKUP($A46,$A$6:$D$36,3,FALSE)),VLOOKUP($A46,$A$6:$D$36,3,FALSE),"")</f>
        <v/>
      </c>
      <c r="D46" s="27">
        <f>IF(ISNUMBER(VLOOKUP($A46,$A$6:$D$36,4,FALSE)),VLOOKUP($A46,$A$6:$D$36,4,FALSE),"")</f>
        <v/>
      </c>
    </row>
    <row r="47">
      <c r="A47" t="inlineStr">
        <is>
          <t>10BZM16X25</t>
        </is>
      </c>
      <c r="B47">
        <f>IFERROR(VLOOKUP($A47,$A$6:$D$36,2,FALSE),"")</f>
        <v/>
      </c>
      <c r="C47" s="26">
        <f>IF(ISNUMBER(VLOOKUP($A47,$A$6:$D$36,3,FALSE)),VLOOKUP($A47,$A$6:$D$36,3,FALSE),"")</f>
        <v/>
      </c>
      <c r="D47" s="27">
        <f>IF(ISNUMBER(VLOOKUP($A47,$A$6:$D$36,4,FALSE)),VLOOKUP($A47,$A$6:$D$36,4,FALSE),"")</f>
        <v/>
      </c>
    </row>
    <row r="48">
      <c r="A48" t="inlineStr">
        <is>
          <t>10BZM16X60</t>
        </is>
      </c>
      <c r="B48">
        <f>IFERROR(VLOOKUP($A48,$A$6:$D$36,2,FALSE),"")</f>
        <v/>
      </c>
      <c r="C48" s="26">
        <f>IF(ISNUMBER(VLOOKUP($A48,$A$6:$D$36,3,FALSE)),VLOOKUP($A48,$A$6:$D$36,3,FALSE),"")</f>
        <v/>
      </c>
      <c r="D48" s="27">
        <f>IF(ISNUMBER(VLOOKUP($A48,$A$6:$D$36,4,FALSE)),VLOOKUP($A48,$A$6:$D$36,4,FALSE),"")</f>
        <v/>
      </c>
    </row>
    <row r="49">
      <c r="A49" t="inlineStr">
        <is>
          <t>10BZM5X20</t>
        </is>
      </c>
      <c r="B49">
        <f>IFERROR(VLOOKUP($A49,$A$6:$D$36,2,FALSE),"")</f>
        <v/>
      </c>
      <c r="C49" s="26">
        <f>IF(ISNUMBER(VLOOKUP($A49,$A$6:$D$36,3,FALSE)),VLOOKUP($A49,$A$6:$D$36,3,FALSE),"")</f>
        <v/>
      </c>
      <c r="D49" s="27">
        <f>IF(ISNUMBER(VLOOKUP($A49,$A$6:$D$36,4,FALSE)),VLOOKUP($A49,$A$6:$D$36,4,FALSE),"")</f>
        <v/>
      </c>
    </row>
    <row r="50">
      <c r="A50" t="inlineStr">
        <is>
          <t>10BZM5X30</t>
        </is>
      </c>
      <c r="B50">
        <f>IFERROR(VLOOKUP($A50,$A$6:$D$36,2,FALSE),"")</f>
        <v/>
      </c>
      <c r="C50" s="26">
        <f>IF(ISNUMBER(VLOOKUP($A50,$A$6:$D$36,3,FALSE)),VLOOKUP($A50,$A$6:$D$36,3,FALSE),"")</f>
        <v/>
      </c>
      <c r="D50" s="27">
        <f>IF(ISNUMBER(VLOOKUP($A50,$A$6:$D$36,4,FALSE)),VLOOKUP($A50,$A$6:$D$36,4,FALSE),"")</f>
        <v/>
      </c>
    </row>
    <row r="51">
      <c r="A51" t="inlineStr">
        <is>
          <t>10BZM6X150</t>
        </is>
      </c>
      <c r="B51">
        <f>IFERROR(VLOOKUP($A51,$A$6:$D$36,2,FALSE),"")</f>
        <v/>
      </c>
      <c r="C51" s="26">
        <f>IF(ISNUMBER(VLOOKUP($A51,$A$6:$D$36,3,FALSE)),VLOOKUP($A51,$A$6:$D$36,3,FALSE),"")</f>
        <v/>
      </c>
      <c r="D51" s="27">
        <f>IF(ISNUMBER(VLOOKUP($A51,$A$6:$D$36,4,FALSE)),VLOOKUP($A51,$A$6:$D$36,4,FALSE),"")</f>
        <v/>
      </c>
    </row>
    <row r="52">
      <c r="A52" t="inlineStr">
        <is>
          <t>10BZM6X20</t>
        </is>
      </c>
      <c r="B52">
        <f>IFERROR(VLOOKUP($A52,$A$6:$D$36,2,FALSE),"")</f>
        <v/>
      </c>
      <c r="C52" s="26">
        <f>IF(ISNUMBER(VLOOKUP($A52,$A$6:$D$36,3,FALSE)),VLOOKUP($A52,$A$6:$D$36,3,FALSE),"")</f>
        <v/>
      </c>
      <c r="D52" s="27">
        <f>IF(ISNUMBER(VLOOKUP($A52,$A$6:$D$36,4,FALSE)),VLOOKUP($A52,$A$6:$D$36,4,FALSE),"")</f>
        <v/>
      </c>
    </row>
    <row r="53">
      <c r="A53" t="inlineStr">
        <is>
          <t>10BZM6X25</t>
        </is>
      </c>
      <c r="B53">
        <f>IFERROR(VLOOKUP($A53,$A$6:$D$36,2,FALSE),"")</f>
        <v/>
      </c>
      <c r="C53" s="26">
        <f>IF(ISNUMBER(VLOOKUP($A53,$A$6:$D$36,3,FALSE)),VLOOKUP($A53,$A$6:$D$36,3,FALSE),"")</f>
        <v/>
      </c>
      <c r="D53" s="27">
        <f>IF(ISNUMBER(VLOOKUP($A53,$A$6:$D$36,4,FALSE)),VLOOKUP($A53,$A$6:$D$36,4,FALSE),"")</f>
        <v/>
      </c>
    </row>
    <row r="54">
      <c r="A54" t="inlineStr">
        <is>
          <t>10BZM6X30</t>
        </is>
      </c>
      <c r="B54">
        <f>IFERROR(VLOOKUP($A54,$A$6:$D$36,2,FALSE),"")</f>
        <v/>
      </c>
      <c r="C54" s="26">
        <f>IF(ISNUMBER(VLOOKUP($A54,$A$6:$D$36,3,FALSE)),VLOOKUP($A54,$A$6:$D$36,3,FALSE),"")</f>
        <v/>
      </c>
      <c r="D54" s="27">
        <f>IF(ISNUMBER(VLOOKUP($A54,$A$6:$D$36,4,FALSE)),VLOOKUP($A54,$A$6:$D$36,4,FALSE),"")</f>
        <v/>
      </c>
    </row>
    <row r="55">
      <c r="A55" t="inlineStr">
        <is>
          <t>10BZM8X150</t>
        </is>
      </c>
      <c r="B55">
        <f>IFERROR(VLOOKUP($A55,$A$6:$D$36,2,FALSE),"")</f>
        <v/>
      </c>
      <c r="C55" s="26">
        <f>IF(ISNUMBER(VLOOKUP($A55,$A$6:$D$36,3,FALSE)),VLOOKUP($A55,$A$6:$D$36,3,FALSE),"")</f>
        <v/>
      </c>
      <c r="D55" s="27">
        <f>IF(ISNUMBER(VLOOKUP($A55,$A$6:$D$36,4,FALSE)),VLOOKUP($A55,$A$6:$D$36,4,FALSE),"")</f>
        <v/>
      </c>
    </row>
    <row r="56">
      <c r="A56" t="inlineStr">
        <is>
          <t>10BZM8X20</t>
        </is>
      </c>
      <c r="B56">
        <f>IFERROR(VLOOKUP($A56,$A$6:$D$36,2,FALSE),"")</f>
        <v/>
      </c>
      <c r="C56" s="26">
        <f>IF(ISNUMBER(VLOOKUP($A56,$A$6:$D$36,3,FALSE)),VLOOKUP($A56,$A$6:$D$36,3,FALSE),"")</f>
        <v/>
      </c>
      <c r="D56" s="27">
        <f>IF(ISNUMBER(VLOOKUP($A56,$A$6:$D$36,4,FALSE)),VLOOKUP($A56,$A$6:$D$36,4,FALSE),"")</f>
        <v/>
      </c>
    </row>
    <row r="57">
      <c r="A57" t="inlineStr">
        <is>
          <t>10BZM8X25</t>
        </is>
      </c>
      <c r="B57">
        <f>IFERROR(VLOOKUP($A57,$A$6:$D$36,2,FALSE),"")</f>
        <v/>
      </c>
      <c r="C57" s="26">
        <f>IF(ISNUMBER(VLOOKUP($A57,$A$6:$D$36,3,FALSE)),VLOOKUP($A57,$A$6:$D$36,3,FALSE),"")</f>
        <v/>
      </c>
      <c r="D57" s="27">
        <f>IF(ISNUMBER(VLOOKUP($A57,$A$6:$D$36,4,FALSE)),VLOOKUP($A57,$A$6:$D$36,4,FALSE),"")</f>
        <v/>
      </c>
    </row>
    <row r="58">
      <c r="A58" t="inlineStr">
        <is>
          <t>10BZM8X30</t>
        </is>
      </c>
      <c r="B58">
        <f>IFERROR(VLOOKUP($A58,$A$6:$D$36,2,FALSE),"")</f>
        <v/>
      </c>
      <c r="C58" s="26">
        <f>IF(ISNUMBER(VLOOKUP($A58,$A$6:$D$36,3,FALSE)),VLOOKUP($A58,$A$6:$D$36,3,FALSE),"")</f>
        <v/>
      </c>
      <c r="D58" s="27">
        <f>IF(ISNUMBER(VLOOKUP($A58,$A$6:$D$36,4,FALSE)),VLOOKUP($A58,$A$6:$D$36,4,FALSE),"")</f>
        <v/>
      </c>
    </row>
    <row r="59">
      <c r="A59" t="inlineStr">
        <is>
          <t>10DADAZM8</t>
        </is>
      </c>
      <c r="B59">
        <f>IFERROR(VLOOKUP($A59,$A$6:$D$36,2,FALSE),"")</f>
        <v/>
      </c>
      <c r="C59" s="26">
        <f>IF(ISNUMBER(VLOOKUP($A59,$A$6:$D$36,3,FALSE)),VLOOKUP($A59,$A$6:$D$36,3,FALSE),"")</f>
        <v/>
      </c>
      <c r="D59" s="27">
        <f>IF(ISNUMBER(VLOOKUP($A59,$A$6:$D$36,4,FALSE)),VLOOKUP($A59,$A$6:$D$36,4,FALSE),"")</f>
        <v/>
      </c>
    </row>
    <row r="60">
      <c r="A60" t="inlineStr">
        <is>
          <t>10DAZAM10</t>
        </is>
      </c>
      <c r="B60">
        <f>IFERROR(VLOOKUP($A60,$A$6:$D$36,2,FALSE),"")</f>
        <v/>
      </c>
      <c r="C60" s="26">
        <f>IF(ISNUMBER(VLOOKUP($A60,$A$6:$D$36,3,FALSE)),VLOOKUP($A60,$A$6:$D$36,3,FALSE),"")</f>
        <v/>
      </c>
      <c r="D60" s="27">
        <f>IF(ISNUMBER(VLOOKUP($A60,$A$6:$D$36,4,FALSE)),VLOOKUP($A60,$A$6:$D$36,4,FALSE),"")</f>
        <v/>
      </c>
    </row>
    <row r="61">
      <c r="A61" t="inlineStr">
        <is>
          <t>10DAZAM16</t>
        </is>
      </c>
      <c r="B61">
        <f>IFERROR(VLOOKUP($A61,$A$6:$D$36,2,FALSE),"")</f>
        <v/>
      </c>
      <c r="C61" s="26">
        <f>IF(ISNUMBER(VLOOKUP($A61,$A$6:$D$36,3,FALSE)),VLOOKUP($A61,$A$6:$D$36,3,FALSE),"")</f>
        <v/>
      </c>
      <c r="D61" s="27">
        <f>IF(ISNUMBER(VLOOKUP($A61,$A$6:$D$36,4,FALSE)),VLOOKUP($A61,$A$6:$D$36,4,FALSE),"")</f>
        <v/>
      </c>
    </row>
    <row r="62">
      <c r="A62" t="inlineStr">
        <is>
          <t>10DAZAM5</t>
        </is>
      </c>
      <c r="B62">
        <f>IFERROR(VLOOKUP($A62,$A$6:$D$36,2,FALSE),"")</f>
        <v/>
      </c>
      <c r="C62" s="26">
        <f>IF(ISNUMBER(VLOOKUP($A62,$A$6:$D$36,3,FALSE)),VLOOKUP($A62,$A$6:$D$36,3,FALSE),"")</f>
        <v/>
      </c>
      <c r="D62" s="27">
        <f>IF(ISNUMBER(VLOOKUP($A62,$A$6:$D$36,4,FALSE)),VLOOKUP($A62,$A$6:$D$36,4,FALSE),"")</f>
        <v/>
      </c>
    </row>
    <row r="63">
      <c r="A63" t="inlineStr">
        <is>
          <t>10DAZAM6</t>
        </is>
      </c>
      <c r="B63">
        <f>IFERROR(VLOOKUP($A63,$A$6:$D$36,2,FALSE),"")</f>
        <v/>
      </c>
      <c r="C63" s="26">
        <f>IF(ISNUMBER(VLOOKUP($A63,$A$6:$D$36,3,FALSE)),VLOOKUP($A63,$A$6:$D$36,3,FALSE),"")</f>
        <v/>
      </c>
      <c r="D63" s="27">
        <f>IF(ISNUMBER(VLOOKUP($A63,$A$6:$D$36,4,FALSE)),VLOOKUP($A63,$A$6:$D$36,4,FALSE),"")</f>
        <v/>
      </c>
    </row>
    <row r="64">
      <c r="A64" t="inlineStr">
        <is>
          <t>10DAZAM8</t>
        </is>
      </c>
      <c r="B64">
        <f>IFERROR(VLOOKUP($A64,$A$6:$D$36,2,FALSE),"")</f>
        <v/>
      </c>
      <c r="C64" s="26">
        <f>IF(ISNUMBER(VLOOKUP($A64,$A$6:$D$36,3,FALSE)),VLOOKUP($A64,$A$6:$D$36,3,FALSE),"")</f>
        <v/>
      </c>
      <c r="D64" s="27">
        <f>IF(ISNUMBER(VLOOKUP($A64,$A$6:$D$36,4,FALSE)),VLOOKUP($A64,$A$6:$D$36,4,FALSE),"")</f>
        <v/>
      </c>
    </row>
    <row r="65">
      <c r="A65" t="inlineStr">
        <is>
          <t>10ROND10</t>
        </is>
      </c>
      <c r="B65">
        <f>IFERROR(VLOOKUP($A65,$A$6:$D$36,2,FALSE),"")</f>
        <v/>
      </c>
      <c r="C65" s="26">
        <f>IF(ISNUMBER(VLOOKUP($A65,$A$6:$D$36,3,FALSE)),VLOOKUP($A65,$A$6:$D$36,3,FALSE),"")</f>
        <v/>
      </c>
      <c r="D65" s="27">
        <f>IF(ISNUMBER(VLOOKUP($A65,$A$6:$D$36,4,FALSE)),VLOOKUP($A65,$A$6:$D$36,4,FALSE),"")</f>
        <v/>
      </c>
    </row>
    <row r="66">
      <c r="A66" t="inlineStr">
        <is>
          <t>10ROND16</t>
        </is>
      </c>
      <c r="B66">
        <f>IFERROR(VLOOKUP($A66,$A$6:$D$36,2,FALSE),"")</f>
        <v/>
      </c>
      <c r="C66" s="26">
        <f>IF(ISNUMBER(VLOOKUP($A66,$A$6:$D$36,3,FALSE)),VLOOKUP($A66,$A$6:$D$36,3,FALSE),"")</f>
        <v/>
      </c>
      <c r="D66" s="27">
        <f>IF(ISNUMBER(VLOOKUP($A66,$A$6:$D$36,4,FALSE)),VLOOKUP($A66,$A$6:$D$36,4,FALSE),"")</f>
        <v/>
      </c>
    </row>
    <row r="67">
      <c r="A67" t="inlineStr">
        <is>
          <t>10ROND5</t>
        </is>
      </c>
      <c r="B67">
        <f>IFERROR(VLOOKUP($A67,$A$6:$D$36,2,FALSE),"")</f>
        <v/>
      </c>
      <c r="C67" s="26">
        <f>IF(ISNUMBER(VLOOKUP($A67,$A$6:$D$36,3,FALSE)),VLOOKUP($A67,$A$6:$D$36,3,FALSE),"")</f>
        <v/>
      </c>
      <c r="D67" s="27">
        <f>IF(ISNUMBER(VLOOKUP($A67,$A$6:$D$36,4,FALSE)),VLOOKUP($A67,$A$6:$D$36,4,FALSE),"")</f>
        <v/>
      </c>
    </row>
    <row r="68">
      <c r="A68" t="inlineStr">
        <is>
          <t>10ROND6</t>
        </is>
      </c>
      <c r="B68">
        <f>IFERROR(VLOOKUP($A68,$A$6:$D$36,2,FALSE),"")</f>
        <v/>
      </c>
      <c r="C68" s="26">
        <f>IF(ISNUMBER(VLOOKUP($A68,$A$6:$D$36,3,FALSE)),VLOOKUP($A68,$A$6:$D$36,3,FALSE),"")</f>
        <v/>
      </c>
      <c r="D68" s="27">
        <f>IF(ISNUMBER(VLOOKUP($A68,$A$6:$D$36,4,FALSE)),VLOOKUP($A68,$A$6:$D$36,4,FALSE),"")</f>
        <v/>
      </c>
    </row>
    <row r="69">
      <c r="A69" t="inlineStr">
        <is>
          <t>10ROND8</t>
        </is>
      </c>
      <c r="B69">
        <f>IFERROR(VLOOKUP($A69,$A$6:$D$36,2,FALSE),"")</f>
        <v/>
      </c>
      <c r="C69" s="26">
        <f>IF(ISNUMBER(VLOOKUP($A69,$A$6:$D$36,3,FALSE)),VLOOKUP($A69,$A$6:$D$36,3,FALSE),"")</f>
        <v/>
      </c>
      <c r="D69" s="27">
        <f>IF(ISNUMBER(VLOOKUP($A69,$A$6:$D$36,4,FALSE)),VLOOKUP($A69,$A$6:$D$36,4,FALSE),"")</f>
        <v/>
      </c>
    </row>
    <row r="70">
      <c r="A70" t="inlineStr">
        <is>
          <t>M5X30 8.8 ISO1207</t>
        </is>
      </c>
      <c r="B70">
        <f>IFERROR(VLOOKUP($A70,$A$6:$D$36,2,FALSE),"")</f>
        <v/>
      </c>
      <c r="C70" s="26">
        <f>IF(ISNUMBER(VLOOKUP($A70,$A$6:$D$36,3,FALSE)),VLOOKUP($A70,$A$6:$D$36,3,FALSE),"")</f>
        <v/>
      </c>
      <c r="D70" s="27">
        <f>IF(ISNUMBER(VLOOKUP($A70,$A$6:$D$36,4,FALSE)),VLOOKUP($A70,$A$6:$D$36,4,FALSE),"")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C7" sqref="C7"/>
    </sheetView>
  </sheetViews>
  <sheetFormatPr baseColWidth="8" defaultRowHeight="14.4"/>
  <cols>
    <col width="30" customWidth="1" min="1" max="1"/>
    <col width="46" customWidth="1" min="2" max="2"/>
    <col width="16" customWidth="1" min="3" max="3"/>
    <col width="14" customWidth="1" min="4" max="4"/>
  </cols>
  <sheetData>
    <row r="1" ht="15.6" customHeight="1">
      <c r="A1" s="15" t="inlineStr">
        <is>
          <t>SCHEDA ELETTROMECCANICA — peso unitario e costo dei materiali elettromeccanici commerciali</t>
        </is>
      </c>
    </row>
    <row r="2">
      <c r="A2" s="22" t="inlineStr">
        <is>
          <t>Motoriduttore, cuscinetto asse, quadri/box, sensori e strumentazione. Articoli acquistati completi: compilare a mano 'Peso unitario (kg)' e 'Costo (€/pz)'. Il LISTINO pesca da qui 'Peso elemento (kg)' e 'Prezzo unitario €' per questi codici.</t>
        </is>
      </c>
    </row>
    <row r="4">
      <c r="A4" s="23" t="inlineStr">
        <is>
          <t>Codice</t>
        </is>
      </c>
      <c r="B4" s="23" t="inlineStr">
        <is>
          <t>Descrizione</t>
        </is>
      </c>
      <c r="C4" s="23" t="inlineStr">
        <is>
          <t>Peso unitario (kg)</t>
        </is>
      </c>
      <c r="D4" s="23" t="inlineStr">
        <is>
          <t>Costo (€/pz)</t>
        </is>
      </c>
    </row>
    <row r="5">
      <c r="A5" t="inlineStr">
        <is>
          <t>CHSD7-60-S112-24.15.300-L1.2</t>
        </is>
      </c>
      <c r="B5" t="inlineStr">
        <is>
          <t>Motoriduttore</t>
        </is>
      </c>
      <c r="C5" s="18" t="n">
        <v>50</v>
      </c>
      <c r="D5" s="28" t="n">
        <v>300</v>
      </c>
    </row>
    <row r="6">
      <c r="A6" t="inlineStr">
        <is>
          <t>ESQM_2_0_120_1</t>
        </is>
      </c>
      <c r="B6" t="inlineStr">
        <is>
          <t>Cuscinetto asse di rotazione</t>
        </is>
      </c>
      <c r="C6" s="18" t="n">
        <v>2</v>
      </c>
      <c r="D6" s="28" t="n">
        <v>13</v>
      </c>
    </row>
    <row r="7">
      <c r="A7" t="inlineStr">
        <is>
          <t>15T-JUNCTBOXIP65</t>
        </is>
      </c>
      <c r="B7" t="inlineStr">
        <is>
          <t>Box centralina meteo</t>
        </is>
      </c>
      <c r="C7" s="18" t="n"/>
      <c r="D7" s="28" t="n"/>
    </row>
    <row r="8">
      <c r="A8" t="inlineStr">
        <is>
          <t>B04601</t>
        </is>
      </c>
      <c r="B8" t="inlineStr">
        <is>
          <t>Quadro in vetroresina Pedro VTR 01</t>
        </is>
      </c>
      <c r="C8" s="18" t="n"/>
      <c r="D8" s="28" t="n"/>
    </row>
    <row r="9">
      <c r="A9" t="inlineStr">
        <is>
          <t>10S-FC</t>
        </is>
      </c>
      <c r="B9" t="inlineStr">
        <is>
          <t>Sensore fine corsa elettrico</t>
        </is>
      </c>
      <c r="C9" s="18" t="n"/>
      <c r="D9" s="28" t="n"/>
    </row>
    <row r="10">
      <c r="A10" t="inlineStr">
        <is>
          <t>15T-PIRANOMETRO</t>
        </is>
      </c>
      <c r="B10" t="inlineStr">
        <is>
          <t>Piranometro</t>
        </is>
      </c>
      <c r="C10" s="18" t="n"/>
      <c r="D10" s="28" t="n"/>
    </row>
    <row r="11">
      <c r="A11" t="inlineStr">
        <is>
          <t>15T-SENSVELVEN</t>
        </is>
      </c>
      <c r="B11" t="inlineStr">
        <is>
          <t>Anemometro</t>
        </is>
      </c>
      <c r="C11" s="18" t="n"/>
      <c r="D11" s="28" t="n"/>
    </row>
    <row r="12">
      <c r="A12" t="inlineStr">
        <is>
          <t>15T-TERMARIA</t>
        </is>
      </c>
      <c r="B12" t="inlineStr">
        <is>
          <t>Termometro Aria_ mSTA.l</t>
        </is>
      </c>
      <c r="C12" s="18" t="n"/>
      <c r="D12" s="28" t="n"/>
    </row>
    <row r="13">
      <c r="A13" t="inlineStr">
        <is>
          <t>15T-TERMCONTP10</t>
        </is>
      </c>
      <c r="B13" t="inlineStr">
        <is>
          <t>Termometro a contatto P100_STC-i</t>
        </is>
      </c>
      <c r="C13" s="18" t="n"/>
      <c r="D13" s="28" t="n"/>
    </row>
    <row r="14">
      <c r="A14" t="inlineStr">
        <is>
          <t>TK1024S</t>
        </is>
      </c>
      <c r="B14" t="inlineStr">
        <is>
          <t>Inclinometro</t>
        </is>
      </c>
      <c r="C14" s="18" t="n"/>
      <c r="D14" s="2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STRUTTURA'!$A$13:$E$413,5,FALSE),"")</f>
        <v/>
      </c>
      <c r="G5" s="5" t="n"/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STRUTTURA'!$A$13:$E$413,5,FALSE),"")</f>
        <v/>
      </c>
      <c r="G6" s="5" t="n"/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STRUTTURA'!$A$13:$E$413,5,FALSE),"")</f>
        <v/>
      </c>
      <c r="G7" s="5" t="n"/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STRUTTURA'!$A$13:$E$413,5,FALSE),"")</f>
        <v/>
      </c>
      <c r="G8" s="5" t="n"/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STRUTTURA'!$A$13:$E$413,5,FALSE),"")</f>
        <v/>
      </c>
      <c r="G9" s="5" t="n"/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STRUTTURA'!$A$13:$E$413,5,FALSE),"")</f>
        <v/>
      </c>
      <c r="G10" s="5" t="n"/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STRUTTURA'!$A$13:$E$413,5,FALSE),"")</f>
        <v/>
      </c>
      <c r="G11" s="5" t="n"/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STRUTTURA'!$A$13:$E$413,5,FALSE),"")</f>
        <v/>
      </c>
      <c r="G12" s="5" t="n"/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STRUTTURA'!$A$13:$E$413,5,FALSE),"")</f>
        <v/>
      </c>
      <c r="G13" s="5" t="n"/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STRUTTURA'!$A$13:$E$413,5,FALSE),"")</f>
        <v/>
      </c>
      <c r="G14" s="5" t="n"/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STRUTTURA'!$A$13:$E$413,5,FALSE),"")</f>
        <v/>
      </c>
      <c r="G15" s="5" t="n"/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STRUTTURA'!$A$13:$E$413,5,FALSE),"")</f>
        <v/>
      </c>
      <c r="G16" s="5" t="n"/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STRUTTURA'!$A$13:$E$413,5,FALSE),"")</f>
        <v/>
      </c>
      <c r="G17" s="5" t="n"/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STRUTTURA'!$A$13:$E$413,5,FALSE),"")</f>
        <v/>
      </c>
      <c r="G18" s="5" t="n"/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STRUTTURA'!$A$13:$E$413,5,FALSE),"")</f>
        <v/>
      </c>
      <c r="G19" s="5" t="n"/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STRUTTURA'!$A$13:$E$413,5,FALSE),"")</f>
        <v/>
      </c>
      <c r="G20" s="5" t="n"/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STRUTTURA'!$A$13:$E$413,5,FALSE),"")</f>
        <v/>
      </c>
      <c r="G21" s="5" t="n"/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STRUTTURA'!$A$13:$E$413,5,FALSE),"")</f>
        <v/>
      </c>
      <c r="G22" s="5" t="n"/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STRUTTURA'!$A$13:$E$413,5,FALSE),"")</f>
        <v/>
      </c>
      <c r="G23" s="5" t="n"/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STRUTTURA'!$A$13:$E$413,5,FALSE),"")</f>
        <v/>
      </c>
      <c r="G24" s="5" t="n"/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STRUTTURA'!$A$13:$E$413,5,FALSE),"")</f>
        <v/>
      </c>
      <c r="G25" s="5" t="n"/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STRUTTURA'!$A$13:$E$413,5,FALSE),"")</f>
        <v/>
      </c>
      <c r="G26" s="5" t="n"/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TTS.AR.2011</t>
        </is>
      </c>
      <c r="C27" s="4" t="inlineStr">
        <is>
          <t>Gaffa giunzione asse</t>
        </is>
      </c>
      <c r="D27" s="4" t="inlineStr">
        <is>
          <t>Carpenteria metallica</t>
        </is>
      </c>
      <c r="E27" s="11" t="inlineStr">
        <is>
          <t>pz</t>
        </is>
      </c>
      <c r="F27" s="9">
        <f>IFERROR(VLOOKUP($B27,'SCHEDA PEZZI SPECIALI'!$A$38:$F$400,4,FALSE),"")</f>
        <v/>
      </c>
      <c r="G27" s="5" t="n"/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TTS.AR.3011</t>
        </is>
      </c>
      <c r="C28" s="4" t="inlineStr">
        <is>
          <t>Supporto a L superiore omega</t>
        </is>
      </c>
      <c r="D28" s="4" t="inlineStr">
        <is>
          <t>Carpenteria metallica</t>
        </is>
      </c>
      <c r="E28" s="11" t="inlineStr">
        <is>
          <t>pz</t>
        </is>
      </c>
      <c r="F28" s="9">
        <f>IFERROR(VLOOKUP($B28,'SCHEDA PEZZI SPECIALI'!$A$38:$F$400,4,FALSE),"")</f>
        <v/>
      </c>
      <c r="G28" s="5" t="n"/>
      <c r="H28" s="4" t="inlineStr">
        <is>
          <t>KIT OMEGA+pannelli</t>
        </is>
      </c>
      <c r="I28" s="11" t="n">
        <v>1</v>
      </c>
    </row>
    <row r="29">
      <c r="A29" s="11" t="n">
        <v>25</v>
      </c>
      <c r="B29" s="4" t="inlineStr">
        <is>
          <t>TTS.AR.3012</t>
        </is>
      </c>
      <c r="C29" s="4" t="inlineStr">
        <is>
          <t>Supporto a V inferiore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PEZZI SPECIALI'!$A$38:$F$400,4,FALSE),"")</f>
        <v/>
      </c>
      <c r="G29" s="5" t="n"/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TTS.AR.3013</t>
        </is>
      </c>
      <c r="C30" s="4" t="inlineStr">
        <is>
          <t>Gaffa sotto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PEZZI SPECIALI'!$A$38:$F$400,4,FALSE),"")</f>
        <v/>
      </c>
      <c r="G30" s="5" t="n"/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TTS.AR.3014</t>
        </is>
      </c>
      <c r="C31" s="4" t="inlineStr">
        <is>
          <t>Omega supporto pannello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PEZZI SPECIALI'!$A$38:$F$400,4,FALSE),"")</f>
        <v/>
      </c>
      <c r="G31" s="5" t="n"/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TTS.AR.3014.18</t>
        </is>
      </c>
      <c r="C32" s="4" t="inlineStr">
        <is>
          <t>Omega supporto pannello mm1,8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PEZZI SPECIALI'!$A$38:$F$400,4,FALSE),"")</f>
        <v/>
      </c>
      <c r="G32" s="5" t="n"/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TTS.AR.4011</t>
        </is>
      </c>
      <c r="C33" s="4" t="inlineStr">
        <is>
          <t>Supporto superiore inclinometro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 t="n"/>
      <c r="H33" s="4" t="inlineStr">
        <is>
          <t>KIT INCLINOMETRO</t>
        </is>
      </c>
      <c r="I33" s="11" t="n">
        <v>1</v>
      </c>
    </row>
    <row r="34">
      <c r="A34" s="11" t="n">
        <v>30</v>
      </c>
      <c r="B34" s="4" t="inlineStr">
        <is>
          <t>TTS.AR.4012</t>
        </is>
      </c>
      <c r="C34" s="4" t="inlineStr">
        <is>
          <t>Supporto inferiore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 t="n"/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TTS.AR.5011</t>
        </is>
      </c>
      <c r="C35" s="4" t="inlineStr">
        <is>
          <t>Piastra ad L supporto fine corsa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 t="n"/>
      <c r="H35" s="4" t="inlineStr">
        <is>
          <t>KIT FINE CORSA</t>
        </is>
      </c>
      <c r="I35" s="11" t="n">
        <v>1</v>
      </c>
    </row>
    <row r="36">
      <c r="A36" s="11" t="n">
        <v>32</v>
      </c>
      <c r="B36" s="4" t="inlineStr">
        <is>
          <t>TTS.AR.5012</t>
        </is>
      </c>
      <c r="C36" s="4" t="inlineStr">
        <is>
          <t>Leva battente sensore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 t="n"/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TTS.PC.001.IPE140.23</t>
        </is>
      </c>
      <c r="C37" s="4" t="inlineStr">
        <is>
          <t>Pilastro cuscinetto trave IPE 140 mt.2,30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STRUTTURA'!$A$13:$E$413,5,FALSE),"")</f>
        <v/>
      </c>
      <c r="G37" s="5" t="n"/>
      <c r="H37" s="4" t="inlineStr">
        <is>
          <t>PILASTRO CUSCINETTO</t>
        </is>
      </c>
      <c r="I37" s="11" t="n">
        <v>1</v>
      </c>
    </row>
    <row r="38">
      <c r="A38" s="11" t="n">
        <v>34</v>
      </c>
      <c r="B38" s="4" t="inlineStr">
        <is>
          <t>TTS.PC.001.IPEA140.23</t>
        </is>
      </c>
      <c r="C38" s="4" t="inlineStr">
        <is>
          <t>Pilastro cuscinetto trave IPEA 140 mt.2,30 (alleggerita)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STRUTTURA'!$A$13:$E$413,5,FALSE),"")</f>
        <v/>
      </c>
      <c r="G38" s="5" t="n"/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TTS.PC.001.IPE140.28</t>
        </is>
      </c>
      <c r="C39" s="4" t="inlineStr">
        <is>
          <t>Pilastro cuscinetto trave IPE 140 mt.2,80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STRUTTURA'!$A$13:$E$413,5,FALSE),"")</f>
        <v/>
      </c>
      <c r="G39" s="5" t="n"/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TTS.PC.001.IPEA140.28</t>
        </is>
      </c>
      <c r="C40" s="4" t="inlineStr">
        <is>
          <t>Pilastro cuscinetto trave IPEA 140 mt.2,80 (alleggerita)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STRUTTURA'!$A$13:$E$413,5,FALSE),"")</f>
        <v/>
      </c>
      <c r="G40" s="5" t="n"/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TTS.PC.001.IPE140.29</t>
        </is>
      </c>
      <c r="C41" s="4" t="inlineStr">
        <is>
          <t>Pilastro cuscinetto trave IPE 140 mt.2,90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STRUTTURA'!$A$13:$E$413,5,FALSE),"")</f>
        <v/>
      </c>
      <c r="G41" s="5" t="n"/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TTS.PC.001.IPEA140.29</t>
        </is>
      </c>
      <c r="C42" s="4" t="inlineStr">
        <is>
          <t>Pilastro cuscinetto trave IPEA 140 mt.2,90 (alleggerita)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STRUTTURA'!$A$13:$E$413,5,FALSE),"")</f>
        <v/>
      </c>
      <c r="G42" s="5" t="n"/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TTS.PC.001.IPE140.30</t>
        </is>
      </c>
      <c r="C43" s="4" t="inlineStr">
        <is>
          <t>Pilastro cuscinetto trave IPE 140 mt.3,00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STRUTTURA'!$A$13:$E$413,5,FALSE),"")</f>
        <v/>
      </c>
      <c r="G43" s="5" t="n"/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TTS.PC.001.IPEA140.30</t>
        </is>
      </c>
      <c r="C44" s="4" t="inlineStr">
        <is>
          <t>Pilastro cuscinetto trave IPEA 140 mt.3,00 (alleggerita)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STRUTTURA'!$A$13:$E$413,5,FALSE),"")</f>
        <v/>
      </c>
      <c r="G44" s="5" t="n"/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TTS.PC.001.IPE140.31</t>
        </is>
      </c>
      <c r="C45" s="4" t="inlineStr">
        <is>
          <t>Pilastro cuscinetto trave IPE 140 mt.3,10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STRUTTURA'!$A$13:$E$413,5,FALSE),"")</f>
        <v/>
      </c>
      <c r="G45" s="5" t="n"/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TTS.PC.001.IPEA140.31</t>
        </is>
      </c>
      <c r="C46" s="4" t="inlineStr">
        <is>
          <t>Pilastro cuscinetto trave IPEA 140 mt.3,10 (alleggerita)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STRUTTURA'!$A$13:$E$413,5,FALSE),"")</f>
        <v/>
      </c>
      <c r="G46" s="5" t="n"/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TTS.PC.001.IPE140.32</t>
        </is>
      </c>
      <c r="C47" s="4" t="inlineStr">
        <is>
          <t>Pilastro cuscinetto trave IPE 140 mt.3,20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STRUTTURA'!$A$13:$E$413,5,FALSE),"")</f>
        <v/>
      </c>
      <c r="G47" s="5" t="n"/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TTS.PC.001.IPEA140.32</t>
        </is>
      </c>
      <c r="C48" s="4" t="inlineStr">
        <is>
          <t>Pilastro cuscinetto trave IPEA 140 mt.3,20 (alleggerita)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STRUTTURA'!$A$13:$E$413,5,FALSE),"")</f>
        <v/>
      </c>
      <c r="G48" s="5" t="n"/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TTS.PC.001.IPE140.33</t>
        </is>
      </c>
      <c r="C49" s="4" t="inlineStr">
        <is>
          <t>Pilastro cuscinetto trave IPE 140 mt.3,30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STRUTTURA'!$A$13:$E$413,5,FALSE),"")</f>
        <v/>
      </c>
      <c r="G49" s="5" t="n"/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TTS.PC.001.IPEA140.33</t>
        </is>
      </c>
      <c r="C50" s="4" t="inlineStr">
        <is>
          <t>Pilastro cuscinetto trave IPEA 140 mt.3,30 (alleggerita)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STRUTTURA'!$A$13:$E$413,5,FALSE),"")</f>
        <v/>
      </c>
      <c r="G50" s="5" t="n"/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TTS.PC.001.IPE140.34</t>
        </is>
      </c>
      <c r="C51" s="4" t="inlineStr">
        <is>
          <t>Pilastro cuscinetto trave IPE 140 mt.3,40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STRUTTURA'!$A$13:$E$413,5,FALSE),"")</f>
        <v/>
      </c>
      <c r="G51" s="5" t="n"/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TTS.PC.001.IPEA140.34</t>
        </is>
      </c>
      <c r="C52" s="4" t="inlineStr">
        <is>
          <t>Pilastro cuscinetto trave IPEA 140 mt.3,40 (alleggerita)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STRUTTURA'!$A$13:$E$413,5,FALSE),"")</f>
        <v/>
      </c>
      <c r="G52" s="5" t="n"/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TTS.PC.001.IPE140.35</t>
        </is>
      </c>
      <c r="C53" s="4" t="inlineStr">
        <is>
          <t>Pilastro cuscinetto trave IPE 140 mt.3,50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STRUTTURA'!$A$13:$E$413,5,FALSE),"")</f>
        <v/>
      </c>
      <c r="G53" s="5" t="n"/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TTS.PC.001.IPEA140.35</t>
        </is>
      </c>
      <c r="C54" s="4" t="inlineStr">
        <is>
          <t>Pilastro cuscinetto trave IPEA 140 mt.3,50 (alleggerita)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STRUTTURA'!$A$13:$E$413,5,FALSE),"")</f>
        <v/>
      </c>
      <c r="G54" s="5" t="n"/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TTS.PC.001.IPE140.36</t>
        </is>
      </c>
      <c r="C55" s="4" t="inlineStr">
        <is>
          <t>Pilastro cuscinetto trave IPE 140 mt.3,60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STRUTTURA'!$A$13:$E$413,5,FALSE),"")</f>
        <v/>
      </c>
      <c r="G55" s="5" t="n"/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TTS.PC.001.IPEA140.36</t>
        </is>
      </c>
      <c r="C56" s="4" t="inlineStr">
        <is>
          <t>Pilastro cuscinetto trave IPEA 140 mt.3,60 (alleggerita)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STRUTTURA'!$A$13:$E$413,5,FALSE),"")</f>
        <v/>
      </c>
      <c r="G56" s="5" t="n"/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TTS.PC.001.IPE140.37</t>
        </is>
      </c>
      <c r="C57" s="4" t="inlineStr">
        <is>
          <t>Pilastro cuscinetto trave IPE 140 mt.3,70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STRUTTURA'!$A$13:$E$413,5,FALSE),"")</f>
        <v/>
      </c>
      <c r="G57" s="5" t="n"/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TTS.PC.001.IPEA140.37</t>
        </is>
      </c>
      <c r="C58" s="4" t="inlineStr">
        <is>
          <t>Pilastro cuscinetto trave IPEA 140 mt.3,70 (alleggerita)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STRUTTURA'!$A$13:$E$413,5,FALSE),"")</f>
        <v/>
      </c>
      <c r="G58" s="5" t="n"/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TTS.PC.001.IPE140.38</t>
        </is>
      </c>
      <c r="C59" s="4" t="inlineStr">
        <is>
          <t>Pilastro cuscinetto trave IPE 140 mt.3,80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STRUTTURA'!$A$13:$E$413,5,FALSE),"")</f>
        <v/>
      </c>
      <c r="G59" s="5" t="n"/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TTS.PC.001.IPEA140.38</t>
        </is>
      </c>
      <c r="C60" s="4" t="inlineStr">
        <is>
          <t>Pilastro cuscinetto trave IPEA 140 mt.3,80 (alleggerita)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STRUTTURA'!$A$13:$E$413,5,FALSE),"")</f>
        <v/>
      </c>
      <c r="G60" s="5" t="n"/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TTS.PC.001.IPE140.39</t>
        </is>
      </c>
      <c r="C61" s="4" t="inlineStr">
        <is>
          <t>Pilastro cuscinetto trave IPE 140 mt.3,90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STRUTTURA'!$A$13:$E$413,5,FALSE),"")</f>
        <v/>
      </c>
      <c r="G61" s="5" t="n"/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TTS.PC.001.IPEA140.39</t>
        </is>
      </c>
      <c r="C62" s="4" t="inlineStr">
        <is>
          <t>Pilastro cuscinetto trave IPEA 140 mt.3,90 (alleggerita)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STRUTTURA'!$A$13:$E$413,5,FALSE),"")</f>
        <v/>
      </c>
      <c r="G62" s="5" t="n"/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TTS.PC.001.IPE140.40</t>
        </is>
      </c>
      <c r="C63" s="4" t="inlineStr">
        <is>
          <t>Pilastro cuscinetto trave IPE 140 mt.4,00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STRUTTURA'!$A$13:$E$413,5,FALSE),"")</f>
        <v/>
      </c>
      <c r="G63" s="5" t="n"/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TTS.PC.001.IPEA140.40</t>
        </is>
      </c>
      <c r="C64" s="4" t="inlineStr">
        <is>
          <t>Pilastro cuscinetto trave IPEA 140 mt.4,00 (alleggerita)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STRUTTURA'!$A$13:$E$413,5,FALSE),"")</f>
        <v/>
      </c>
      <c r="G64" s="5" t="n"/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TTS.PC.001.IPE140.41</t>
        </is>
      </c>
      <c r="C65" s="4" t="inlineStr">
        <is>
          <t>Pilastro cuscinetto trave IPE 140 mt.4,10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STRUTTURA'!$A$13:$E$413,5,FALSE),"")</f>
        <v/>
      </c>
      <c r="G65" s="5" t="n"/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TTS.PC.001.IPEA140.41</t>
        </is>
      </c>
      <c r="C66" s="4" t="inlineStr">
        <is>
          <t>Pilastro cuscinetto trave IPEA 140 mt.4,10 (alleggerita)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STRUTTURA'!$A$13:$E$413,5,FALSE),"")</f>
        <v/>
      </c>
      <c r="G66" s="5" t="n"/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TTS.PC.001.IPE140.42</t>
        </is>
      </c>
      <c r="C67" s="4" t="inlineStr">
        <is>
          <t>Pilastro cuscinetto trave IPE 140 mt.4,20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STRUTTURA'!$A$13:$E$413,5,FALSE),"")</f>
        <v/>
      </c>
      <c r="G67" s="5" t="n"/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TTS.PC.001.IPEA140.42</t>
        </is>
      </c>
      <c r="C68" s="4" t="inlineStr">
        <is>
          <t>Pilastro cuscinetto trave IPEA 140 mt.4,20 (alleggerita)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STRUTTURA'!$A$13:$E$413,5,FALSE),"")</f>
        <v/>
      </c>
      <c r="G68" s="5" t="n"/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TTS.PC.001.IPE140.43</t>
        </is>
      </c>
      <c r="C69" s="4" t="inlineStr">
        <is>
          <t>Pilastro cuscinetto trave IPE 140 mt.4,30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STRUTTURA'!$A$13:$E$413,5,FALSE),"")</f>
        <v/>
      </c>
      <c r="G69" s="5" t="n"/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TTS.PC.001.IPEA140.43</t>
        </is>
      </c>
      <c r="C70" s="4" t="inlineStr">
        <is>
          <t>Pilastro cuscinetto trave IPEA 140 mt.4,30 (alleggerita)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STRUTTURA'!$A$13:$E$413,5,FALSE),"")</f>
        <v/>
      </c>
      <c r="G70" s="5" t="n"/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TTS.PC.001.IPE140.44</t>
        </is>
      </c>
      <c r="C71" s="4" t="inlineStr">
        <is>
          <t>Pilastro cuscinetto trave IPE 140 mt.4,40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STRUTTURA'!$A$13:$E$413,5,FALSE),"")</f>
        <v/>
      </c>
      <c r="G71" s="5" t="n"/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TTS.PC.001.IPEA140.44</t>
        </is>
      </c>
      <c r="C72" s="4" t="inlineStr">
        <is>
          <t>Pilastro cuscinetto trave IPEA 140 mt.4,40 (alleggerita)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STRUTTURA'!$A$13:$E$413,5,FALSE),"")</f>
        <v/>
      </c>
      <c r="G72" s="5" t="n"/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TTS.PC.001.IPE140.45</t>
        </is>
      </c>
      <c r="C73" s="4" t="inlineStr">
        <is>
          <t>Pilastro cuscinetto trave IPE 140 mt.4,50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STRUTTURA'!$A$13:$E$413,5,FALSE),"")</f>
        <v/>
      </c>
      <c r="G73" s="5" t="n"/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TTS.PC.001.IPEA140.45</t>
        </is>
      </c>
      <c r="C74" s="4" t="inlineStr">
        <is>
          <t>Pilastro cuscinetto trave IPEA 140 mt.4,50 (alleggerita)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STRUTTURA'!$A$13:$E$413,5,FALSE),"")</f>
        <v/>
      </c>
      <c r="G74" s="5" t="n"/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TTS.PC.001.IPE140.23.FI</t>
        </is>
      </c>
      <c r="C75" s="4" t="inlineStr">
        <is>
          <t>Pilastro cuscinetto trave ipe140 x mt. 2,30 con foratura alloggiamento inverter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STRUTTURA'!$A$13:$E$413,5,FALSE),"")</f>
        <v/>
      </c>
      <c r="G75" s="5" t="n"/>
      <c r="H75" s="4" t="inlineStr">
        <is>
          <t>kit quadri inverter</t>
        </is>
      </c>
      <c r="I75" s="11" t="n">
        <v>1</v>
      </c>
    </row>
    <row r="76">
      <c r="A76" s="11" t="n">
        <v>72</v>
      </c>
      <c r="B76" s="4" t="inlineStr">
        <is>
          <t>TTS.PC.001.IPEA140.23.FI</t>
        </is>
      </c>
      <c r="C76" s="4" t="inlineStr">
        <is>
          <t>Pilastro cuscinetto trave ipea140 x mt. 2,30 con foratura alloggiamento inverter (alleggerita)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STRUTTURA'!$A$13:$E$413,5,FALSE),"")</f>
        <v/>
      </c>
      <c r="G76" s="5" t="n"/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TTS.PC.001.IPE140.23.FQA</t>
        </is>
      </c>
      <c r="C77" s="4" t="inlineStr">
        <is>
          <t>Pilastro cuscinetto trave ipe140 x mt. 2,30 con foratura alloggiamento quadro area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STRUTTURA'!$A$13:$E$413,5,FALSE),"")</f>
        <v/>
      </c>
      <c r="G77" s="5" t="n"/>
      <c r="H77" s="4" t="inlineStr">
        <is>
          <t>kit quadri area</t>
        </is>
      </c>
      <c r="I77" s="11" t="n">
        <v>1</v>
      </c>
    </row>
    <row r="78">
      <c r="A78" s="11" t="n">
        <v>74</v>
      </c>
      <c r="B78" s="4" t="inlineStr">
        <is>
          <t>TTS.PC.001.IPEA140.23.FQA</t>
        </is>
      </c>
      <c r="C78" s="4" t="inlineStr">
        <is>
          <t>Pilastro cuscinetto trave ipea140 x mt. 2,30 con foratura alloggiamento quadro area (alleggerita)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STRUTTURA'!$A$13:$E$413,5,FALSE),"")</f>
        <v/>
      </c>
      <c r="G78" s="5" t="n"/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TTS.PC.002.IPE140</t>
        </is>
      </c>
      <c r="C79" s="4" t="inlineStr">
        <is>
          <t>Supporto laterale testa cuscinetto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PEZZI SPECIALI'!$A$38:$F$400,4,FALSE),"")</f>
        <v/>
      </c>
      <c r="G79" s="5" t="n"/>
      <c r="H79" s="4" t="inlineStr">
        <is>
          <t>PILASTRO CUSCINETTO</t>
        </is>
      </c>
      <c r="I79" s="11" t="n">
        <v>1</v>
      </c>
    </row>
    <row r="80">
      <c r="A80" s="11" t="n">
        <v>76</v>
      </c>
      <c r="B80" s="4" t="inlineStr">
        <is>
          <t>TTS.PC.003.IPE140</t>
        </is>
      </c>
      <c r="C80" s="4" t="inlineStr">
        <is>
          <t>Supporto testa cuscinetto</t>
        </is>
      </c>
      <c r="D80" s="4" t="inlineStr">
        <is>
          <t>Carpenteria metallica</t>
        </is>
      </c>
      <c r="E80" s="11" t="inlineStr">
        <is>
          <t>pz</t>
        </is>
      </c>
      <c r="F80" s="9">
        <f>IFERROR(VLOOKUP($B80,'SCHEDA PEZZI SPECIALI'!$A$38:$F$400,4,FALSE),"")</f>
        <v/>
      </c>
      <c r="G80" s="5" t="n"/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TTS.PC.2011.1076</t>
        </is>
      </c>
      <c r="C81" s="4" t="inlineStr">
        <is>
          <t>Angolare 40x40x4 lungo 1076 mm. supporto inferiore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 t="n"/>
      <c r="H81" s="4" t="inlineStr">
        <is>
          <t>kit quadri inverter</t>
        </is>
      </c>
      <c r="I81" s="11" t="n">
        <v>1</v>
      </c>
    </row>
    <row r="82">
      <c r="A82" s="11" t="n">
        <v>78</v>
      </c>
      <c r="B82" s="4" t="inlineStr">
        <is>
          <t>TTS.PC.2012.1076</t>
        </is>
      </c>
      <c r="C82" s="4" t="inlineStr">
        <is>
          <t>Angolare 40x40x4 lungo1076 mm. supporto superiore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 t="n"/>
      <c r="H82" s="4" t="inlineStr">
        <is>
          <t>kit quadri inverter</t>
        </is>
      </c>
      <c r="I82" s="11" t="n">
        <v>1</v>
      </c>
    </row>
    <row r="83">
      <c r="A83" s="11" t="n">
        <v>79</v>
      </c>
      <c r="B83" s="4" t="inlineStr">
        <is>
          <t>TTS.PC.2013</t>
        </is>
      </c>
      <c r="C83" s="4" t="inlineStr">
        <is>
          <t>Palo MAX lungo mt.2,040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 t="n"/>
      <c r="H83" s="4" t="inlineStr">
        <is>
          <t>kit quadri inverter</t>
        </is>
      </c>
      <c r="I83" s="11" t="n">
        <v>1</v>
      </c>
    </row>
    <row r="84">
      <c r="A84" s="11" t="n">
        <v>80</v>
      </c>
      <c r="B84" s="4" t="inlineStr">
        <is>
          <t>TTS.PC.3011</t>
        </is>
      </c>
      <c r="C84" s="4" t="inlineStr">
        <is>
          <t>Angolare 40x40x4 lungo 869 mm. superiore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 t="n"/>
      <c r="H84" s="4" t="inlineStr">
        <is>
          <t>kit quadri area</t>
        </is>
      </c>
      <c r="I84" s="11" t="n">
        <v>1</v>
      </c>
    </row>
    <row r="85">
      <c r="A85" s="11" t="n">
        <v>81</v>
      </c>
      <c r="B85" s="4" t="inlineStr">
        <is>
          <t>TTS.PC.3012</t>
        </is>
      </c>
      <c r="C85" s="4" t="inlineStr">
        <is>
          <t>Angolare 40x40x4 lungo 869 mm.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 t="n"/>
      <c r="H85" s="4" t="inlineStr">
        <is>
          <t>kit quadri area</t>
        </is>
      </c>
      <c r="I85" s="11" t="n">
        <v>1</v>
      </c>
    </row>
    <row r="86">
      <c r="A86" s="11" t="n">
        <v>82</v>
      </c>
      <c r="B86" s="4" t="inlineStr">
        <is>
          <t>TTS.PC.3013</t>
        </is>
      </c>
      <c r="C86" s="4" t="inlineStr">
        <is>
          <t>Palo MAX lungo mt.2,150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 t="n"/>
      <c r="H86" s="4" t="inlineStr">
        <is>
          <t>kit quadri area</t>
        </is>
      </c>
      <c r="I86" s="11" t="n">
        <v>1</v>
      </c>
    </row>
    <row r="87">
      <c r="A87" s="11" t="n">
        <v>83</v>
      </c>
      <c r="B87" s="4" t="inlineStr">
        <is>
          <t>TTS.PF.001.IPE140.30</t>
        </is>
      </c>
      <c r="C87" s="4" t="inlineStr">
        <is>
          <t>Pilastro fondazione trave IPE140 mt.3,00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STRUTTURA'!$A$13:$E$413,5,FALSE),"")</f>
        <v/>
      </c>
      <c r="G87" s="5" t="n"/>
      <c r="H87" s="4" t="inlineStr">
        <is>
          <t>PILASTRO MOTORE, PILASTRO CUSCINETTO</t>
        </is>
      </c>
      <c r="I87" s="11" t="n">
        <v>2</v>
      </c>
    </row>
    <row r="88">
      <c r="A88" s="11" t="n">
        <v>84</v>
      </c>
      <c r="B88" s="4" t="inlineStr">
        <is>
          <t>TTS.PF.001.IPEA140.30</t>
        </is>
      </c>
      <c r="C88" s="4" t="inlineStr">
        <is>
          <t>Pilastro fondazione trave IPEA140 mt.3,00 (alleggerita)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STRUTTURA'!$A$13:$E$413,5,FALSE),"")</f>
        <v/>
      </c>
      <c r="G88" s="5" t="n"/>
      <c r="H88" s="4" t="inlineStr">
        <is>
          <t>PILASTRO MOTORE</t>
        </is>
      </c>
      <c r="I88" s="11" t="n">
        <v>1</v>
      </c>
    </row>
    <row r="89">
      <c r="A89" s="11" t="n">
        <v>85</v>
      </c>
      <c r="B89" s="4" t="inlineStr">
        <is>
          <t>TTS.PF.001.IPE140.26</t>
        </is>
      </c>
      <c r="C89" s="4" t="inlineStr">
        <is>
          <t>Pilastro fondazione trave IPE140 mt.2,60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STRUTTURA'!$A$13:$E$413,5,FALSE),"")</f>
        <v/>
      </c>
      <c r="G89" s="5" t="n"/>
      <c r="H89" s="4" t="inlineStr">
        <is>
          <t>PILASTRO MOTORE</t>
        </is>
      </c>
      <c r="I89" s="11" t="n">
        <v>1</v>
      </c>
    </row>
    <row r="90">
      <c r="A90" s="11" t="n">
        <v>86</v>
      </c>
      <c r="B90" s="4" t="inlineStr">
        <is>
          <t>TTS.PF.001.IPEA140.26</t>
        </is>
      </c>
      <c r="C90" s="4" t="inlineStr">
        <is>
          <t>Pilastro fondazione trave IPEA140 mt.2,60 (alleggerita)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STRUTTURA'!$A$13:$E$413,5,FALSE),"")</f>
        <v/>
      </c>
      <c r="G90" s="5" t="n"/>
      <c r="H90" s="4" t="inlineStr">
        <is>
          <t>PILASTRO MOTORE</t>
        </is>
      </c>
      <c r="I90" s="11" t="n">
        <v>1</v>
      </c>
    </row>
    <row r="91">
      <c r="A91" s="11" t="n">
        <v>87</v>
      </c>
      <c r="B91" s="4" t="inlineStr">
        <is>
          <t>TTS.PF.001.IPE140.27</t>
        </is>
      </c>
      <c r="C91" s="4" t="inlineStr">
        <is>
          <t>Pilastro fondazione trave IPE140 mt.2,70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STRUTTURA'!$A$13:$E$413,5,FALSE),"")</f>
        <v/>
      </c>
      <c r="G91" s="5" t="n"/>
      <c r="H91" s="4" t="inlineStr">
        <is>
          <t>PILASTRO MOTORE</t>
        </is>
      </c>
      <c r="I91" s="11" t="n">
        <v>1</v>
      </c>
    </row>
    <row r="92">
      <c r="A92" s="11" t="n">
        <v>88</v>
      </c>
      <c r="B92" s="4" t="inlineStr">
        <is>
          <t>TTS.PF.001.IPEA140.27</t>
        </is>
      </c>
      <c r="C92" s="4" t="inlineStr">
        <is>
          <t>Pilastro fondazione trave IPEA140 mt.2,70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STRUTTURA'!$A$13:$E$413,5,FALSE),"")</f>
        <v/>
      </c>
      <c r="G92" s="5" t="n"/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TTS.PF.001.IPE140.28</t>
        </is>
      </c>
      <c r="C93" s="4" t="inlineStr">
        <is>
          <t>Pilastro fondazione trave IPE140 mt.2,80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STRUTTURA'!$A$13:$E$413,5,FALSE),"")</f>
        <v/>
      </c>
      <c r="G93" s="5" t="n"/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TTS.PF.001.IPEA140.28</t>
        </is>
      </c>
      <c r="C94" s="4" t="inlineStr">
        <is>
          <t>Pilastro fondazione trave IPEA140 mt.2,80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STRUTTURA'!$A$13:$E$413,5,FALSE),"")</f>
        <v/>
      </c>
      <c r="G94" s="5" t="n"/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TTS.PF.001.IPE140.29</t>
        </is>
      </c>
      <c r="C95" s="4" t="inlineStr">
        <is>
          <t>Pilastro fondazione trave IPE140 mt.2,90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STRUTTURA'!$A$13:$E$413,5,FALSE),"")</f>
        <v/>
      </c>
      <c r="G95" s="5" t="n"/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TTS.PF.001.IPEA140.29</t>
        </is>
      </c>
      <c r="C96" s="4" t="inlineStr">
        <is>
          <t>Pilastro fondazione trave IPEA140 mt.2,90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STRUTTURA'!$A$13:$E$413,5,FALSE),"")</f>
        <v/>
      </c>
      <c r="G96" s="5" t="n"/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TTS.PF.001.IPE140.31</t>
        </is>
      </c>
      <c r="C97" s="4" t="inlineStr">
        <is>
          <t>Pilastro fondazione trave IPE140 mt.3,10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STRUTTURA'!$A$13:$E$413,5,FALSE),"")</f>
        <v/>
      </c>
      <c r="G97" s="5" t="n"/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TTS.PF.001.IPEA140.31</t>
        </is>
      </c>
      <c r="C98" s="4" t="inlineStr">
        <is>
          <t>Pilastro fondazione trave IPEA140 mt.3,10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STRUTTURA'!$A$13:$E$413,5,FALSE),"")</f>
        <v/>
      </c>
      <c r="G98" s="5" t="n"/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TTS.PF.001.IPE140.32</t>
        </is>
      </c>
      <c r="C99" s="4" t="inlineStr">
        <is>
          <t>Pilastro fondazione trave IPE140 mt.3,20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STRUTTURA'!$A$13:$E$413,5,FALSE),"")</f>
        <v/>
      </c>
      <c r="G99" s="5" t="n"/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TTS.PF.001.IPEA140.32</t>
        </is>
      </c>
      <c r="C100" s="4" t="inlineStr">
        <is>
          <t>Pilastro fondazione trave IPEA140 mt.3,20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STRUTTURA'!$A$13:$E$413,5,FALSE),"")</f>
        <v/>
      </c>
      <c r="G100" s="5" t="n"/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TTS.PF.001.IPE140.33</t>
        </is>
      </c>
      <c r="C101" s="4" t="inlineStr">
        <is>
          <t>Pilastro fondazione trave IPE140 mt.3,30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STRUTTURA'!$A$13:$E$413,5,FALSE),"")</f>
        <v/>
      </c>
      <c r="G101" s="5" t="n"/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TTS.PF.001.IPEA140.33</t>
        </is>
      </c>
      <c r="C102" s="4" t="inlineStr">
        <is>
          <t>Pilastro fondazione trave IPEA140 mt.3,30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STRUTTURA'!$A$13:$E$413,5,FALSE),"")</f>
        <v/>
      </c>
      <c r="G102" s="5" t="n"/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TTS.PF.001.IPE140.34</t>
        </is>
      </c>
      <c r="C103" s="4" t="inlineStr">
        <is>
          <t>Pilastro fondazione trave IPE140 mt.3,40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STRUTTURA'!$A$13:$E$413,5,FALSE),"")</f>
        <v/>
      </c>
      <c r="G103" s="5" t="n"/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TTS.PF.001.IPEA140.34</t>
        </is>
      </c>
      <c r="C104" s="4" t="inlineStr">
        <is>
          <t>Pilastro fondazione trave IPEA140 mt.3,40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STRUTTURA'!$A$13:$E$413,5,FALSE),"")</f>
        <v/>
      </c>
      <c r="G104" s="5" t="n"/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TTS.PF.001.IPE140.35</t>
        </is>
      </c>
      <c r="C105" s="4" t="inlineStr">
        <is>
          <t>Pilastro fondazione trave IPE140 mt.3,50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STRUTTURA'!$A$13:$E$413,5,FALSE),"")</f>
        <v/>
      </c>
      <c r="G105" s="5" t="n"/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TTS.PF.001.IPEA140.35</t>
        </is>
      </c>
      <c r="C106" s="4" t="inlineStr">
        <is>
          <t>Pilastro fondazione trave IPEA140 mt.3,50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STRUTTURA'!$A$13:$E$413,5,FALSE),"")</f>
        <v/>
      </c>
      <c r="G106" s="5" t="n"/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TTS.PF.001.IPE140.36</t>
        </is>
      </c>
      <c r="C107" s="4" t="inlineStr">
        <is>
          <t>Pilastro fondazione trave IPE140 mt.3,60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STRUTTURA'!$A$13:$E$413,5,FALSE),"")</f>
        <v/>
      </c>
      <c r="G107" s="5" t="n"/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TTS.PF.001.IPEA140.36</t>
        </is>
      </c>
      <c r="C108" s="4" t="inlineStr">
        <is>
          <t>Pilastro fondazione trave IPEA140 mt.3,60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STRUTTURA'!$A$13:$E$413,5,FALSE),"")</f>
        <v/>
      </c>
      <c r="G108" s="5" t="n"/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TTS.PF.002.IPE140</t>
        </is>
      </c>
      <c r="C109" s="4" t="inlineStr">
        <is>
          <t>Piastra giunzione montanti centrali 200x100x4 (8 fori Ø 11)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PEZZI SPECIALI'!$A$38:$F$400,4,FALSE),"")</f>
        <v/>
      </c>
      <c r="G109" s="5" t="n"/>
      <c r="H109" s="4" t="inlineStr">
        <is>
          <t>PILASTRO MOTORE, PILASTRO CUSCINETTO</t>
        </is>
      </c>
      <c r="I109" s="11" t="n">
        <v>2</v>
      </c>
    </row>
    <row r="110">
      <c r="A110" s="11" t="n">
        <v>106</v>
      </c>
      <c r="B110" s="4" t="inlineStr">
        <is>
          <t>TTS.PF.003.IPE140</t>
        </is>
      </c>
      <c r="C110" s="4" t="inlineStr">
        <is>
          <t>Piastra giunzione montanti esterna 240x70x6 (12 fori Ø 11)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PEZZI SPECIALI'!$A$38:$F$400,4,FALSE),"")</f>
        <v/>
      </c>
      <c r="G110" s="5" t="n"/>
      <c r="H110" s="4" t="inlineStr">
        <is>
          <t>PILASTRO MOTORE, PILASTRO CUSCINETTO</t>
        </is>
      </c>
      <c r="I110" s="11" t="n">
        <v>2</v>
      </c>
    </row>
    <row r="111">
      <c r="A111" s="11" t="n">
        <v>107</v>
      </c>
      <c r="B111" s="4" t="inlineStr">
        <is>
          <t>TTS.PF.004.IPE140</t>
        </is>
      </c>
      <c r="C111" s="4" t="inlineStr">
        <is>
          <t>Piastra giunzione montanti interna 240x25x6 (6 fori Ø 11)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PEZZI SPECIALI'!$A$38:$F$400,4,FALSE),"")</f>
        <v/>
      </c>
      <c r="G111" s="5" t="n"/>
      <c r="H111" s="4" t="inlineStr">
        <is>
          <t>PILASTRO MOTORE, PILASTRO CUSCINETTO</t>
        </is>
      </c>
      <c r="I111" s="11" t="n">
        <v>2</v>
      </c>
    </row>
    <row r="112">
      <c r="A112" s="11" t="n">
        <v>108</v>
      </c>
      <c r="B112" s="4" t="inlineStr">
        <is>
          <t>TTS.PM.001.IPE140.22</t>
        </is>
      </c>
      <c r="C112" s="4" t="inlineStr">
        <is>
          <t>Pilastro motore trave ipe140 x 2220 con foratura alloggiamento quadro motore (standard)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STRUTTURA'!$A$13:$E$413,5,FALSE),"")</f>
        <v/>
      </c>
      <c r="G112" s="5" t="n"/>
      <c r="H112" s="4" t="inlineStr">
        <is>
          <t>PILASTRO MOTORE, kit quadro motore</t>
        </is>
      </c>
      <c r="I112" s="11" t="n">
        <v>2</v>
      </c>
    </row>
    <row r="113">
      <c r="A113" s="11" t="n">
        <v>109</v>
      </c>
      <c r="B113" s="4" t="inlineStr">
        <is>
          <t>TTS.PM.001.IPEA140.22</t>
        </is>
      </c>
      <c r="C113" s="4" t="inlineStr">
        <is>
          <t>Pilastro motore trave ipea140 x 2220 con foratura alloggiamento quadro motore (alleggerita)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STRUTTURA'!$A$13:$E$413,5,FALSE),"")</f>
        <v/>
      </c>
      <c r="G113" s="5" t="n"/>
      <c r="H113" s="4" t="inlineStr">
        <is>
          <t>PILASTRO MOTORE</t>
        </is>
      </c>
      <c r="I113" s="11" t="n">
        <v>1</v>
      </c>
    </row>
    <row r="114">
      <c r="A114" s="11" t="n">
        <v>110</v>
      </c>
      <c r="B114" s="4" t="inlineStr">
        <is>
          <t>TTS.PM.001.IPE140.27</t>
        </is>
      </c>
      <c r="C114" s="4" t="inlineStr">
        <is>
          <t>Pilastro motore trave ipe140 x 2720 con foratura alloggiamento quadro motore (standard)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STRUTTURA'!$A$13:$E$413,5,FALSE),"")</f>
        <v/>
      </c>
      <c r="G114" s="5" t="n"/>
      <c r="H114" s="4" t="inlineStr">
        <is>
          <t>PILASTRO MOTORE</t>
        </is>
      </c>
      <c r="I114" s="11" t="n">
        <v>1</v>
      </c>
    </row>
    <row r="115">
      <c r="A115" s="11" t="n">
        <v>111</v>
      </c>
      <c r="B115" s="4" t="inlineStr">
        <is>
          <t>TTS.PM.001.IPEA140.27</t>
        </is>
      </c>
      <c r="C115" s="4" t="inlineStr">
        <is>
          <t>Pilastro motore trave ipea140 x 2720 con foratura alloggiamento quadro motore (alleggerita)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STRUTTURA'!$A$13:$E$413,5,FALSE),"")</f>
        <v/>
      </c>
      <c r="G115" s="5" t="n"/>
      <c r="H115" s="4" t="inlineStr">
        <is>
          <t>PILASTRO MOTORE</t>
        </is>
      </c>
      <c r="I115" s="11" t="n">
        <v>1</v>
      </c>
    </row>
    <row r="116">
      <c r="A116" s="11" t="n">
        <v>112</v>
      </c>
      <c r="B116" s="4" t="inlineStr">
        <is>
          <t>TTS.PM.001.IPE140.28</t>
        </is>
      </c>
      <c r="C116" s="4" t="inlineStr">
        <is>
          <t>Pilastro motore trave ipe140 x 2820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STRUTTURA'!$A$13:$E$413,5,FALSE),"")</f>
        <v/>
      </c>
      <c r="G116" s="5" t="n"/>
      <c r="H116" s="4" t="inlineStr">
        <is>
          <t>PILASTRO MOTORE</t>
        </is>
      </c>
      <c r="I116" s="11" t="n">
        <v>1</v>
      </c>
    </row>
    <row r="117">
      <c r="A117" s="11" t="n">
        <v>113</v>
      </c>
      <c r="B117" s="4" t="inlineStr">
        <is>
          <t>TTS.PM.001.IPEA140.28</t>
        </is>
      </c>
      <c r="C117" s="4" t="inlineStr">
        <is>
          <t>Pilastro motore trave ipea140 x 2820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STRUTTURA'!$A$13:$E$413,5,FALSE),"")</f>
        <v/>
      </c>
      <c r="G117" s="5" t="n"/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TTS.PM.001.IPE140.29</t>
        </is>
      </c>
      <c r="C118" s="4" t="inlineStr">
        <is>
          <t>Pilastro motore trave ipe140 x 2920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STRUTTURA'!$A$13:$E$413,5,FALSE),"")</f>
        <v/>
      </c>
      <c r="G118" s="5" t="n"/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TTS.PM.001.IPEA140.29</t>
        </is>
      </c>
      <c r="C119" s="4" t="inlineStr">
        <is>
          <t>Pilastro motore trave ipea140 x 2920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STRUTTURA'!$A$13:$E$413,5,FALSE),"")</f>
        <v/>
      </c>
      <c r="G119" s="5" t="n"/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TTS.PM.001.IPE140.30</t>
        </is>
      </c>
      <c r="C120" s="4" t="inlineStr">
        <is>
          <t>Pilastro motore trave ipe140 x 3020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STRUTTURA'!$A$13:$E$413,5,FALSE),"")</f>
        <v/>
      </c>
      <c r="G120" s="5" t="n"/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TTS.PM.001.IPEA140.30</t>
        </is>
      </c>
      <c r="C121" s="4" t="inlineStr">
        <is>
          <t>Pilastro motore trave ipea140 x 3020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STRUTTURA'!$A$13:$E$413,5,FALSE),"")</f>
        <v/>
      </c>
      <c r="G121" s="5" t="n"/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TTS.PM.001.IPE140.31</t>
        </is>
      </c>
      <c r="C122" s="4" t="inlineStr">
        <is>
          <t>Pilastro motore trave ipe140 x 3120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STRUTTURA'!$A$13:$E$413,5,FALSE),"")</f>
        <v/>
      </c>
      <c r="G122" s="5" t="n"/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TTS.PM.001.IPEA140.31</t>
        </is>
      </c>
      <c r="C123" s="4" t="inlineStr">
        <is>
          <t>Pilastro motore trave ipea140 x 3120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STRUTTURA'!$A$13:$E$413,5,FALSE),"")</f>
        <v/>
      </c>
      <c r="G123" s="5" t="n"/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TTS.PM.001.IPE140.32</t>
        </is>
      </c>
      <c r="C124" s="4" t="inlineStr">
        <is>
          <t>Pilastro motore trave ipe140 x 3220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STRUTTURA'!$A$13:$E$413,5,FALSE),"")</f>
        <v/>
      </c>
      <c r="G124" s="5" t="n"/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TTS.PM.001.IPEA140.32</t>
        </is>
      </c>
      <c r="C125" s="4" t="inlineStr">
        <is>
          <t>Pilastro motore trave ipea140 x 3220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STRUTTURA'!$A$13:$E$413,5,FALSE),"")</f>
        <v/>
      </c>
      <c r="G125" s="5" t="n"/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TTS.PM.001.IPE140.33</t>
        </is>
      </c>
      <c r="C126" s="4" t="inlineStr">
        <is>
          <t>Pilastro motore trave ipe140 x 3320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STRUTTURA'!$A$13:$E$413,5,FALSE),"")</f>
        <v/>
      </c>
      <c r="G126" s="5" t="n"/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TTS.PM.001.IPEA140.33</t>
        </is>
      </c>
      <c r="C127" s="4" t="inlineStr">
        <is>
          <t>Pilastro motore trave ipea140 x 3320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STRUTTURA'!$A$13:$E$413,5,FALSE),"")</f>
        <v/>
      </c>
      <c r="G127" s="5" t="n"/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TTS.PM.001.IPE140.34</t>
        </is>
      </c>
      <c r="C128" s="4" t="inlineStr">
        <is>
          <t>Pilastro motore trave ipe140 x 3420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STRUTTURA'!$A$13:$E$413,5,FALSE),"")</f>
        <v/>
      </c>
      <c r="G128" s="5" t="n"/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TTS.PM.001.IPEA140.34</t>
        </is>
      </c>
      <c r="C129" s="4" t="inlineStr">
        <is>
          <t>Pilastro motore trave ipea140 x 3420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STRUTTURA'!$A$13:$E$413,5,FALSE),"")</f>
        <v/>
      </c>
      <c r="G129" s="5" t="n"/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TTS.PM.001.IPE140.35</t>
        </is>
      </c>
      <c r="C130" s="4" t="inlineStr">
        <is>
          <t>Pilastro motore trave ipe140 x 3520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STRUTTURA'!$A$13:$E$413,5,FALSE),"")</f>
        <v/>
      </c>
      <c r="G130" s="5" t="n"/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TTS.PM.001.IPEA140.35</t>
        </is>
      </c>
      <c r="C131" s="4" t="inlineStr">
        <is>
          <t>Pilastro motore trave ipea140 x 3520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STRUTTURA'!$A$13:$E$413,5,FALSE),"")</f>
        <v/>
      </c>
      <c r="G131" s="5" t="n"/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TTS.PM.001.IPE140.36</t>
        </is>
      </c>
      <c r="C132" s="4" t="inlineStr">
        <is>
          <t>Pilastro motore trave ipe140 x 3620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STRUTTURA'!$A$13:$E$413,5,FALSE),"")</f>
        <v/>
      </c>
      <c r="G132" s="5" t="n"/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TTS.PM.001.IPEA140.36</t>
        </is>
      </c>
      <c r="C133" s="4" t="inlineStr">
        <is>
          <t>Pilastro motore trave ipea140 x 3620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STRUTTURA'!$A$13:$E$413,5,FALSE),"")</f>
        <v/>
      </c>
      <c r="G133" s="5" t="n"/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TTS.PM.001.IPE140.37</t>
        </is>
      </c>
      <c r="C134" s="4" t="inlineStr">
        <is>
          <t>Pilastro motore trave ipe140 x 3720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STRUTTURA'!$A$13:$E$413,5,FALSE),"")</f>
        <v/>
      </c>
      <c r="G134" s="5" t="n"/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TTS.PM.001.IPEA140.37</t>
        </is>
      </c>
      <c r="C135" s="4" t="inlineStr">
        <is>
          <t>Pilastro motore trave ipea140 x 3720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STRUTTURA'!$A$13:$E$413,5,FALSE),"")</f>
        <v/>
      </c>
      <c r="G135" s="5" t="n"/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TTS.PM.001.IPE140.38</t>
        </is>
      </c>
      <c r="C136" s="4" t="inlineStr">
        <is>
          <t>Pilastro motore trave ipe140 x 3820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STRUTTURA'!$A$13:$E$413,5,FALSE),"")</f>
        <v/>
      </c>
      <c r="G136" s="5" t="n"/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TTS.PM.001.IPEA140.38</t>
        </is>
      </c>
      <c r="C137" s="4" t="inlineStr">
        <is>
          <t>Pilastro motore trave ipea140 x 3820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STRUTTURA'!$A$13:$E$413,5,FALSE),"")</f>
        <v/>
      </c>
      <c r="G137" s="5" t="n"/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TTS.PM.001.IPE140.39</t>
        </is>
      </c>
      <c r="C138" s="4" t="inlineStr">
        <is>
          <t>Pilastro motore trave ipe140 x 3920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STRUTTURA'!$A$13:$E$413,5,FALSE),"")</f>
        <v/>
      </c>
      <c r="G138" s="5" t="n"/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TTS.PM.001.IPEA140.39</t>
        </is>
      </c>
      <c r="C139" s="4" t="inlineStr">
        <is>
          <t>Pilastro motore trave ipea140 x 3920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STRUTTURA'!$A$13:$E$413,5,FALSE),"")</f>
        <v/>
      </c>
      <c r="G139" s="5" t="n"/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TTS.PM.001.IPE140.40</t>
        </is>
      </c>
      <c r="C140" s="4" t="inlineStr">
        <is>
          <t>Pilastro motore trave ipe140 x 4020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STRUTTURA'!$A$13:$E$413,5,FALSE),"")</f>
        <v/>
      </c>
      <c r="G140" s="5" t="n"/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TTS.PM.001.IPEA140.40</t>
        </is>
      </c>
      <c r="C141" s="4" t="inlineStr">
        <is>
          <t>Pilastro motore trave ipea140 x 4020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STRUTTURA'!$A$13:$E$413,5,FALSE),"")</f>
        <v/>
      </c>
      <c r="G141" s="5" t="n"/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TTS.PM.001.IPE140.41</t>
        </is>
      </c>
      <c r="C142" s="4" t="inlineStr">
        <is>
          <t>Pilastro motore trave ipe140 x 4120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STRUTTURA'!$A$13:$E$413,5,FALSE),"")</f>
        <v/>
      </c>
      <c r="G142" s="5" t="n"/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TTS.PM.001.IPEA140.41</t>
        </is>
      </c>
      <c r="C143" s="4" t="inlineStr">
        <is>
          <t>Pilastro motore trave ipea140 x 4120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STRUTTURA'!$A$13:$E$413,5,FALSE),"")</f>
        <v/>
      </c>
      <c r="G143" s="5" t="n"/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TTS.PM.001.IPE140.42</t>
        </is>
      </c>
      <c r="C144" s="4" t="inlineStr">
        <is>
          <t>Pilastro motore trave ipe140 x 4220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STRUTTURA'!$A$13:$E$413,5,FALSE),"")</f>
        <v/>
      </c>
      <c r="G144" s="5" t="n"/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TTS.PM.001.IPEA140.42</t>
        </is>
      </c>
      <c r="C145" s="4" t="inlineStr">
        <is>
          <t>Pilastro motore trave ipea140 x 4220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STRUTTURA'!$A$13:$E$413,5,FALSE),"")</f>
        <v/>
      </c>
      <c r="G145" s="5" t="n"/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TTS.PM.001.IPE140.43</t>
        </is>
      </c>
      <c r="C146" s="4" t="inlineStr">
        <is>
          <t>Pilastro motore trave ipe140 x 4320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STRUTTURA'!$A$13:$E$413,5,FALSE),"")</f>
        <v/>
      </c>
      <c r="G146" s="5" t="n"/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TTS.PM.001.IPEA140.43</t>
        </is>
      </c>
      <c r="C147" s="4" t="inlineStr">
        <is>
          <t>Pilastro motore trave ipea140 x 4320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STRUTTURA'!$A$13:$E$413,5,FALSE),"")</f>
        <v/>
      </c>
      <c r="G147" s="5" t="n"/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TTS.PM.001.IPE140.44</t>
        </is>
      </c>
      <c r="C148" s="4" t="inlineStr">
        <is>
          <t>Pilastro motore trave ipe140 x 4420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STRUTTURA'!$A$13:$E$413,5,FALSE),"")</f>
        <v/>
      </c>
      <c r="G148" s="5" t="n"/>
      <c r="H148" s="4" t="inlineStr">
        <is>
          <t>PILASTRO MOTORE</t>
        </is>
      </c>
      <c r="I148" s="11" t="n">
        <v>1</v>
      </c>
    </row>
    <row r="149">
      <c r="A149" s="13" t="n">
        <v>145</v>
      </c>
      <c r="B149" t="inlineStr">
        <is>
          <t>TTS.PM.001.IPEA140.44</t>
        </is>
      </c>
      <c r="C149" t="inlineStr">
        <is>
          <t>Pilastro motore trave ipea140 x 4420 con foratura alloggiamento quadro motore (alleggerita)</t>
        </is>
      </c>
      <c r="D149" t="inlineStr">
        <is>
          <t>Carpenteria metallica</t>
        </is>
      </c>
      <c r="E149" s="13" t="inlineStr">
        <is>
          <t>pz</t>
        </is>
      </c>
      <c r="F149" s="14">
        <f>IFERROR(VLOOKUP($B149,'SCHEDA STRUTTURA'!$A$13:$E$413,5,FALSE),"")</f>
        <v/>
      </c>
      <c r="G149" s="12" t="n"/>
      <c r="H149" t="inlineStr">
        <is>
          <t>PILASTRO MOTORE</t>
        </is>
      </c>
      <c r="I149" s="13" t="n">
        <v>1</v>
      </c>
    </row>
    <row r="150">
      <c r="A150" s="13" t="n">
        <v>146</v>
      </c>
      <c r="B150" t="inlineStr">
        <is>
          <t>TTS.PM.001.IPE140.22.QC</t>
        </is>
      </c>
      <c r="C150" t="inlineStr">
        <is>
          <t>Pilastro motore trave ipe140 x 2220 con foratura alloggiamento quadro motore + quadro centralina meteo + quadro alimentazione centralina meteo</t>
        </is>
      </c>
      <c r="D150" t="inlineStr">
        <is>
          <t>Carpenteria metallica</t>
        </is>
      </c>
      <c r="E150" s="13" t="inlineStr">
        <is>
          <t>pz</t>
        </is>
      </c>
      <c r="F150" s="14">
        <f>IFERROR(VLOOKUP($B150,'SCHEDA STRUTTURA'!$A$13:$E$413,5,FALSE),"")</f>
        <v/>
      </c>
      <c r="G150" s="12" t="n"/>
      <c r="H150" t="inlineStr">
        <is>
          <t>kit quadri centralina meteo</t>
        </is>
      </c>
      <c r="I150" s="13" t="n">
        <v>1</v>
      </c>
    </row>
    <row r="151">
      <c r="A151" s="13" t="n">
        <v>147</v>
      </c>
      <c r="B151" t="inlineStr">
        <is>
          <t>TTS.PM.001.IPEA140.22.QC</t>
        </is>
      </c>
      <c r="C151" t="inlineStr">
        <is>
          <t>Pilastro motore trave ipea140 x 2220 con foratura alloggiamento quadro motore + quadro centralina meteo + quadro alimentazione centralina meteo (alleggerita)</t>
        </is>
      </c>
      <c r="D151" t="inlineStr">
        <is>
          <t>Carpenteria metallica</t>
        </is>
      </c>
      <c r="E151" s="13" t="inlineStr">
        <is>
          <t>pz</t>
        </is>
      </c>
      <c r="F151" s="14">
        <f>IFERROR(VLOOKUP($B151,'SCHEDA STRUTTURA'!$A$13:$E$413,5,FALSE),"")</f>
        <v/>
      </c>
      <c r="G151" s="12" t="n"/>
      <c r="H151" t="inlineStr">
        <is>
          <t>kit quadri centralina meteo</t>
        </is>
      </c>
      <c r="I151" s="13" t="n">
        <v>1</v>
      </c>
    </row>
    <row r="152">
      <c r="A152" s="13" t="n">
        <v>148</v>
      </c>
      <c r="B152" t="inlineStr">
        <is>
          <t>TTS.PM.002.IPE140</t>
        </is>
      </c>
      <c r="C152" t="inlineStr">
        <is>
          <t>Supporto laterale testa riduttore</t>
        </is>
      </c>
      <c r="D152" t="inlineStr">
        <is>
          <t>Carpenteria metallica</t>
        </is>
      </c>
      <c r="E152" s="13" t="inlineStr">
        <is>
          <t>pz</t>
        </is>
      </c>
      <c r="F152" s="9">
        <f>IFERROR(VLOOKUP($B152,'SCHEDA PEZZI SPECIALI'!$A$38:$F$400,4,FALSE),"")</f>
        <v/>
      </c>
      <c r="G152" s="12" t="n"/>
      <c r="H152" t="inlineStr">
        <is>
          <t>PILASTRO MOTORE</t>
        </is>
      </c>
      <c r="I152" s="13" t="n">
        <v>1</v>
      </c>
    </row>
    <row r="153">
      <c r="A153" s="13" t="n">
        <v>149</v>
      </c>
      <c r="B153" t="inlineStr">
        <is>
          <t>TTS.PM.003.IPE140</t>
        </is>
      </c>
      <c r="C153" t="inlineStr">
        <is>
          <t>Testa riduttore pilastro motore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PEZZI SPECIALI'!$A$38:$F$400,4,FALSE),"")</f>
        <v/>
      </c>
      <c r="G153" s="12" t="n"/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TTS.PM.2011</t>
        </is>
      </c>
      <c r="C154" t="inlineStr">
        <is>
          <t>Angolare 30x30x4 lungo 370 mm. superiore</t>
        </is>
      </c>
      <c r="D154" t="inlineStr">
        <is>
          <t>Carpenteria metallica</t>
        </is>
      </c>
      <c r="E154" s="13" t="inlineStr">
        <is>
          <t>pz</t>
        </is>
      </c>
      <c r="F154" s="9">
        <f>IFERROR(VLOOKUP($B154,'SCHEDA PEZZI SPECIALI'!$A$38:$F$400,4,FALSE),"")</f>
        <v/>
      </c>
      <c r="G154" s="12" t="n"/>
      <c r="H154" t="inlineStr">
        <is>
          <t>kit quadro motore, kit quadri centralina meteo</t>
        </is>
      </c>
      <c r="I154" s="13" t="n">
        <v>2</v>
      </c>
    </row>
    <row r="155">
      <c r="A155" s="13" t="n">
        <v>151</v>
      </c>
      <c r="B155" t="inlineStr">
        <is>
          <t>TTS.PM.2012</t>
        </is>
      </c>
      <c r="C155" t="inlineStr">
        <is>
          <t>Angolare 30x30x4 lungo 370 mm. inferiore</t>
        </is>
      </c>
      <c r="D155" t="inlineStr">
        <is>
          <t>Carpenteria metallica</t>
        </is>
      </c>
      <c r="E155" s="13" t="inlineStr">
        <is>
          <t>pz</t>
        </is>
      </c>
      <c r="F155" s="9">
        <f>IFERROR(VLOOKUP($B155,'SCHEDA PEZZI SPECIALI'!$A$38:$F$400,4,FALSE),"")</f>
        <v/>
      </c>
      <c r="G155" s="12" t="n"/>
      <c r="H155" t="inlineStr">
        <is>
          <t>kit quadro motore, kit quadri centralina meteo</t>
        </is>
      </c>
      <c r="I155" s="13" t="n">
        <v>3</v>
      </c>
    </row>
    <row r="156">
      <c r="A156" s="13" t="n">
        <v>152</v>
      </c>
      <c r="B156" t="inlineStr">
        <is>
          <t>TTS.SM.001</t>
        </is>
      </c>
      <c r="C156" t="inlineStr">
        <is>
          <t>Piatto 50X5X230 supporto sensori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 t="n"/>
      <c r="H156" t="inlineStr">
        <is>
          <t>sensori meteo</t>
        </is>
      </c>
      <c r="I156" s="13" t="n">
        <v>1</v>
      </c>
    </row>
    <row r="157">
      <c r="A157" s="13" t="n">
        <v>153</v>
      </c>
      <c r="B157" t="inlineStr">
        <is>
          <t>TTS.SM.002</t>
        </is>
      </c>
      <c r="C157" t="inlineStr">
        <is>
          <t>Piatto 30X3X193 leva sensore temperatura pannello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 t="n"/>
      <c r="H157" t="inlineStr">
        <is>
          <t>sensori meteo</t>
        </is>
      </c>
      <c r="I157" s="13" t="n">
        <v>1</v>
      </c>
    </row>
    <row r="158">
      <c r="A158" s="13" t="n">
        <v>154</v>
      </c>
      <c r="B158" t="inlineStr">
        <is>
          <t>TTS.SM.003</t>
        </is>
      </c>
      <c r="C158" t="inlineStr">
        <is>
          <t>Asta supporto anemometro</t>
        </is>
      </c>
      <c r="D158" t="inlineStr">
        <is>
          <t>Carpenteria metallica</t>
        </is>
      </c>
      <c r="E158" s="13" t="inlineStr">
        <is>
          <t>pz</t>
        </is>
      </c>
      <c r="F158" s="9">
        <f>IFERROR(VLOOKUP($B158,'SCHEDA PEZZI SPECIALI'!$A$38:$F$400,4,FALSE),"")</f>
        <v/>
      </c>
      <c r="G158" s="12" t="n"/>
      <c r="H158" t="inlineStr">
        <is>
          <t>sensori meteo</t>
        </is>
      </c>
      <c r="I158" s="13" t="n">
        <v>1</v>
      </c>
    </row>
    <row r="159">
      <c r="A159" s="13" t="n">
        <v>155</v>
      </c>
      <c r="C159" t="inlineStr">
        <is>
          <t>Omega alloggiamento kit sensore termometro a contatto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I159" s="13" t="n"/>
    </row>
    <row r="160">
      <c r="A160" s="13" t="n">
        <v>156</v>
      </c>
      <c r="B160" t="inlineStr">
        <is>
          <t>06TAP120X120</t>
        </is>
      </c>
      <c r="C160" t="inlineStr">
        <is>
          <t>Tappo profilato 120x120</t>
        </is>
      </c>
      <c r="D160" t="inlineStr">
        <is>
          <t>Bulloneria e minuteria</t>
        </is>
      </c>
      <c r="E160" s="13" t="inlineStr">
        <is>
          <t>pz</t>
        </is>
      </c>
      <c r="F160" s="14">
        <f>IFERROR(VLOOKUP($B160,'SCHEDA BULLONERIA'!$A$40:$D$400,3,FALSE),"")</f>
        <v/>
      </c>
      <c r="G160" s="12">
        <f>IFERROR(VLOOKUP($B160,'SCHEDA BULLONERIA'!$A$40:$D$400,4,FALSE),"")</f>
        <v/>
      </c>
      <c r="H160" t="inlineStr">
        <is>
          <t>sensori meteo</t>
        </is>
      </c>
      <c r="I160" s="13" t="n">
        <v>1</v>
      </c>
    </row>
    <row r="161">
      <c r="A161" s="13" t="n">
        <v>157</v>
      </c>
      <c r="B161" t="inlineStr">
        <is>
          <t>10BZ10X30</t>
        </is>
      </c>
      <c r="C161" t="inlineStr">
        <is>
          <t>Bullone testa esagonale M10X30</t>
        </is>
      </c>
      <c r="D161" t="inlineStr">
        <is>
          <t>Bulloneria e minuteria</t>
        </is>
      </c>
      <c r="E161" s="13" t="inlineStr">
        <is>
          <t>pz</t>
        </is>
      </c>
      <c r="F161" s="14">
        <f>IFERROR(VLOOKUP($B161,'SCHEDA BULLONERIA'!$A$40:$D$400,3,FALSE),"")</f>
        <v/>
      </c>
      <c r="G161" s="12">
        <f>IFERROR(VLOOKUP($B161,'SCHEDA BULLONERIA'!$A$40:$D$400,4,FALSE),"")</f>
        <v/>
      </c>
      <c r="H161" t="inlineStr">
        <is>
          <t>PILASTRO CUSCINETTO</t>
        </is>
      </c>
      <c r="I161" s="13" t="n">
        <v>1</v>
      </c>
    </row>
    <row r="162">
      <c r="A162" s="13" t="n">
        <v>158</v>
      </c>
      <c r="B162" t="inlineStr">
        <is>
          <t>10BZ10X40</t>
        </is>
      </c>
      <c r="C162" t="inlineStr">
        <is>
          <t>Bullone testa esagonale zn M10X40</t>
        </is>
      </c>
      <c r="D162" t="inlineStr">
        <is>
          <t>Bulloneria e minuteria</t>
        </is>
      </c>
      <c r="E162" s="13" t="inlineStr">
        <is>
          <t>pz</t>
        </is>
      </c>
      <c r="F162" s="14">
        <f>IFERROR(VLOOKUP($B162,'SCHEDA BULLONERIA'!$A$40:$D$400,3,FALSE),"")</f>
        <v/>
      </c>
      <c r="G162" s="12">
        <f>IFERROR(VLOOKUP($B162,'SCHEDA BULLONERIA'!$A$40:$D$400,4,FALSE),"")</f>
        <v/>
      </c>
      <c r="H162" t="inlineStr">
        <is>
          <t>PILASTRO MOTORE, PILASTRO CUSCINETTO</t>
        </is>
      </c>
      <c r="I162" s="13" t="n">
        <v>3</v>
      </c>
    </row>
    <row r="163">
      <c r="A163" s="13" t="n">
        <v>159</v>
      </c>
      <c r="B163" t="inlineStr">
        <is>
          <t>10BZ16X140</t>
        </is>
      </c>
      <c r="C163" t="inlineStr">
        <is>
          <t>Bullone testa esagonale M16x140 mezzo filetto</t>
        </is>
      </c>
      <c r="D163" t="inlineStr">
        <is>
          <t>Bulloneria e minuteria</t>
        </is>
      </c>
      <c r="E163" s="13" t="inlineStr">
        <is>
          <t>pz</t>
        </is>
      </c>
      <c r="F163" s="14">
        <f>IFERROR(VLOOKUP($B163,'SCHEDA BULLONERIA'!$A$40:$D$400,3,FALSE),"")</f>
        <v/>
      </c>
      <c r="G163" s="12">
        <f>IFERROR(VLOOKUP($B163,'SCHEDA BULLONERIA'!$A$40:$D$400,4,FALSE),"")</f>
        <v/>
      </c>
      <c r="H163" t="inlineStr">
        <is>
          <t>PILASTRO CUSCINETTO</t>
        </is>
      </c>
      <c r="I163" s="13" t="n">
        <v>1</v>
      </c>
    </row>
    <row r="164">
      <c r="A164" s="13" t="n">
        <v>160</v>
      </c>
      <c r="B164" t="inlineStr">
        <is>
          <t>10BZM10X160</t>
        </is>
      </c>
      <c r="C164" t="inlineStr">
        <is>
          <t>Bullone testa esagonale zn M10X160</t>
        </is>
      </c>
      <c r="D164" t="inlineStr">
        <is>
          <t>Bulloneria e minuteria</t>
        </is>
      </c>
      <c r="E164" s="13" t="inlineStr">
        <is>
          <t>pz</t>
        </is>
      </c>
      <c r="F164" s="14">
        <f>IFERROR(VLOOKUP($B164,'SCHEDA BULLONERIA'!$A$40:$D$400,3,FALSE),"")</f>
        <v/>
      </c>
      <c r="G164" s="12">
        <f>IFERROR(VLOOKUP($B164,'SCHEDA BULLONERIA'!$A$40:$D$400,4,FALSE),"")</f>
        <v/>
      </c>
      <c r="H164" t="inlineStr">
        <is>
          <t>KIT OMEGA+pannelli</t>
        </is>
      </c>
      <c r="I164" s="13" t="n">
        <v>1</v>
      </c>
    </row>
    <row r="165">
      <c r="A165" s="13" t="n">
        <v>161</v>
      </c>
      <c r="B165" t="inlineStr">
        <is>
          <t>10BZM10X30</t>
        </is>
      </c>
      <c r="C165" t="inlineStr">
        <is>
          <t>Bullone testa esagonale zn M10X30</t>
        </is>
      </c>
      <c r="D165" t="inlineStr">
        <is>
          <t>Bulloneria e minuteria</t>
        </is>
      </c>
      <c r="E165" s="13" t="inlineStr">
        <is>
          <t>pz</t>
        </is>
      </c>
      <c r="F165" s="14">
        <f>IFERROR(VLOOKUP($B165,'SCHEDA BULLONERIA'!$A$40:$D$400,3,FALSE),"")</f>
        <v/>
      </c>
      <c r="G165" s="12">
        <f>IFERROR(VLOOKUP($B165,'SCHEDA BULLONERIA'!$A$40:$D$400,4,FALSE),"")</f>
        <v/>
      </c>
      <c r="H165" t="inlineStr">
        <is>
          <t>ASSI DI ROTAZIONE 1303</t>
        </is>
      </c>
      <c r="I165" s="13" t="n">
        <v>5</v>
      </c>
    </row>
    <row r="166">
      <c r="A166" s="13" t="n">
        <v>162</v>
      </c>
      <c r="B166" t="inlineStr">
        <is>
          <t>10BZM10X40</t>
        </is>
      </c>
      <c r="C166" t="inlineStr">
        <is>
          <t>Bullone testa esagonale M10X40</t>
        </is>
      </c>
      <c r="D166" t="inlineStr">
        <is>
          <t>Bulloneria e minuteria</t>
        </is>
      </c>
      <c r="E166" s="13" t="inlineStr">
        <is>
          <t>pz</t>
        </is>
      </c>
      <c r="F166" s="14">
        <f>IFERROR(VLOOKUP($B166,'SCHEDA BULLONERIA'!$A$40:$D$400,3,FALSE),"")</f>
        <v/>
      </c>
      <c r="G166" s="12">
        <f>IFERROR(VLOOKUP($B166,'SCHEDA BULLONERIA'!$A$40:$D$400,4,FALSE),"")</f>
        <v/>
      </c>
      <c r="H166" t="inlineStr">
        <is>
          <t>PILASTRO MOTORE, PILASTRO CUSCINETTO</t>
        </is>
      </c>
      <c r="I166" s="13" t="n">
        <v>3</v>
      </c>
    </row>
    <row r="167">
      <c r="A167" s="13" t="n">
        <v>163</v>
      </c>
      <c r="B167" t="inlineStr">
        <is>
          <t>10BZM16X25</t>
        </is>
      </c>
      <c r="C167" t="inlineStr">
        <is>
          <t>Bullone testa esagonale zn M16X25</t>
        </is>
      </c>
      <c r="D167" t="inlineStr">
        <is>
          <t>Bulloneria e minuteria</t>
        </is>
      </c>
      <c r="E167" s="13" t="inlineStr">
        <is>
          <t>pz</t>
        </is>
      </c>
      <c r="F167" s="14">
        <f>IFERROR(VLOOKUP($B167,'SCHEDA BULLONERIA'!$A$40:$D$400,3,FALSE),"")</f>
        <v/>
      </c>
      <c r="G167" s="12">
        <f>IFERROR(VLOOKUP($B167,'SCHEDA BULLONERIA'!$A$40:$D$400,4,FALSE),"")</f>
        <v/>
      </c>
      <c r="H167" t="inlineStr">
        <is>
          <t>KIT FINE CORSA</t>
        </is>
      </c>
      <c r="I167" s="13" t="n">
        <v>1</v>
      </c>
    </row>
    <row r="168">
      <c r="A168" s="13" t="n">
        <v>164</v>
      </c>
      <c r="B168" t="inlineStr">
        <is>
          <t>10BZM16X60</t>
        </is>
      </c>
      <c r="C168" t="inlineStr">
        <is>
          <t>Bullone testa esagonale M16X60</t>
        </is>
      </c>
      <c r="D168" t="inlineStr">
        <is>
          <t>Bulloneria e minuteria</t>
        </is>
      </c>
      <c r="E168" s="13" t="inlineStr">
        <is>
          <t>pz</t>
        </is>
      </c>
      <c r="F168" s="14">
        <f>IFERROR(VLOOKUP($B168,'SCHEDA BULLONERIA'!$A$40:$D$400,3,FALSE),"")</f>
        <v/>
      </c>
      <c r="G168" s="12">
        <f>IFERROR(VLOOKUP($B168,'SCHEDA BULLONERIA'!$A$40:$D$400,4,FALSE),"")</f>
        <v/>
      </c>
      <c r="H168" t="inlineStr">
        <is>
          <t>PILASTRO MOTORE</t>
        </is>
      </c>
      <c r="I168" s="13" t="n">
        <v>1</v>
      </c>
    </row>
    <row r="169">
      <c r="A169" s="13" t="n">
        <v>165</v>
      </c>
      <c r="B169" t="inlineStr">
        <is>
          <t>10BZM5X20</t>
        </is>
      </c>
      <c r="C169" t="inlineStr">
        <is>
          <t>Bullone testa esagonale zn M5x20</t>
        </is>
      </c>
      <c r="D169" t="inlineStr">
        <is>
          <t>Bulloneria e minuteria</t>
        </is>
      </c>
      <c r="E169" s="13" t="inlineStr">
        <is>
          <t>pz</t>
        </is>
      </c>
      <c r="F169" s="14">
        <f>IFERROR(VLOOKUP($B169,'SCHEDA BULLONERIA'!$A$40:$D$400,3,FALSE),"")</f>
        <v/>
      </c>
      <c r="G169" s="12">
        <f>IFERROR(VLOOKUP($B169,'SCHEDA BULLONERIA'!$A$40:$D$400,4,FALSE),"")</f>
        <v/>
      </c>
      <c r="H169" t="inlineStr">
        <is>
          <t>sensori meteo</t>
        </is>
      </c>
      <c r="I169" s="13" t="n">
        <v>3</v>
      </c>
    </row>
    <row r="170">
      <c r="A170" s="13" t="n">
        <v>166</v>
      </c>
      <c r="B170" t="inlineStr">
        <is>
          <t>10BZM5X30</t>
        </is>
      </c>
      <c r="C170" t="inlineStr">
        <is>
          <t>Bullone testa esagonale zn M5x30</t>
        </is>
      </c>
      <c r="D170" t="inlineStr">
        <is>
          <t>Bulloneria e minuteria</t>
        </is>
      </c>
      <c r="E170" s="13" t="inlineStr">
        <is>
          <t>pz</t>
        </is>
      </c>
      <c r="F170" s="14">
        <f>IFERROR(VLOOKUP($B170,'SCHEDA BULLONERIA'!$A$40:$D$400,3,FALSE),"")</f>
        <v/>
      </c>
      <c r="G170" s="12">
        <f>IFERROR(VLOOKUP($B170,'SCHEDA BULLONERIA'!$A$40:$D$400,4,FALSE),"")</f>
        <v/>
      </c>
      <c r="H170" t="inlineStr">
        <is>
          <t>KIT FINE CORSA</t>
        </is>
      </c>
      <c r="I170" s="13" t="n">
        <v>1</v>
      </c>
    </row>
    <row r="171">
      <c r="A171" s="13" t="n">
        <v>167</v>
      </c>
      <c r="B171" t="inlineStr">
        <is>
          <t>10BZM6X150</t>
        </is>
      </c>
      <c r="C171" t="inlineStr">
        <is>
          <t>Bullone testa esagonale zn M6X150</t>
        </is>
      </c>
      <c r="D171" t="inlineStr">
        <is>
          <t>Bulloneria e minuteria</t>
        </is>
      </c>
      <c r="E171" s="13" t="inlineStr">
        <is>
          <t>pz</t>
        </is>
      </c>
      <c r="F171" s="14">
        <f>IFERROR(VLOOKUP($B171,'SCHEDA BULLONERIA'!$A$40:$D$400,3,FALSE),"")</f>
        <v/>
      </c>
      <c r="G171" s="12">
        <f>IFERROR(VLOOKUP($B171,'SCHEDA BULLONERIA'!$A$40:$D$400,4,FALSE),"")</f>
        <v/>
      </c>
      <c r="H171" t="inlineStr">
        <is>
          <t>KIT OMEGA+pannelli</t>
        </is>
      </c>
      <c r="I171" s="13" t="n">
        <v>1</v>
      </c>
    </row>
    <row r="172">
      <c r="A172" s="13" t="n">
        <v>168</v>
      </c>
      <c r="B172" t="inlineStr">
        <is>
          <t>10BZM6X20</t>
        </is>
      </c>
      <c r="C172" t="inlineStr">
        <is>
          <t>Bullone testa esagonale zn M6X20</t>
        </is>
      </c>
      <c r="D172" t="inlineStr">
        <is>
          <t>Bulloneria e minuteria</t>
        </is>
      </c>
      <c r="E172" s="13" t="inlineStr">
        <is>
          <t>pz</t>
        </is>
      </c>
      <c r="F172" s="14">
        <f>IFERROR(VLOOKUP($B172,'SCHEDA BULLONERIA'!$A$40:$D$400,3,FALSE),"")</f>
        <v/>
      </c>
      <c r="G172" s="12">
        <f>IFERROR(VLOOKUP($B172,'SCHEDA BULLONERIA'!$A$40:$D$400,4,FALSE),"")</f>
        <v/>
      </c>
      <c r="H172" t="inlineStr">
        <is>
          <t>KIT FINE CORSA</t>
        </is>
      </c>
      <c r="I172" s="13" t="n">
        <v>1</v>
      </c>
    </row>
    <row r="173">
      <c r="A173" s="13" t="n">
        <v>169</v>
      </c>
      <c r="B173" t="inlineStr">
        <is>
          <t>10BZM6X25</t>
        </is>
      </c>
      <c r="C173" t="inlineStr">
        <is>
          <t>Bullone testa esagonale zn M6X30</t>
        </is>
      </c>
      <c r="D173" t="inlineStr">
        <is>
          <t>Bulloneria e minuteria</t>
        </is>
      </c>
      <c r="E173" s="13" t="inlineStr">
        <is>
          <t>pz</t>
        </is>
      </c>
      <c r="F173" s="14">
        <f>IFERROR(VLOOKUP($B173,'SCHEDA BULLONERIA'!$A$40:$D$400,3,FALSE),"")</f>
        <v/>
      </c>
      <c r="G173" s="12">
        <f>IFERROR(VLOOKUP($B173,'SCHEDA BULLONERIA'!$A$40:$D$400,4,FALSE),"")</f>
        <v/>
      </c>
      <c r="H173" t="inlineStr">
        <is>
          <t>kit quadri centralina meteo</t>
        </is>
      </c>
      <c r="I173" s="13" t="n">
        <v>1</v>
      </c>
    </row>
    <row r="174">
      <c r="A174" s="13" t="n">
        <v>170</v>
      </c>
      <c r="B174" t="inlineStr">
        <is>
          <t>10BZM6X30</t>
        </is>
      </c>
      <c r="C174" t="inlineStr">
        <is>
          <t>Bullone testa esagonale zn M6X30</t>
        </is>
      </c>
      <c r="D174" t="inlineStr">
        <is>
          <t>Bulloneria e minuteria</t>
        </is>
      </c>
      <c r="E174" s="13" t="inlineStr">
        <is>
          <t>pz</t>
        </is>
      </c>
      <c r="F174" s="14">
        <f>IFERROR(VLOOKUP($B174,'SCHEDA BULLONERIA'!$A$40:$D$400,3,FALSE),"")</f>
        <v/>
      </c>
      <c r="G174" s="12">
        <f>IFERROR(VLOOKUP($B174,'SCHEDA BULLONERIA'!$A$40:$D$400,4,FALSE),"")</f>
        <v/>
      </c>
      <c r="H174" t="inlineStr">
        <is>
          <t>kit quadro motore, sensori meteo</t>
        </is>
      </c>
      <c r="I174" s="13" t="n">
        <v>2</v>
      </c>
    </row>
    <row r="175">
      <c r="A175" s="13" t="n">
        <v>171</v>
      </c>
      <c r="B175" t="inlineStr">
        <is>
          <t>10BZM8X150</t>
        </is>
      </c>
      <c r="C175" t="inlineStr">
        <is>
          <t>Bullone testa esagonale zn M8X150</t>
        </is>
      </c>
      <c r="D175" t="inlineStr">
        <is>
          <t>Bulloneria e minuteria</t>
        </is>
      </c>
      <c r="E175" s="13" t="inlineStr">
        <is>
          <t>pz</t>
        </is>
      </c>
      <c r="F175" s="14">
        <f>IFERROR(VLOOKUP($B175,'SCHEDA BULLONERIA'!$A$40:$D$400,3,FALSE),"")</f>
        <v/>
      </c>
      <c r="G175" s="12">
        <f>IFERROR(VLOOKUP($B175,'SCHEDA BULLONERIA'!$A$40:$D$400,4,FALSE),"")</f>
        <v/>
      </c>
      <c r="H175" t="inlineStr">
        <is>
          <t>ASSI DI ROTAZIONE 1303, KIT INCLINOMETRO</t>
        </is>
      </c>
      <c r="I175" s="13" t="n">
        <v>6</v>
      </c>
    </row>
    <row r="176">
      <c r="A176" s="13" t="n">
        <v>172</v>
      </c>
      <c r="B176" t="inlineStr">
        <is>
          <t>10BZM8X20</t>
        </is>
      </c>
      <c r="C176" t="inlineStr">
        <is>
          <t>Bullone testa esagonale zn M8X20</t>
        </is>
      </c>
      <c r="D176" t="inlineStr">
        <is>
          <t>Bulloneria e minuteria</t>
        </is>
      </c>
      <c r="E176" s="13" t="inlineStr">
        <is>
          <t>pz</t>
        </is>
      </c>
      <c r="F176" s="14">
        <f>IFERROR(VLOOKUP($B176,'SCHEDA BULLONERIA'!$A$40:$D$400,3,FALSE),"")</f>
        <v/>
      </c>
      <c r="G176" s="12">
        <f>IFERROR(VLOOKUP($B176,'SCHEDA BULLONERIA'!$A$40:$D$400,4,FALSE),"")</f>
        <v/>
      </c>
      <c r="H176" t="inlineStr">
        <is>
          <t>kit quadri inverter</t>
        </is>
      </c>
      <c r="I176" s="13" t="n">
        <v>1</v>
      </c>
    </row>
    <row r="177">
      <c r="A177" s="13" t="n">
        <v>173</v>
      </c>
      <c r="B177" t="inlineStr">
        <is>
          <t>10BZM8X25</t>
        </is>
      </c>
      <c r="C177" t="inlineStr">
        <is>
          <t>Bullone testa esagonale zn M8X25</t>
        </is>
      </c>
      <c r="D177" t="inlineStr">
        <is>
          <t>Bulloneria e minuteria</t>
        </is>
      </c>
      <c r="E177" s="13" t="inlineStr">
        <is>
          <t>pz</t>
        </is>
      </c>
      <c r="F177" s="14">
        <f>IFERROR(VLOOKUP($B177,'SCHEDA BULLONERIA'!$A$40:$D$400,3,FALSE),"")</f>
        <v/>
      </c>
      <c r="G177" s="12">
        <f>IFERROR(VLOOKUP($B177,'SCHEDA BULLONERIA'!$A$40:$D$400,4,FALSE),"")</f>
        <v/>
      </c>
      <c r="H177" t="inlineStr">
        <is>
          <t>KIT OMEGA+pannelli, kit quadro motore, kit quadri centralina meteo, kit quadri area</t>
        </is>
      </c>
      <c r="I177" s="13" t="n">
        <v>8</v>
      </c>
    </row>
    <row r="178">
      <c r="A178" s="13" t="n">
        <v>174</v>
      </c>
      <c r="B178" t="inlineStr">
        <is>
          <t>10BZM8X30</t>
        </is>
      </c>
      <c r="C178" t="inlineStr">
        <is>
          <t>Bullone testa esagonale zn M8X30</t>
        </is>
      </c>
      <c r="D178" t="inlineStr">
        <is>
          <t>Bulloneria e minuteria</t>
        </is>
      </c>
      <c r="E178" s="13" t="inlineStr">
        <is>
          <t>pz</t>
        </is>
      </c>
      <c r="F178" s="14">
        <f>IFERROR(VLOOKUP($B178,'SCHEDA BULLONERIA'!$A$40:$D$400,3,FALSE),"")</f>
        <v/>
      </c>
      <c r="G178" s="12">
        <f>IFERROR(VLOOKUP($B178,'SCHEDA BULLONERIA'!$A$40:$D$400,4,FALSE),"")</f>
        <v/>
      </c>
      <c r="H178" t="inlineStr">
        <is>
          <t>kit quadri inverter</t>
        </is>
      </c>
      <c r="I178" s="13" t="n">
        <v>1</v>
      </c>
    </row>
    <row r="179">
      <c r="A179" s="13" t="n">
        <v>175</v>
      </c>
      <c r="B179" t="inlineStr">
        <is>
          <t>10DADAZM8</t>
        </is>
      </c>
      <c r="C179" t="inlineStr">
        <is>
          <t>Dado autobloccante M8 zn</t>
        </is>
      </c>
      <c r="D179" t="inlineStr">
        <is>
          <t>Bulloneria e minuteria</t>
        </is>
      </c>
      <c r="E179" s="13" t="inlineStr">
        <is>
          <t>pz</t>
        </is>
      </c>
      <c r="F179" s="14">
        <f>IFERROR(VLOOKUP($B179,'SCHEDA BULLONERIA'!$A$40:$D$400,3,FALSE),"")</f>
        <v/>
      </c>
      <c r="G179" s="12">
        <f>IFERROR(VLOOKUP($B179,'SCHEDA BULLONERIA'!$A$40:$D$400,4,FALSE),"")</f>
        <v/>
      </c>
      <c r="H179" t="inlineStr">
        <is>
          <t>KIT OMEGA+pannelli</t>
        </is>
      </c>
      <c r="I179" s="13" t="n">
        <v>2</v>
      </c>
    </row>
    <row r="180">
      <c r="A180" s="13" t="n">
        <v>176</v>
      </c>
      <c r="B180" t="inlineStr">
        <is>
          <t>10DAZAM10</t>
        </is>
      </c>
      <c r="C180" t="inlineStr">
        <is>
          <t>Dado autobloccante M10</t>
        </is>
      </c>
      <c r="D180" t="inlineStr">
        <is>
          <t>Bulloneria e minuteria</t>
        </is>
      </c>
      <c r="E180" s="13" t="inlineStr">
        <is>
          <t>pz</t>
        </is>
      </c>
      <c r="F180" s="14">
        <f>IFERROR(VLOOKUP($B180,'SCHEDA BULLONERIA'!$A$40:$D$400,3,FALSE),"")</f>
        <v/>
      </c>
      <c r="G180" s="12">
        <f>IFERROR(VLOOKUP($B180,'SCHEDA BULLONERIA'!$A$40:$D$400,4,FALSE),"")</f>
        <v/>
      </c>
      <c r="H180" t="inlineStr">
        <is>
          <t>PILASTRO MOTORE, PILASTRO CUSCINETTO, ASSI DI ROTAZIONE 1303</t>
        </is>
      </c>
      <c r="I180" s="13" t="n">
        <v>12</v>
      </c>
    </row>
    <row r="181">
      <c r="A181" s="13" t="n">
        <v>177</v>
      </c>
      <c r="B181" t="inlineStr">
        <is>
          <t>10DAZAM16</t>
        </is>
      </c>
      <c r="C181" t="inlineStr">
        <is>
          <t>Dado autobloccante M16</t>
        </is>
      </c>
      <c r="D181" t="inlineStr">
        <is>
          <t>Bulloneria e minuteria</t>
        </is>
      </c>
      <c r="E181" s="13" t="inlineStr">
        <is>
          <t>pz</t>
        </is>
      </c>
      <c r="F181" s="14">
        <f>IFERROR(VLOOKUP($B181,'SCHEDA BULLONERIA'!$A$40:$D$400,3,FALSE),"")</f>
        <v/>
      </c>
      <c r="G181" s="12">
        <f>IFERROR(VLOOKUP($B181,'SCHEDA BULLONERIA'!$A$40:$D$400,4,FALSE),"")</f>
        <v/>
      </c>
      <c r="H181" t="inlineStr">
        <is>
          <t>PILASTRO MOTORE, PILASTRO CUSCINETTO</t>
        </is>
      </c>
      <c r="I181" s="13" t="n">
        <v>2</v>
      </c>
    </row>
    <row r="182">
      <c r="A182" s="13" t="n">
        <v>178</v>
      </c>
      <c r="B182" t="inlineStr">
        <is>
          <t>10DAZAM5</t>
        </is>
      </c>
      <c r="C182" t="inlineStr">
        <is>
          <t>Dado zincato autobloc. M5</t>
        </is>
      </c>
      <c r="D182" t="inlineStr">
        <is>
          <t>Bulloneria e minuteria</t>
        </is>
      </c>
      <c r="E182" s="13" t="inlineStr">
        <is>
          <t>pz</t>
        </is>
      </c>
      <c r="F182" s="14">
        <f>IFERROR(VLOOKUP($B182,'SCHEDA BULLONERIA'!$A$40:$D$400,3,FALSE),"")</f>
        <v/>
      </c>
      <c r="G182" s="12">
        <f>IFERROR(VLOOKUP($B182,'SCHEDA BULLONERIA'!$A$40:$D$400,4,FALSE),"")</f>
        <v/>
      </c>
      <c r="H182" t="inlineStr">
        <is>
          <t>KIT FINE CORSA, KIT INCLINOMETRO, sensori meteo</t>
        </is>
      </c>
      <c r="I182" s="13" t="n">
        <v>5</v>
      </c>
    </row>
    <row r="183">
      <c r="A183" s="13" t="n">
        <v>179</v>
      </c>
      <c r="B183" t="inlineStr">
        <is>
          <t>10DAZAM6</t>
        </is>
      </c>
      <c r="C183" t="inlineStr">
        <is>
          <t>Dado autobloccante M6</t>
        </is>
      </c>
      <c r="D183" t="inlineStr">
        <is>
          <t>Bulloneria e minuteria</t>
        </is>
      </c>
      <c r="E183" s="13" t="inlineStr">
        <is>
          <t>pz</t>
        </is>
      </c>
      <c r="F183" s="14">
        <f>IFERROR(VLOOKUP($B183,'SCHEDA BULLONERIA'!$A$40:$D$400,3,FALSE),"")</f>
        <v/>
      </c>
      <c r="G183" s="12">
        <f>IFERROR(VLOOKUP($B183,'SCHEDA BULLONERIA'!$A$40:$D$400,4,FALSE),"")</f>
        <v/>
      </c>
      <c r="H183" t="inlineStr">
        <is>
          <t>KIT OMEGA+pannelli, KIT FINE CORSA, kit quadro motore, kit quadri centralina meteo, sensori meteo</t>
        </is>
      </c>
      <c r="I183" s="13" t="n">
        <v>5</v>
      </c>
    </row>
    <row r="184">
      <c r="A184" s="13" t="n">
        <v>180</v>
      </c>
      <c r="B184" t="inlineStr">
        <is>
          <t>10DAZAM8</t>
        </is>
      </c>
      <c r="C184" t="inlineStr">
        <is>
          <t>Dado autobloccante M8</t>
        </is>
      </c>
      <c r="D184" t="inlineStr">
        <is>
          <t>Bulloneria e minuteria</t>
        </is>
      </c>
      <c r="E184" s="13" t="inlineStr">
        <is>
          <t>pz</t>
        </is>
      </c>
      <c r="F184" s="14">
        <f>IFERROR(VLOOKUP($B184,'SCHEDA BULLONERIA'!$A$40:$D$400,3,FALSE),"")</f>
        <v/>
      </c>
      <c r="G184" s="12">
        <f>IFERROR(VLOOKUP($B184,'SCHEDA BULLONERIA'!$A$40:$D$400,4,FALSE),"")</f>
        <v/>
      </c>
      <c r="H184" t="inlineStr">
        <is>
          <t>ASSI DI ROTAZIONE 1303, KIT OMEGA+pannelli, KIT INCLINOMETRO, kit quadro motore, kit quadri centralina meteo, kit quadri area, kit quadri inverter</t>
        </is>
      </c>
      <c r="I184" s="13" t="n">
        <v>15</v>
      </c>
    </row>
    <row r="185">
      <c r="A185" s="13" t="n">
        <v>181</v>
      </c>
      <c r="B185" t="inlineStr">
        <is>
          <t>10ROND10</t>
        </is>
      </c>
      <c r="C185" t="inlineStr">
        <is>
          <t>Rondella zn da 10</t>
        </is>
      </c>
      <c r="D185" t="inlineStr">
        <is>
          <t>Bulloneria e minuteria</t>
        </is>
      </c>
      <c r="E185" s="13" t="inlineStr">
        <is>
          <t>pz</t>
        </is>
      </c>
      <c r="F185" s="14">
        <f>IFERROR(VLOOKUP($B185,'SCHEDA BULLONERIA'!$A$40:$D$400,3,FALSE),"")</f>
        <v/>
      </c>
      <c r="G185" s="12">
        <f>IFERROR(VLOOKUP($B185,'SCHEDA BULLONERIA'!$A$40:$D$400,4,FALSE),"")</f>
        <v/>
      </c>
      <c r="H185" t="inlineStr">
        <is>
          <t>PILASTRO MOTORE, PILASTRO CUSCINETTO, ASSI DI ROTAZIONE 1303, KIT OMEGA+pannelli</t>
        </is>
      </c>
      <c r="I185" s="13" t="n">
        <v>25</v>
      </c>
    </row>
    <row r="186">
      <c r="A186" s="13" t="n">
        <v>182</v>
      </c>
      <c r="B186" t="inlineStr">
        <is>
          <t>10ROND16</t>
        </is>
      </c>
      <c r="C186" t="inlineStr">
        <is>
          <t>Rondella zn da 16</t>
        </is>
      </c>
      <c r="D186" t="inlineStr">
        <is>
          <t>Bulloneria e minuteria</t>
        </is>
      </c>
      <c r="E186" s="13" t="inlineStr">
        <is>
          <t>pz</t>
        </is>
      </c>
      <c r="F186" s="14">
        <f>IFERROR(VLOOKUP($B186,'SCHEDA BULLONERIA'!$A$40:$D$400,3,FALSE),"")</f>
        <v/>
      </c>
      <c r="G186" s="12">
        <f>IFERROR(VLOOKUP($B186,'SCHEDA BULLONERIA'!$A$40:$D$400,4,FALSE),"")</f>
        <v/>
      </c>
      <c r="H186" t="inlineStr">
        <is>
          <t>PILASTRO MOTORE, PILASTRO CUSCINETTO, KIT FINE CORSA</t>
        </is>
      </c>
      <c r="I186" s="13" t="n">
        <v>5</v>
      </c>
    </row>
    <row r="187">
      <c r="A187" s="13" t="n">
        <v>183</v>
      </c>
      <c r="B187" t="inlineStr">
        <is>
          <t>10ROND5</t>
        </is>
      </c>
      <c r="C187" t="inlineStr">
        <is>
          <t>Rondella ZN da 5</t>
        </is>
      </c>
      <c r="D187" t="inlineStr">
        <is>
          <t>Bulloneria e minuteria</t>
        </is>
      </c>
      <c r="E187" s="13" t="inlineStr">
        <is>
          <t>pz</t>
        </is>
      </c>
      <c r="F187" s="14">
        <f>IFERROR(VLOOKUP($B187,'SCHEDA BULLONERIA'!$A$40:$D$400,3,FALSE),"")</f>
        <v/>
      </c>
      <c r="G187" s="12">
        <f>IFERROR(VLOOKUP($B187,'SCHEDA BULLONERIA'!$A$40:$D$400,4,FALSE),"")</f>
        <v/>
      </c>
      <c r="H187" t="inlineStr">
        <is>
          <t>KIT FINE CORSA, KIT INCLINOMETRO, sensori meteo</t>
        </is>
      </c>
      <c r="I187" s="13" t="n">
        <v>6</v>
      </c>
    </row>
    <row r="188">
      <c r="A188" s="13" t="n">
        <v>184</v>
      </c>
      <c r="B188" t="inlineStr">
        <is>
          <t>10ROND6</t>
        </is>
      </c>
      <c r="C188" t="inlineStr">
        <is>
          <t>Rondella zn 6</t>
        </is>
      </c>
      <c r="D188" t="inlineStr">
        <is>
          <t>Bulloneria e minuteria</t>
        </is>
      </c>
      <c r="E188" s="13" t="inlineStr">
        <is>
          <t>pz</t>
        </is>
      </c>
      <c r="F188" s="14">
        <f>IFERROR(VLOOKUP($B188,'SCHEDA BULLONERIA'!$A$40:$D$400,3,FALSE),"")</f>
        <v/>
      </c>
      <c r="G188" s="12">
        <f>IFERROR(VLOOKUP($B188,'SCHEDA BULLONERIA'!$A$40:$D$400,4,FALSE),"")</f>
        <v/>
      </c>
      <c r="H188" t="inlineStr">
        <is>
          <t>KIT OMEGA+pannelli, KIT FINE CORSA, kit quadro motore, kit quadri centralina meteo, sensori meteo</t>
        </is>
      </c>
      <c r="I188" s="13" t="n">
        <v>10</v>
      </c>
    </row>
    <row r="189">
      <c r="A189" s="13" t="n">
        <v>185</v>
      </c>
      <c r="B189" t="inlineStr">
        <is>
          <t>10ROND8</t>
        </is>
      </c>
      <c r="C189" t="inlineStr">
        <is>
          <t>Rondella da 8 zn</t>
        </is>
      </c>
      <c r="D189" t="inlineStr">
        <is>
          <t>Bulloneria e minuteria</t>
        </is>
      </c>
      <c r="E189" s="13" t="inlineStr">
        <is>
          <t>pz</t>
        </is>
      </c>
      <c r="F189" s="14">
        <f>IFERROR(VLOOKUP($B189,'SCHEDA BULLONERIA'!$A$40:$D$400,3,FALSE),"")</f>
        <v/>
      </c>
      <c r="G189" s="12">
        <f>IFERROR(VLOOKUP($B189,'SCHEDA BULLONERIA'!$A$40:$D$400,4,FALSE),"")</f>
        <v/>
      </c>
      <c r="H189" t="inlineStr">
        <is>
          <t>ASSI DI ROTAZIONE 1303, KIT OMEGA+pannelli, KIT INCLINOMETRO, kit quadro motore, kit quadri centralina meteo, kit quadri area, kit quadri inverter</t>
        </is>
      </c>
      <c r="I189" s="13" t="n">
        <v>32</v>
      </c>
    </row>
    <row r="190">
      <c r="A190" s="13" t="n">
        <v>186</v>
      </c>
      <c r="B190" t="inlineStr">
        <is>
          <t>M5X30 8.8 ISO1207</t>
        </is>
      </c>
      <c r="C190" t="inlineStr">
        <is>
          <t>Bullone testa esagonale con intaglio M5x30</t>
        </is>
      </c>
      <c r="D190" t="inlineStr">
        <is>
          <t>Bulloneria e minuteria</t>
        </is>
      </c>
      <c r="E190" s="13" t="inlineStr">
        <is>
          <t>pz</t>
        </is>
      </c>
      <c r="F190" s="14">
        <f>IFERROR(VLOOKUP($B190,'SCHEDA BULLONERIA'!$A$40:$D$400,3,FALSE),"")</f>
        <v/>
      </c>
      <c r="G190" s="12">
        <f>IFERROR(VLOOKUP($B190,'SCHEDA BULLONERIA'!$A$40:$D$400,4,FALSE),"")</f>
        <v/>
      </c>
      <c r="H190" t="inlineStr">
        <is>
          <t>KIT INCLINOMETRO</t>
        </is>
      </c>
      <c r="I190" s="13" t="n">
        <v>1</v>
      </c>
    </row>
    <row r="191">
      <c r="A191" s="13" t="n">
        <v>187</v>
      </c>
      <c r="B191" t="inlineStr">
        <is>
          <t>CHSD7-60-S112-24.15.300-L1.2</t>
        </is>
      </c>
      <c r="C191" t="inlineStr">
        <is>
          <t>Motoriduttore</t>
        </is>
      </c>
      <c r="D191" t="inlineStr">
        <is>
          <t>Motorizzazione</t>
        </is>
      </c>
      <c r="E191" s="13" t="inlineStr">
        <is>
          <t>pz</t>
        </is>
      </c>
      <c r="F191" s="14">
        <f>IF(ISNUMBER(VLOOKUP($B191,'SCHEDA ELETTROMECCANICA'!$A$5:$D$400,3,FALSE)),VLOOKUP($B191,'SCHEDA ELETTROMECCANICA'!$A$5:$D$400,3,FALSE),"")</f>
        <v/>
      </c>
      <c r="G191" s="12">
        <f>IF(ISNUMBER(VLOOKUP($B191,'SCHEDA ELETTROMECCANICA'!$A$5:$D$400,4,FALSE)),VLOOKUP($B191,'SCHEDA ELETTROMECCANICA'!$A$5:$D$400,4,FALSE),"")</f>
        <v/>
      </c>
      <c r="H191" t="inlineStr">
        <is>
          <t>PILASTRO MOTORE</t>
        </is>
      </c>
      <c r="I191" s="13" t="n">
        <v>1</v>
      </c>
    </row>
    <row r="192">
      <c r="A192" s="13" t="n">
        <v>188</v>
      </c>
      <c r="B192" t="inlineStr">
        <is>
          <t>ESQM_2_0_120_1</t>
        </is>
      </c>
      <c r="C192" t="inlineStr">
        <is>
          <t>Cuscinetto asse di rotazione</t>
        </is>
      </c>
      <c r="D192" t="inlineStr">
        <is>
          <t>Cuscinetti</t>
        </is>
      </c>
      <c r="E192" s="13" t="inlineStr">
        <is>
          <t>pz</t>
        </is>
      </c>
      <c r="F192" s="14">
        <f>IF(ISNUMBER(VLOOKUP($B192,'SCHEDA ELETTROMECCANICA'!$A$5:$D$400,3,FALSE)),VLOOKUP($B192,'SCHEDA ELETTROMECCANICA'!$A$5:$D$400,3,FALSE),"")</f>
        <v/>
      </c>
      <c r="G192" s="12">
        <f>IF(ISNUMBER(VLOOKUP($B192,'SCHEDA ELETTROMECCANICA'!$A$5:$D$400,4,FALSE)),VLOOKUP($B192,'SCHEDA ELETTROMECCANICA'!$A$5:$D$400,4,FALSE),"")</f>
        <v/>
      </c>
      <c r="H192" t="inlineStr">
        <is>
          <t>PILASTRO CUSCINETTO</t>
        </is>
      </c>
      <c r="I192" s="13" t="n">
        <v>1</v>
      </c>
    </row>
    <row r="193">
      <c r="A193" s="13" t="n">
        <v>189</v>
      </c>
      <c r="B193" t="inlineStr">
        <is>
          <t>15T-JUNCTBOXIP65</t>
        </is>
      </c>
      <c r="C193" t="inlineStr">
        <is>
          <t>Box centralina meteo</t>
        </is>
      </c>
      <c r="D193" t="inlineStr">
        <is>
          <t>Quadristica ed elettrico</t>
        </is>
      </c>
      <c r="E193" s="13" t="inlineStr">
        <is>
          <t>pz</t>
        </is>
      </c>
      <c r="F193" s="14">
        <f>IF(ISNUMBER(VLOOKUP($B193,'SCHEDA ELETTROMECCANICA'!$A$5:$D$400,3,FALSE)),VLOOKUP($B193,'SCHEDA ELETTROMECCANICA'!$A$5:$D$400,3,FALSE),"")</f>
        <v/>
      </c>
      <c r="G193" s="12">
        <f>IF(ISNUMBER(VLOOKUP($B193,'SCHEDA ELETTROMECCANICA'!$A$5:$D$400,4,FALSE)),VLOOKUP($B193,'SCHEDA ELETTROMECCANICA'!$A$5:$D$400,4,FALSE),"")</f>
        <v/>
      </c>
      <c r="H193" t="inlineStr">
        <is>
          <t>kit quadri centralina meteo</t>
        </is>
      </c>
      <c r="I193" s="13" t="n">
        <v>1</v>
      </c>
    </row>
    <row r="194">
      <c r="A194" s="13" t="n">
        <v>190</v>
      </c>
      <c r="B194" t="inlineStr">
        <is>
          <t>B04601</t>
        </is>
      </c>
      <c r="C194" t="inlineStr">
        <is>
          <t>Quadro in vetroresina Pedro VTR 01</t>
        </is>
      </c>
      <c r="D194" t="inlineStr">
        <is>
          <t>Quadristica ed elettrico</t>
        </is>
      </c>
      <c r="E194" s="13" t="inlineStr">
        <is>
          <t>pz</t>
        </is>
      </c>
      <c r="F194" s="14">
        <f>IF(ISNUMBER(VLOOKUP($B194,'SCHEDA ELETTROMECCANICA'!$A$5:$D$400,3,FALSE)),VLOOKUP($B194,'SCHEDA ELETTROMECCANICA'!$A$5:$D$400,3,FALSE),"")</f>
        <v/>
      </c>
      <c r="G194" s="12">
        <f>IF(ISNUMBER(VLOOKUP($B194,'SCHEDA ELETTROMECCANICA'!$A$5:$D$400,4,FALSE)),VLOOKUP($B194,'SCHEDA ELETTROMECCANICA'!$A$5:$D$400,4,FALSE),"")</f>
        <v/>
      </c>
      <c r="H194" t="inlineStr">
        <is>
          <t>kit quadro motore, kit quadri centralina meteo</t>
        </is>
      </c>
      <c r="I194" s="13" t="n">
        <v>3</v>
      </c>
    </row>
    <row r="195">
      <c r="A195" s="13" t="n">
        <v>191</v>
      </c>
      <c r="B195" t="inlineStr">
        <is>
          <t>10S-FC</t>
        </is>
      </c>
      <c r="C195" t="inlineStr">
        <is>
          <t>Sensore fine corsa elettrico</t>
        </is>
      </c>
      <c r="D195" t="inlineStr">
        <is>
          <t>Sensoristica e strumentazione</t>
        </is>
      </c>
      <c r="E195" s="13" t="inlineStr">
        <is>
          <t>pz</t>
        </is>
      </c>
      <c r="F195" s="14">
        <f>IF(ISNUMBER(VLOOKUP($B195,'SCHEDA ELETTROMECCANICA'!$A$5:$D$400,3,FALSE)),VLOOKUP($B195,'SCHEDA ELETTROMECCANICA'!$A$5:$D$400,3,FALSE),"")</f>
        <v/>
      </c>
      <c r="G195" s="12">
        <f>IF(ISNUMBER(VLOOKUP($B195,'SCHEDA ELETTROMECCANICA'!$A$5:$D$400,4,FALSE)),VLOOKUP($B195,'SCHEDA ELETTROMECCANICA'!$A$5:$D$400,4,FALSE),"")</f>
        <v/>
      </c>
      <c r="H195" t="inlineStr">
        <is>
          <t>KIT FINE CORSA</t>
        </is>
      </c>
      <c r="I195" s="13" t="n">
        <v>1</v>
      </c>
    </row>
    <row r="196">
      <c r="A196" s="13" t="n">
        <v>192</v>
      </c>
      <c r="B196" t="inlineStr">
        <is>
          <t>15T-PIRANOMETRO</t>
        </is>
      </c>
      <c r="C196" t="inlineStr">
        <is>
          <t>Piranometro</t>
        </is>
      </c>
      <c r="D196" t="inlineStr">
        <is>
          <t>Sensoristica e strumentazione</t>
        </is>
      </c>
      <c r="E196" s="13" t="inlineStr">
        <is>
          <t>pz</t>
        </is>
      </c>
      <c r="F196" s="14">
        <f>IF(ISNUMBER(VLOOKUP($B196,'SCHEDA ELETTROMECCANICA'!$A$5:$D$400,3,FALSE)),VLOOKUP($B196,'SCHEDA ELETTROMECCANICA'!$A$5:$D$400,3,FALSE),"")</f>
        <v/>
      </c>
      <c r="G196" s="12">
        <f>IF(ISNUMBER(VLOOKUP($B196,'SCHEDA ELETTROMECCANICA'!$A$5:$D$400,4,FALSE)),VLOOKUP($B196,'SCHEDA ELETTROMECCANICA'!$A$5:$D$400,4,FALSE),"")</f>
        <v/>
      </c>
      <c r="H196" t="inlineStr">
        <is>
          <t>sensori meteo</t>
        </is>
      </c>
      <c r="I196" s="13" t="n">
        <v>1</v>
      </c>
    </row>
    <row r="197">
      <c r="A197" s="13" t="n">
        <v>193</v>
      </c>
      <c r="B197" t="inlineStr">
        <is>
          <t>15T-SENSVELVEN</t>
        </is>
      </c>
      <c r="C197" t="inlineStr">
        <is>
          <t>Anemometro</t>
        </is>
      </c>
      <c r="D197" t="inlineStr">
        <is>
          <t>Sensoristica e strumentazione</t>
        </is>
      </c>
      <c r="E197" s="13" t="inlineStr">
        <is>
          <t>pz</t>
        </is>
      </c>
      <c r="F197" s="14">
        <f>IF(ISNUMBER(VLOOKUP($B197,'SCHEDA ELETTROMECCANICA'!$A$5:$D$400,3,FALSE)),VLOOKUP($B197,'SCHEDA ELETTROMECCANICA'!$A$5:$D$400,3,FALSE),"")</f>
        <v/>
      </c>
      <c r="G197" s="12">
        <f>IF(ISNUMBER(VLOOKUP($B197,'SCHEDA ELETTROMECCANICA'!$A$5:$D$400,4,FALSE)),VLOOKUP($B197,'SCHEDA ELETTROMECCANICA'!$A$5:$D$400,4,FALSE),"")</f>
        <v/>
      </c>
      <c r="H197" t="inlineStr">
        <is>
          <t>sensori meteo</t>
        </is>
      </c>
      <c r="I197" s="13" t="n">
        <v>1</v>
      </c>
    </row>
    <row r="198">
      <c r="A198" s="13" t="n">
        <v>194</v>
      </c>
      <c r="B198" t="inlineStr">
        <is>
          <t>15T-TERMARIA</t>
        </is>
      </c>
      <c r="C198" t="inlineStr">
        <is>
          <t>Termometro Aria_ mSTA.l</t>
        </is>
      </c>
      <c r="D198" t="inlineStr">
        <is>
          <t>Sensoristica e strumentazione</t>
        </is>
      </c>
      <c r="E198" s="13" t="inlineStr">
        <is>
          <t>pz</t>
        </is>
      </c>
      <c r="F198" s="14">
        <f>IF(ISNUMBER(VLOOKUP($B198,'SCHEDA ELETTROMECCANICA'!$A$5:$D$400,3,FALSE)),VLOOKUP($B198,'SCHEDA ELETTROMECCANICA'!$A$5:$D$400,3,FALSE),"")</f>
        <v/>
      </c>
      <c r="G198" s="12">
        <f>IF(ISNUMBER(VLOOKUP($B198,'SCHEDA ELETTROMECCANICA'!$A$5:$D$400,4,FALSE)),VLOOKUP($B198,'SCHEDA ELETTROMECCANICA'!$A$5:$D$400,4,FALSE),"")</f>
        <v/>
      </c>
      <c r="H198" t="inlineStr">
        <is>
          <t>sensori meteo</t>
        </is>
      </c>
      <c r="I198" s="13" t="n">
        <v>1</v>
      </c>
    </row>
    <row r="199">
      <c r="A199" s="13" t="n">
        <v>195</v>
      </c>
      <c r="B199" t="inlineStr">
        <is>
          <t>15T-TERMCONTP10</t>
        </is>
      </c>
      <c r="C199" t="inlineStr">
        <is>
          <t>Termometro a contatto P100_STC-i</t>
        </is>
      </c>
      <c r="D199" t="inlineStr">
        <is>
          <t>Sensoristica e strumentazione</t>
        </is>
      </c>
      <c r="E199" s="13" t="inlineStr">
        <is>
          <t>pz</t>
        </is>
      </c>
      <c r="F199" s="14">
        <f>IF(ISNUMBER(VLOOKUP($B199,'SCHEDA ELETTROMECCANICA'!$A$5:$D$400,3,FALSE)),VLOOKUP($B199,'SCHEDA ELETTROMECCANICA'!$A$5:$D$400,3,FALSE),"")</f>
        <v/>
      </c>
      <c r="G199" s="12">
        <f>IF(ISNUMBER(VLOOKUP($B199,'SCHEDA ELETTROMECCANICA'!$A$5:$D$400,4,FALSE)),VLOOKUP($B199,'SCHEDA ELETTROMECCANICA'!$A$5:$D$400,4,FALSE),"")</f>
        <v/>
      </c>
      <c r="H199" t="inlineStr">
        <is>
          <t>sensori meteo</t>
        </is>
      </c>
      <c r="I199" s="13" t="n">
        <v>1</v>
      </c>
    </row>
    <row r="200">
      <c r="A200" s="13" t="n">
        <v>196</v>
      </c>
      <c r="B200" t="inlineStr">
        <is>
          <t>TK1024S</t>
        </is>
      </c>
      <c r="C200" t="inlineStr">
        <is>
          <t>Inclinometro</t>
        </is>
      </c>
      <c r="D200" t="inlineStr">
        <is>
          <t>Sensoristica e strumentazione</t>
        </is>
      </c>
      <c r="E200" s="13" t="inlineStr">
        <is>
          <t>pz</t>
        </is>
      </c>
      <c r="F200" s="14">
        <f>IF(ISNUMBER(VLOOKUP($B200,'SCHEDA ELETTROMECCANICA'!$A$5:$D$400,3,FALSE)),VLOOKUP($B200,'SCHEDA ELETTROMECCANICA'!$A$5:$D$400,3,FALSE),"")</f>
        <v/>
      </c>
      <c r="G200" s="12">
        <f>IF(ISNUMBER(VLOOKUP($B200,'SCHEDA ELETTROMECCANICA'!$A$5:$D$400,4,FALSE)),VLOOKUP($B200,'SCHEDA ELETTROMECCANICA'!$A$5:$D$400,4,FALSE),"")</f>
        <v/>
      </c>
      <c r="H200" t="inlineStr">
        <is>
          <t>KIT INCLINOMETRO</t>
        </is>
      </c>
      <c r="I200" s="13" t="n">
        <v>1</v>
      </c>
    </row>
    <row r="201">
      <c r="A201" s="13" t="n">
        <v>197</v>
      </c>
      <c r="C201" t="inlineStr">
        <is>
          <t>Pannellino fotovoltaico optional</t>
        </is>
      </c>
      <c r="D201" t="inlineStr">
        <is>
          <t>Moduli fotovoltaici</t>
        </is>
      </c>
      <c r="E201" s="13" t="inlineStr">
        <is>
          <t>pz</t>
        </is>
      </c>
      <c r="F201" s="14" t="n"/>
      <c r="G201" s="12" t="n"/>
      <c r="I201" s="13" t="n"/>
    </row>
    <row r="202">
      <c r="A202" s="13" t="n">
        <v>198</v>
      </c>
      <c r="C202" t="inlineStr">
        <is>
          <t>Pannello fotovoltaico</t>
        </is>
      </c>
      <c r="D202" t="inlineStr">
        <is>
          <t>Moduli fotovoltaici</t>
        </is>
      </c>
      <c r="E202" s="13" t="inlineStr">
        <is>
          <t>pz</t>
        </is>
      </c>
      <c r="F202" s="14" t="n"/>
      <c r="G202" s="12" t="n"/>
      <c r="I202" s="13" t="n"/>
    </row>
  </sheetData>
  <autoFilter ref="A4:I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>
      <c r="A74" s="4" t="inlineStr">
        <is>
          <t>PILASTRO MOTORE</t>
        </is>
      </c>
      <c r="B74" s="4" t="n"/>
      <c r="C74" s="11" t="n">
        <v>3</v>
      </c>
      <c r="D74" s="4" t="inlineStr">
        <is>
          <t>10BZM10X40</t>
        </is>
      </c>
      <c r="E74" s="4" t="inlineStr">
        <is>
          <t>Bullone testa esagonale M10X40</t>
        </is>
      </c>
      <c r="F74" s="4" t="inlineStr">
        <is>
          <t>Bulloneria e minuteria</t>
        </is>
      </c>
      <c r="G74" s="11" t="n">
        <v>8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>
      <c r="A75" s="4" t="inlineStr">
        <is>
          <t>PILASTRO MOTORE</t>
        </is>
      </c>
      <c r="B75" s="4" t="n"/>
      <c r="C75" s="11" t="n">
        <v>4</v>
      </c>
      <c r="D75" s="4" t="inlineStr">
        <is>
          <t>10ROND10</t>
        </is>
      </c>
      <c r="E75" s="4" t="inlineStr">
        <is>
          <t>Rondella zn da 10</t>
        </is>
      </c>
      <c r="F75" s="4" t="inlineStr">
        <is>
          <t>Bulloneria e minuteria</t>
        </is>
      </c>
      <c r="G75" s="11" t="n">
        <v>16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>
      <c r="A76" s="4" t="inlineStr">
        <is>
          <t>PILASTRO MOTORE</t>
        </is>
      </c>
      <c r="B76" s="4" t="n"/>
      <c r="C76" s="11" t="n">
        <v>5</v>
      </c>
      <c r="D76" s="4" t="inlineStr">
        <is>
          <t>10DAZAM10</t>
        </is>
      </c>
      <c r="E76" s="4" t="inlineStr">
        <is>
          <t>Dado autobloccante M10</t>
        </is>
      </c>
      <c r="F76" s="4" t="inlineStr">
        <is>
          <t>Bulloneria e minuteria</t>
        </is>
      </c>
      <c r="G76" s="11" t="n">
        <v>8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>
      <c r="A77" s="4" t="inlineStr">
        <is>
          <t>PILASTRO MOTORE</t>
        </is>
      </c>
      <c r="B77" s="4" t="n"/>
      <c r="C77" s="11" t="n">
        <v>2</v>
      </c>
      <c r="D77" s="4" t="inlineStr">
        <is>
          <t>CHSD7-60-S112-24.15.300-L1.2</t>
        </is>
      </c>
      <c r="E77" s="4" t="inlineStr">
        <is>
          <t>Motoriduttore</t>
        </is>
      </c>
      <c r="F77" s="4" t="inlineStr">
        <is>
          <t>Motorizzazione</t>
        </is>
      </c>
      <c r="G77" s="11" t="n">
        <v>1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>
      <c r="A78" s="4" t="inlineStr">
        <is>
          <t>PILASTRO MOTORE</t>
        </is>
      </c>
      <c r="B78" s="4" t="n"/>
      <c r="C78" s="11" t="n">
        <v>3</v>
      </c>
      <c r="D78" s="4" t="inlineStr">
        <is>
          <t>10BZM16X60</t>
        </is>
      </c>
      <c r="E78" s="4" t="inlineStr">
        <is>
          <t>Bullone testa esagonale M16X60</t>
        </is>
      </c>
      <c r="F78" s="4" t="inlineStr">
        <is>
          <t>Bulloneria e minuteria</t>
        </is>
      </c>
      <c r="G78" s="11" t="n">
        <v>4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>
      <c r="A79" s="4" t="inlineStr">
        <is>
          <t>PILASTRO MOTORE</t>
        </is>
      </c>
      <c r="B79" s="4" t="n"/>
      <c r="C79" s="11" t="n">
        <v>4</v>
      </c>
      <c r="D79" s="4" t="inlineStr">
        <is>
          <t>10ROND16</t>
        </is>
      </c>
      <c r="E79" s="4" t="inlineStr">
        <is>
          <t>Rondella zn da 16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1</v>
      </c>
      <c r="D80" s="4" t="inlineStr">
        <is>
          <t>TTS.PM.003.IPE140</t>
        </is>
      </c>
      <c r="E80" s="4" t="inlineStr">
        <is>
          <t>Testa riduttore pilastro motore</t>
        </is>
      </c>
      <c r="F80" s="4" t="inlineStr">
        <is>
          <t>Carpenteria metallica</t>
        </is>
      </c>
      <c r="G80" s="11" t="n">
        <v>1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>
      <c r="A81" s="4" t="inlineStr">
        <is>
          <t>PILASTRO MOTORE</t>
        </is>
      </c>
      <c r="B81" s="4" t="n"/>
      <c r="C81" s="11" t="n">
        <v>5</v>
      </c>
      <c r="D81" s="4" t="inlineStr">
        <is>
          <t>10ROND16</t>
        </is>
      </c>
      <c r="E81" s="4" t="inlineStr">
        <is>
          <t>Rondella zn da 16</t>
        </is>
      </c>
      <c r="F81" s="4" t="inlineStr">
        <is>
          <t>Bulloneria e minuteria</t>
        </is>
      </c>
      <c r="G81" s="11" t="n">
        <v>4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>
      <c r="A82" s="4" t="inlineStr">
        <is>
          <t>PILASTRO MOTORE</t>
        </is>
      </c>
      <c r="B82" s="4" t="n"/>
      <c r="C82" s="11" t="n">
        <v>6</v>
      </c>
      <c r="D82" s="4" t="inlineStr">
        <is>
          <t>10DAZAM16</t>
        </is>
      </c>
      <c r="E82" s="4" t="inlineStr">
        <is>
          <t>Dado autobloccante M16</t>
        </is>
      </c>
      <c r="F82" s="4" t="inlineStr">
        <is>
          <t>Bulloneria e minuteria</t>
        </is>
      </c>
      <c r="G82" s="11" t="n">
        <v>4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CUSCINETTO</t>
        </is>
      </c>
      <c r="B83" s="4" t="n"/>
      <c r="C83" s="11" t="n">
        <v>1</v>
      </c>
      <c r="D83" s="4" t="inlineStr">
        <is>
          <t>TTS.PF.001.IPE140.30</t>
        </is>
      </c>
      <c r="E83" s="4" t="inlineStr">
        <is>
          <t>Pilastro fondazione trave IPE140 mt3,00</t>
        </is>
      </c>
      <c r="F83" s="4" t="inlineStr">
        <is>
          <t>Carpenteria metallica</t>
        </is>
      </c>
      <c r="G83" s="11" t="n">
        <v>1</v>
      </c>
      <c r="H83" s="11" t="n">
        <v>2</v>
      </c>
      <c r="I83" s="11" t="n">
        <v>4</v>
      </c>
      <c r="J83" s="11" t="n">
        <v>4</v>
      </c>
      <c r="K83" s="11" t="n">
        <v>4</v>
      </c>
      <c r="L83" s="11" t="n">
        <v>8</v>
      </c>
      <c r="M83" s="11" t="n">
        <v>10</v>
      </c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CUSCINETTO</t>
        </is>
      </c>
      <c r="B84" s="4" t="n"/>
      <c r="C84" s="11" t="n">
        <v>2</v>
      </c>
      <c r="D84" s="4" t="inlineStr">
        <is>
          <t>TTS.PC.001.IPE140.23</t>
        </is>
      </c>
      <c r="E84" s="4" t="inlineStr">
        <is>
          <t>Pilastro cuscinetto trave IPE 140 mt.2,30</t>
        </is>
      </c>
      <c r="F84" s="4" t="inlineStr">
        <is>
          <t>Carpenteria metallica</t>
        </is>
      </c>
      <c r="G84" s="11" t="n">
        <v>1</v>
      </c>
      <c r="H84" s="11" t="n">
        <v>2</v>
      </c>
      <c r="I84" s="11" t="n">
        <v>4</v>
      </c>
      <c r="J84" s="11" t="n">
        <v>4</v>
      </c>
      <c r="K84" s="11" t="n">
        <v>4</v>
      </c>
      <c r="L84" s="11" t="n">
        <v>8</v>
      </c>
      <c r="M84" s="11" t="n">
        <v>10</v>
      </c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2</v>
      </c>
      <c r="D85" s="4" t="inlineStr">
        <is>
          <t>TTS.PC.001.IPEA140.23</t>
        </is>
      </c>
      <c r="E85" s="4" t="inlineStr">
        <is>
          <t>Pilastro cuscinetto trave IPEA 140 mt.2,30 (alleggerita)</t>
        </is>
      </c>
      <c r="F85" s="4" t="inlineStr">
        <is>
          <t>Carpenteria metallica</t>
        </is>
      </c>
      <c r="G85" s="11" t="n">
        <v>0</v>
      </c>
      <c r="H85" s="11" t="n"/>
      <c r="I85" s="11" t="n"/>
      <c r="J85" s="11" t="n"/>
      <c r="K85" s="11" t="n"/>
      <c r="L85" s="11" t="n"/>
      <c r="M85" s="11" t="n"/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TTS.PC.001.IPE140.28</t>
        </is>
      </c>
      <c r="E86" s="4" t="inlineStr">
        <is>
          <t>Pilastro cuscinetto trave IPE 140 mt.2,80</t>
        </is>
      </c>
      <c r="F86" s="4" t="inlineStr">
        <is>
          <t>Carpenteria metallica</t>
        </is>
      </c>
      <c r="G86" s="11" t="n">
        <v>0</v>
      </c>
      <c r="H86" s="11" t="n"/>
      <c r="I86" s="11" t="n"/>
      <c r="J86" s="11" t="n"/>
      <c r="K86" s="11" t="n"/>
      <c r="L86" s="11" t="n"/>
      <c r="M86" s="11" t="n"/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TTS.PC.001.IPEA140.28</t>
        </is>
      </c>
      <c r="E87" s="4" t="inlineStr">
        <is>
          <t>Pilastro cuscinetto trave IPEA 140 mt.2,80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TTS.PC.001.IPE140.29</t>
        </is>
      </c>
      <c r="E88" s="4" t="inlineStr">
        <is>
          <t>Pilastro cuscinetto trave IPE 140 mt.2,90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TTS.PC.001.IPEA140.29</t>
        </is>
      </c>
      <c r="E89" s="4" t="inlineStr">
        <is>
          <t>Pilastro cuscinetto trave IPEA 140 mt.2,90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TTS.PC.001.IPE140.30</t>
        </is>
      </c>
      <c r="E90" s="4" t="inlineStr">
        <is>
          <t>Pilastro cuscinetto trave IPE 140 mt.3,00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TTS.PC.001.IPEA140.30</t>
        </is>
      </c>
      <c r="E91" s="4" t="inlineStr">
        <is>
          <t>Pilastro cuscinetto trave IPEA 140 mt.3,00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TTS.PC.001.IPE140.31</t>
        </is>
      </c>
      <c r="E92" s="4" t="inlineStr">
        <is>
          <t>Pilastro cuscinetto trave IPE 140 mt.3,10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TTS.PC.001.IPEA140.31</t>
        </is>
      </c>
      <c r="E93" s="4" t="inlineStr">
        <is>
          <t>Pilastro cuscinetto trave IPEA 140 mt.3,10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TTS.PC.001.IPE140.32</t>
        </is>
      </c>
      <c r="E94" s="4" t="inlineStr">
        <is>
          <t>Pilastro cuscinetto trave IPE 140 mt.3,20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TTS.PC.001.IPEA140.32</t>
        </is>
      </c>
      <c r="E95" s="4" t="inlineStr">
        <is>
          <t>Pilastro cuscinetto trave IPEA 140 mt.3,20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TTS.PC.001.IPE140.33</t>
        </is>
      </c>
      <c r="E96" s="4" t="inlineStr">
        <is>
          <t>Pilastro cuscinetto trave IPE 140 mt.3,30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TTS.PC.001.IPEA140.33</t>
        </is>
      </c>
      <c r="E97" s="4" t="inlineStr">
        <is>
          <t>Pilastro cuscinetto trave IPEA 140 mt.3,30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TTS.PC.001.IPE140.34</t>
        </is>
      </c>
      <c r="E98" s="4" t="inlineStr">
        <is>
          <t>Pilastro cuscinetto trave IPE 140 mt.3,40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TTS.PC.001.IPEA140.34</t>
        </is>
      </c>
      <c r="E99" s="4" t="inlineStr">
        <is>
          <t>Pilastro cuscinetto trave IPEA 140 mt.3,40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TTS.PC.001.IPE140.35</t>
        </is>
      </c>
      <c r="E100" s="4" t="inlineStr">
        <is>
          <t>Pilastro cuscinetto trave IPE 140 mt.3,50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TTS.PC.001.IPEA140.35</t>
        </is>
      </c>
      <c r="E101" s="4" t="inlineStr">
        <is>
          <t>Pilastro cuscinetto trave IPEA 140 mt.3,50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TTS.PC.001.IPE140.36</t>
        </is>
      </c>
      <c r="E102" s="4" t="inlineStr">
        <is>
          <t>Pilastro cuscinetto trave IPE 140 mt.3,60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TTS.PC.001.IPEA140.36</t>
        </is>
      </c>
      <c r="E103" s="4" t="inlineStr">
        <is>
          <t>Pilastro cuscinetto trave IPEA 140 mt.3,60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TTS.PC.001.IPE140.37</t>
        </is>
      </c>
      <c r="E104" s="4" t="inlineStr">
        <is>
          <t>Pilastro cuscinetto trave IPE 140 mt.3,70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TTS.PC.001.IPEA140.37</t>
        </is>
      </c>
      <c r="E105" s="4" t="inlineStr">
        <is>
          <t>Pilastro cuscinetto trave IPEA 140 mt.3,70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TTS.PC.001.IPE140.38</t>
        </is>
      </c>
      <c r="E106" s="4" t="inlineStr">
        <is>
          <t>Pilastro cuscinetto trave IPE 140 mt.3,80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TTS.PC.001.IPEA140.38</t>
        </is>
      </c>
      <c r="E107" s="4" t="inlineStr">
        <is>
          <t>Pilastro cuscinetto trave IPEA 140 mt.3,80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TTS.PC.001.IPE140.39</t>
        </is>
      </c>
      <c r="E108" s="4" t="inlineStr">
        <is>
          <t>Pilastro cuscinetto trave IPE 140 mt.3,90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TTS.PC.001.IPEA140.39</t>
        </is>
      </c>
      <c r="E109" s="4" t="inlineStr">
        <is>
          <t>Pilastro cuscinetto trave IPEA 140 mt.3,90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TTS.PC.001.IPE140.40</t>
        </is>
      </c>
      <c r="E110" s="4" t="inlineStr">
        <is>
          <t>Pilastro cuscinetto trave IPE 140 mt.4,00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TTS.PC.001.IPEA140.40</t>
        </is>
      </c>
      <c r="E111" s="4" t="inlineStr">
        <is>
          <t>Pilastro cuscinetto trave IPEA 140 mt.4,00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TTS.PC.001.IPE140.41</t>
        </is>
      </c>
      <c r="E112" s="4" t="inlineStr">
        <is>
          <t>Pilastro cuscinetto trave IPE 140 mt.4,10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TTS.PC.001.IPEA140.41</t>
        </is>
      </c>
      <c r="E113" s="4" t="inlineStr">
        <is>
          <t>Pilastro cuscinetto trave IPEA 140 mt.4,10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TTS.PC.001.IPE140.42</t>
        </is>
      </c>
      <c r="E114" s="4" t="inlineStr">
        <is>
          <t>Pilastro cuscinetto trave IPE 140 mt.4,20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TTS.PC.001.IPEA140.42</t>
        </is>
      </c>
      <c r="E115" s="4" t="inlineStr">
        <is>
          <t>Pilastro cuscinetto trave IPEA 140 mt.4,20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TTS.PC.001.IPE140.43</t>
        </is>
      </c>
      <c r="E116" s="4" t="inlineStr">
        <is>
          <t>Pilastro cuscinetto trave IPE 140 mt.4,30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TTS.PC.001.IPEA140.43</t>
        </is>
      </c>
      <c r="E117" s="4" t="inlineStr">
        <is>
          <t>Pilastro cuscinetto trave IPEA 140 mt.4,30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TTS.PC.001.IPE140.44</t>
        </is>
      </c>
      <c r="E118" s="4" t="inlineStr">
        <is>
          <t>Pilastro cuscinetto trave IPE 140 mt.4,40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TTS.PC.001.IPEA140.44</t>
        </is>
      </c>
      <c r="E119" s="4" t="inlineStr">
        <is>
          <t>Pilastro cuscinetto trave IPEA 140 mt.4,40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TTS.PC.001.IPE140.45</t>
        </is>
      </c>
      <c r="E120" s="4" t="inlineStr">
        <is>
          <t>Pilastro cuscinetto trave IPE 140 mt.4,50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TTS.PC.001.IPEA140.45</t>
        </is>
      </c>
      <c r="E121" s="4" t="inlineStr">
        <is>
          <t>Pilastro cuscinetto trave IPEA 140 mt.4,50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3</v>
      </c>
      <c r="D122" s="4" t="inlineStr">
        <is>
          <t>TTS.PF.002.IPE140</t>
        </is>
      </c>
      <c r="E122" s="4" t="inlineStr">
        <is>
          <t>Piastra giunzione montanti centrale 200x100x4 (8 fori Ø 11)</t>
        </is>
      </c>
      <c r="F122" s="4" t="inlineStr">
        <is>
          <t>Carpenteria metallica</t>
        </is>
      </c>
      <c r="G122" s="11" t="n">
        <v>2</v>
      </c>
      <c r="H122" s="11" t="n">
        <v>4</v>
      </c>
      <c r="I122" s="11" t="n">
        <v>8</v>
      </c>
      <c r="J122" s="11" t="n">
        <v>8</v>
      </c>
      <c r="K122" s="11" t="n">
        <v>8</v>
      </c>
      <c r="L122" s="11" t="n">
        <v>16</v>
      </c>
      <c r="M122" s="11" t="n">
        <v>20</v>
      </c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>
      <c r="A123" s="4" t="inlineStr">
        <is>
          <t>PILASTRO CUSCINETTO</t>
        </is>
      </c>
      <c r="B123" s="4" t="n"/>
      <c r="C123" s="11" t="n">
        <v>4</v>
      </c>
      <c r="D123" s="4" t="inlineStr">
        <is>
          <t>10BZM10X40</t>
        </is>
      </c>
      <c r="E123" s="4" t="inlineStr">
        <is>
          <t>Bullone testa esagonale M10X40</t>
        </is>
      </c>
      <c r="F123" s="4" t="inlineStr">
        <is>
          <t>Bulloneria e minuteria</t>
        </is>
      </c>
      <c r="G123" s="11" t="n">
        <v>8</v>
      </c>
      <c r="H123" s="11" t="n">
        <v>16</v>
      </c>
      <c r="I123" s="11" t="n">
        <v>32</v>
      </c>
      <c r="J123" s="11" t="n">
        <v>32</v>
      </c>
      <c r="K123" s="11" t="n">
        <v>32</v>
      </c>
      <c r="L123" s="11" t="n">
        <v>64</v>
      </c>
      <c r="M123" s="11" t="n">
        <v>80</v>
      </c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>
      <c r="A124" s="4" t="inlineStr">
        <is>
          <t>PILASTRO CUSCINETTO</t>
        </is>
      </c>
      <c r="B124" s="4" t="n"/>
      <c r="C124" s="11" t="n">
        <v>5</v>
      </c>
      <c r="D124" s="4" t="inlineStr">
        <is>
          <t>10ROND10</t>
        </is>
      </c>
      <c r="E124" s="4" t="inlineStr">
        <is>
          <t>Rondella zn da 10</t>
        </is>
      </c>
      <c r="F124" s="4" t="inlineStr">
        <is>
          <t>Bulloneria e minuteria</t>
        </is>
      </c>
      <c r="G124" s="11" t="n">
        <v>8</v>
      </c>
      <c r="H124" s="11" t="n">
        <v>16</v>
      </c>
      <c r="I124" s="11" t="n">
        <v>32</v>
      </c>
      <c r="J124" s="11" t="n">
        <v>32</v>
      </c>
      <c r="K124" s="11" t="n">
        <v>32</v>
      </c>
      <c r="L124" s="11" t="n">
        <v>64</v>
      </c>
      <c r="M124" s="11" t="n">
        <v>80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>
      <c r="A125" s="4" t="inlineStr">
        <is>
          <t>PILASTRO CUSCINETTO</t>
        </is>
      </c>
      <c r="B125" s="4" t="n"/>
      <c r="C125" s="11" t="n">
        <v>6</v>
      </c>
      <c r="D125" s="4" t="inlineStr">
        <is>
          <t>10ROND10</t>
        </is>
      </c>
      <c r="E125" s="4" t="inlineStr">
        <is>
          <t>Rondella zn da 10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>
      <c r="A126" s="4" t="inlineStr">
        <is>
          <t>PILASTRO CUSCINETTO</t>
        </is>
      </c>
      <c r="B126" s="4" t="n"/>
      <c r="C126" s="11" t="n">
        <v>7</v>
      </c>
      <c r="D126" s="4" t="inlineStr">
        <is>
          <t>10DAZAM10</t>
        </is>
      </c>
      <c r="E126" s="4" t="inlineStr">
        <is>
          <t>Dado autobloccante M10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1</v>
      </c>
      <c r="D127" s="4" t="inlineStr">
        <is>
          <t>TTS.PF.003.IPE140</t>
        </is>
      </c>
      <c r="E127" s="4" t="inlineStr">
        <is>
          <t>Piastra giunzione montanti esterna 240x70x6 (12 fori Ø 11)</t>
        </is>
      </c>
      <c r="F127" s="4" t="inlineStr">
        <is>
          <t>Carpenteria metallica</t>
        </is>
      </c>
      <c r="G127" s="11" t="n">
        <v>2</v>
      </c>
      <c r="H127" s="11" t="n">
        <v>4</v>
      </c>
      <c r="I127" s="11" t="n">
        <v>8</v>
      </c>
      <c r="J127" s="11" t="n">
        <v>8</v>
      </c>
      <c r="K127" s="11" t="n">
        <v>8</v>
      </c>
      <c r="L127" s="11" t="n">
        <v>16</v>
      </c>
      <c r="M127" s="11" t="n">
        <v>20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2</v>
      </c>
      <c r="D128" s="4" t="inlineStr">
        <is>
          <t>TTS.PF.004.IPE140</t>
        </is>
      </c>
      <c r="E128" s="4" t="inlineStr">
        <is>
          <t>Piastra giunzione montanti interna 240x25x6 (6 fori Ø 11)</t>
        </is>
      </c>
      <c r="F128" s="4" t="inlineStr">
        <is>
          <t>Carpenteria metallica</t>
        </is>
      </c>
      <c r="G128" s="11" t="n">
        <v>4</v>
      </c>
      <c r="H128" s="11" t="n">
        <v>8</v>
      </c>
      <c r="I128" s="11" t="n">
        <v>16</v>
      </c>
      <c r="J128" s="11" t="n">
        <v>16</v>
      </c>
      <c r="K128" s="11" t="n">
        <v>16</v>
      </c>
      <c r="L128" s="11" t="n">
        <v>32</v>
      </c>
      <c r="M128" s="11" t="n">
        <v>40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>
      <c r="A129" s="4" t="inlineStr">
        <is>
          <t>PILASTRO CUSCINETTO</t>
        </is>
      </c>
      <c r="B129" s="4" t="n"/>
      <c r="C129" s="11" t="n">
        <v>3</v>
      </c>
      <c r="D129" s="4" t="inlineStr">
        <is>
          <t>10BZM10X40</t>
        </is>
      </c>
      <c r="E129" s="4" t="inlineStr">
        <is>
          <t>Bullone testa esagonale M10X40</t>
        </is>
      </c>
      <c r="F129" s="4" t="inlineStr">
        <is>
          <t>Bulloneria e minuteria</t>
        </is>
      </c>
      <c r="G129" s="11" t="n">
        <v>24</v>
      </c>
      <c r="H129" s="11" t="n">
        <v>48</v>
      </c>
      <c r="I129" s="11" t="n">
        <v>96</v>
      </c>
      <c r="J129" s="11" t="n">
        <v>96</v>
      </c>
      <c r="K129" s="11" t="n">
        <v>96</v>
      </c>
      <c r="L129" s="11" t="n">
        <v>192</v>
      </c>
      <c r="M129" s="11" t="n">
        <v>240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>
      <c r="A130" s="4" t="inlineStr">
        <is>
          <t>PILASTRO CUSCINETTO</t>
        </is>
      </c>
      <c r="B130" s="4" t="n"/>
      <c r="C130" s="11" t="n">
        <v>4</v>
      </c>
      <c r="D130" s="4" t="inlineStr">
        <is>
          <t>10ROND10</t>
        </is>
      </c>
      <c r="E130" s="4" t="inlineStr">
        <is>
          <t>Rondella zn da 10</t>
        </is>
      </c>
      <c r="F130" s="4" t="inlineStr">
        <is>
          <t>Bulloneria e minuteria</t>
        </is>
      </c>
      <c r="G130" s="11" t="n">
        <v>24</v>
      </c>
      <c r="H130" s="11" t="n">
        <v>48</v>
      </c>
      <c r="I130" s="11" t="n">
        <v>96</v>
      </c>
      <c r="J130" s="11" t="n">
        <v>96</v>
      </c>
      <c r="K130" s="11" t="n">
        <v>96</v>
      </c>
      <c r="L130" s="11" t="n">
        <v>192</v>
      </c>
      <c r="M130" s="11" t="n">
        <v>240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>
      <c r="A131" s="4" t="inlineStr">
        <is>
          <t>PILASTRO CUSCINETTO</t>
        </is>
      </c>
      <c r="B131" s="4" t="n"/>
      <c r="C131" s="11" t="n">
        <v>5</v>
      </c>
      <c r="D131" s="4" t="inlineStr">
        <is>
          <t>10ROND10</t>
        </is>
      </c>
      <c r="E131" s="4" t="inlineStr">
        <is>
          <t>Rondella zn da 10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>
      <c r="A132" s="4" t="inlineStr">
        <is>
          <t>PILASTRO CUSCINETTO</t>
        </is>
      </c>
      <c r="B132" s="4" t="n"/>
      <c r="C132" s="11" t="n">
        <v>6</v>
      </c>
      <c r="D132" s="4" t="inlineStr">
        <is>
          <t>10DAZAM10</t>
        </is>
      </c>
      <c r="E132" s="4" t="inlineStr">
        <is>
          <t>Dado autobloccante M10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2</v>
      </c>
      <c r="D133" s="4" t="inlineStr">
        <is>
          <t>TTS.PC.002.IPE140</t>
        </is>
      </c>
      <c r="E133" s="4" t="inlineStr">
        <is>
          <t>Supporto laterale testa cuscinetto</t>
        </is>
      </c>
      <c r="F133" s="4" t="inlineStr">
        <is>
          <t>Carpenteria metallica</t>
        </is>
      </c>
      <c r="G133" s="11" t="n">
        <v>2</v>
      </c>
      <c r="H133" s="11" t="n">
        <v>4</v>
      </c>
      <c r="I133" s="11" t="n">
        <v>8</v>
      </c>
      <c r="J133" s="11" t="n">
        <v>8</v>
      </c>
      <c r="K133" s="11" t="n">
        <v>8</v>
      </c>
      <c r="L133" s="11" t="n">
        <v>16</v>
      </c>
      <c r="M133" s="11" t="n">
        <v>20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3</v>
      </c>
      <c r="D134" s="4" t="inlineStr">
        <is>
          <t>TTS.PC.003.IPE140</t>
        </is>
      </c>
      <c r="E134" s="4" t="inlineStr">
        <is>
          <t>Supporto testa cuscinetto</t>
        </is>
      </c>
      <c r="F134" s="4" t="inlineStr">
        <is>
          <t>Carpenteria metallica</t>
        </is>
      </c>
      <c r="G134" s="11" t="n">
        <v>1</v>
      </c>
      <c r="H134" s="11" t="n">
        <v>2</v>
      </c>
      <c r="I134" s="11" t="n">
        <v>4</v>
      </c>
      <c r="J134" s="11" t="n">
        <v>4</v>
      </c>
      <c r="K134" s="11" t="n">
        <v>4</v>
      </c>
      <c r="L134" s="11" t="n">
        <v>8</v>
      </c>
      <c r="M134" s="11" t="n">
        <v>10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>
      <c r="A135" s="4" t="inlineStr">
        <is>
          <t>PILASTRO CUSCINETTO</t>
        </is>
      </c>
      <c r="B135" s="4" t="n"/>
      <c r="C135" s="11" t="n">
        <v>4</v>
      </c>
      <c r="D135" s="4" t="inlineStr">
        <is>
          <t>10BZ10X30</t>
        </is>
      </c>
      <c r="E135" s="4" t="inlineStr">
        <is>
          <t>Bullone testa esagonale M10X30</t>
        </is>
      </c>
      <c r="F135" s="4" t="inlineStr">
        <is>
          <t>Bulloneria e minuteria</t>
        </is>
      </c>
      <c r="G135" s="11" t="n">
        <v>4</v>
      </c>
      <c r="H135" s="11" t="n">
        <v>8</v>
      </c>
      <c r="I135" s="11" t="n">
        <v>16</v>
      </c>
      <c r="J135" s="11" t="n">
        <v>16</v>
      </c>
      <c r="K135" s="11" t="n">
        <v>16</v>
      </c>
      <c r="L135" s="11" t="n">
        <v>32</v>
      </c>
      <c r="M135" s="11" t="n">
        <v>40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>
      <c r="A136" s="4" t="inlineStr">
        <is>
          <t>PILASTRO CUSCINETTO</t>
        </is>
      </c>
      <c r="B136" s="4" t="n"/>
      <c r="C136" s="11" t="n">
        <v>5</v>
      </c>
      <c r="D136" s="4" t="inlineStr">
        <is>
          <t>10ROND10</t>
        </is>
      </c>
      <c r="E136" s="4" t="inlineStr">
        <is>
          <t>Rondella zn da 10</t>
        </is>
      </c>
      <c r="F136" s="4" t="inlineStr">
        <is>
          <t>Bulloneria e minuteria</t>
        </is>
      </c>
      <c r="G136" s="11" t="n">
        <v>4</v>
      </c>
      <c r="H136" s="11" t="n">
        <v>8</v>
      </c>
      <c r="I136" s="11" t="n">
        <v>16</v>
      </c>
      <c r="J136" s="11" t="n">
        <v>16</v>
      </c>
      <c r="K136" s="11" t="n">
        <v>16</v>
      </c>
      <c r="L136" s="11" t="n">
        <v>32</v>
      </c>
      <c r="M136" s="11" t="n">
        <v>40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>
      <c r="A137" s="4" t="inlineStr">
        <is>
          <t>PILASTRO CUSCINETTO</t>
        </is>
      </c>
      <c r="B137" s="4" t="n"/>
      <c r="C137" s="11" t="n">
        <v>6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4</v>
      </c>
      <c r="H137" s="11" t="n">
        <v>8</v>
      </c>
      <c r="I137" s="11" t="n">
        <v>16</v>
      </c>
      <c r="J137" s="11" t="n">
        <v>16</v>
      </c>
      <c r="K137" s="11" t="n">
        <v>16</v>
      </c>
      <c r="L137" s="11" t="n">
        <v>32</v>
      </c>
      <c r="M137" s="11" t="n">
        <v>40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>
      <c r="A138" s="4" t="inlineStr">
        <is>
          <t>PILASTRO CUSCINETTO</t>
        </is>
      </c>
      <c r="B138" s="4" t="n"/>
      <c r="C138" s="11" t="n">
        <v>7</v>
      </c>
      <c r="D138" s="4" t="inlineStr">
        <is>
          <t>10DAZAM10</t>
        </is>
      </c>
      <c r="E138" s="4" t="inlineStr">
        <is>
          <t>Dado autobloccante M10</t>
        </is>
      </c>
      <c r="F138" s="4" t="inlineStr">
        <is>
          <t>Bulloneria e minuteria</t>
        </is>
      </c>
      <c r="G138" s="11" t="n">
        <v>4</v>
      </c>
      <c r="H138" s="11" t="n">
        <v>8</v>
      </c>
      <c r="I138" s="11" t="n">
        <v>16</v>
      </c>
      <c r="J138" s="11" t="n">
        <v>16</v>
      </c>
      <c r="K138" s="11" t="n">
        <v>16</v>
      </c>
      <c r="L138" s="11" t="n">
        <v>32</v>
      </c>
      <c r="M138" s="11" t="n">
        <v>40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>
      <c r="A139" s="4" t="inlineStr">
        <is>
          <t>PILASTRO CUSCINETTO</t>
        </is>
      </c>
      <c r="B139" s="4" t="n"/>
      <c r="C139" s="11" t="n">
        <v>2</v>
      </c>
      <c r="D139" s="4" t="inlineStr">
        <is>
          <t>ESQM_2_0_120_1</t>
        </is>
      </c>
      <c r="E139" s="4" t="inlineStr">
        <is>
          <t>Cuscinetto asse di rotazione</t>
        </is>
      </c>
      <c r="F139" s="4" t="inlineStr">
        <is>
          <t>Cuscinetti</t>
        </is>
      </c>
      <c r="G139" s="11" t="n">
        <v>1</v>
      </c>
      <c r="H139" s="11" t="n">
        <v>2</v>
      </c>
      <c r="I139" s="11" t="n">
        <v>4</v>
      </c>
      <c r="J139" s="11" t="n">
        <v>4</v>
      </c>
      <c r="K139" s="11" t="n">
        <v>4</v>
      </c>
      <c r="L139" s="11" t="n">
        <v>8</v>
      </c>
      <c r="M139" s="11" t="n">
        <v>10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>
      <c r="A140" s="4" t="inlineStr">
        <is>
          <t>PILASTRO CUSCINETTO</t>
        </is>
      </c>
      <c r="B140" s="4" t="n"/>
      <c r="C140" s="11" t="n">
        <v>3</v>
      </c>
      <c r="D140" s="4" t="inlineStr">
        <is>
          <t>10BZ16X140</t>
        </is>
      </c>
      <c r="E140" s="4" t="inlineStr">
        <is>
          <t>Bullone testa esagonale M16x140 mezzo filetto</t>
        </is>
      </c>
      <c r="F140" s="4" t="inlineStr">
        <is>
          <t>Bulloneria e minuteria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>
      <c r="A141" s="4" t="inlineStr">
        <is>
          <t>PILASTRO CUSCINETTO</t>
        </is>
      </c>
      <c r="B141" s="4" t="n"/>
      <c r="C141" s="11" t="n">
        <v>4</v>
      </c>
      <c r="D141" s="4" t="inlineStr">
        <is>
          <t>10ROND16</t>
        </is>
      </c>
      <c r="E141" s="4" t="inlineStr">
        <is>
          <t>Rondella zn da 16</t>
        </is>
      </c>
      <c r="F141" s="4" t="inlineStr">
        <is>
          <t>Bulloneria e minuteria</t>
        </is>
      </c>
      <c r="G141" s="11" t="n">
        <v>2</v>
      </c>
      <c r="H141" s="11" t="n">
        <v>4</v>
      </c>
      <c r="I141" s="11" t="n">
        <v>8</v>
      </c>
      <c r="J141" s="11" t="n">
        <v>8</v>
      </c>
      <c r="K141" s="11" t="n">
        <v>8</v>
      </c>
      <c r="L141" s="11" t="n">
        <v>16</v>
      </c>
      <c r="M141" s="11" t="n">
        <v>20</v>
      </c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>
      <c r="A142" s="4" t="inlineStr">
        <is>
          <t>PILASTRO CUSCINETTO</t>
        </is>
      </c>
      <c r="B142" s="4" t="n"/>
      <c r="C142" s="11" t="n">
        <v>5</v>
      </c>
      <c r="D142" s="4" t="inlineStr">
        <is>
          <t>10ROND16</t>
        </is>
      </c>
      <c r="E142" s="4" t="inlineStr">
        <is>
          <t>Rondella zn da 16</t>
        </is>
      </c>
      <c r="F142" s="4" t="inlineStr">
        <is>
          <t>Bulloneria e minuteria</t>
        </is>
      </c>
      <c r="G142" s="11" t="n">
        <v>2</v>
      </c>
      <c r="H142" s="11" t="n">
        <v>4</v>
      </c>
      <c r="I142" s="11" t="n">
        <v>8</v>
      </c>
      <c r="J142" s="11" t="n">
        <v>8</v>
      </c>
      <c r="K142" s="11" t="n">
        <v>8</v>
      </c>
      <c r="L142" s="11" t="n">
        <v>16</v>
      </c>
      <c r="M142" s="11" t="n">
        <v>20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>
      <c r="A143" s="4" t="inlineStr">
        <is>
          <t>PILASTRO CUSCINETTO</t>
        </is>
      </c>
      <c r="B143" s="4" t="n"/>
      <c r="C143" s="11" t="n">
        <v>6</v>
      </c>
      <c r="D143" s="4" t="inlineStr">
        <is>
          <t>10DAZAM16</t>
        </is>
      </c>
      <c r="E143" s="4" t="inlineStr">
        <is>
          <t>Dado autobloccante M16</t>
        </is>
      </c>
      <c r="F143" s="4" t="inlineStr">
        <is>
          <t>Bulloneria e minuteria</t>
        </is>
      </c>
      <c r="G143" s="11" t="n">
        <v>2</v>
      </c>
      <c r="H143" s="11" t="n">
        <v>4</v>
      </c>
      <c r="I143" s="11" t="n">
        <v>8</v>
      </c>
      <c r="J143" s="11" t="n">
        <v>8</v>
      </c>
      <c r="K143" s="11" t="n">
        <v>8</v>
      </c>
      <c r="L143" s="11" t="n">
        <v>16</v>
      </c>
      <c r="M143" s="11" t="n">
        <v>20</v>
      </c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ASSI DI ROTAZIONE 1303</t>
        </is>
      </c>
      <c r="B144" s="4" t="inlineStr">
        <is>
          <t>12 MODULI 1303</t>
        </is>
      </c>
      <c r="C144" s="11" t="n"/>
      <c r="D144" s="4" t="inlineStr">
        <is>
          <t>TTS.AR.001.8250</t>
        </is>
      </c>
      <c r="E144" s="4" t="inlineStr">
        <is>
          <t>Asse lato motore 120x120x3 mm. lunghezza mt.8,25</t>
        </is>
      </c>
      <c r="F144" s="4" t="inlineStr">
        <is>
          <t>Carpenteria metallica</t>
        </is>
      </c>
      <c r="G144" s="11" t="n">
        <v>2</v>
      </c>
      <c r="H144" s="11" t="n"/>
      <c r="I144" s="11" t="n"/>
      <c r="J144" s="11" t="n"/>
      <c r="K144" s="11" t="n"/>
      <c r="L144" s="11" t="n"/>
      <c r="M144" s="11" t="n"/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ASSI DI ROTAZIONE 1303</t>
        </is>
      </c>
      <c r="B145" s="4" t="inlineStr">
        <is>
          <t>12 MODULI 1303</t>
        </is>
      </c>
      <c r="C145" s="11" t="n"/>
      <c r="D145" s="4" t="inlineStr">
        <is>
          <t>TTS.AR.001.8250.25</t>
        </is>
      </c>
      <c r="E145" s="4" t="inlineStr">
        <is>
          <t>Asse lato motore 120x120x2,5 mm. lunghezza mt.8,25</t>
        </is>
      </c>
      <c r="F145" s="4" t="inlineStr">
        <is>
          <t>Carpenteria metallica</t>
        </is>
      </c>
      <c r="G145" s="11" t="n">
        <v>0</v>
      </c>
      <c r="H145" s="11" t="n"/>
      <c r="I145" s="11" t="n"/>
      <c r="J145" s="11" t="n"/>
      <c r="K145" s="11" t="n"/>
      <c r="L145" s="11" t="n"/>
      <c r="M145" s="11" t="n"/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ASSI DI ROTAZIONE 1303</t>
        </is>
      </c>
      <c r="B146" s="4" t="inlineStr">
        <is>
          <t>18 MODULI 1303</t>
        </is>
      </c>
      <c r="C146" s="11" t="n"/>
      <c r="D146" s="4" t="inlineStr">
        <is>
          <t>TTS.AR.001.7200</t>
        </is>
      </c>
      <c r="E146" s="4" t="inlineStr">
        <is>
          <t>Asse lato motore 120x120x3 mm. lunghezza mt.7,20</t>
        </is>
      </c>
      <c r="F146" s="4" t="inlineStr">
        <is>
          <t>Carpenteria metallica</t>
        </is>
      </c>
      <c r="G146" s="11" t="n">
        <v>2</v>
      </c>
      <c r="H146" s="11" t="n"/>
      <c r="I146" s="11" t="n"/>
      <c r="J146" s="11" t="n"/>
      <c r="K146" s="11" t="n"/>
      <c r="L146" s="11" t="n"/>
      <c r="M146" s="11" t="n"/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ASSI DI ROTAZIONE 1303</t>
        </is>
      </c>
      <c r="B147" s="4" t="inlineStr">
        <is>
          <t>18 MODULI 1303</t>
        </is>
      </c>
      <c r="C147" s="11" t="n"/>
      <c r="D147" s="4" t="inlineStr">
        <is>
          <t>TTS.AR.001.7200.25</t>
        </is>
      </c>
      <c r="E147" s="4" t="inlineStr">
        <is>
          <t>Asse lato motore 120x120x2,5 mm. lunghezza mt.7,20</t>
        </is>
      </c>
      <c r="F147" s="4" t="inlineStr">
        <is>
          <t>Carpenteria metallica</t>
        </is>
      </c>
      <c r="G147" s="11" t="n">
        <v>0</v>
      </c>
      <c r="H147" s="11" t="n"/>
      <c r="I147" s="11" t="n"/>
      <c r="J147" s="11" t="n"/>
      <c r="K147" s="11" t="n"/>
      <c r="L147" s="11" t="n"/>
      <c r="M147" s="11" t="n"/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ASSI DI ROTAZIONE 1303</t>
        </is>
      </c>
      <c r="B148" s="4" t="inlineStr">
        <is>
          <t>18 MODULI 1303</t>
        </is>
      </c>
      <c r="C148" s="11" t="n"/>
      <c r="D148" s="4" t="inlineStr">
        <is>
          <t>TTS.AR.002.5000</t>
        </is>
      </c>
      <c r="E148" s="4" t="inlineStr">
        <is>
          <t>Asse esterno 120x120x3 mm. lunghezza mt.5,00</t>
        </is>
      </c>
      <c r="F148" s="4" t="inlineStr">
        <is>
          <t>Carpenteria metallica</t>
        </is>
      </c>
      <c r="G148" s="11" t="n">
        <v>2</v>
      </c>
      <c r="H148" s="11" t="n"/>
      <c r="I148" s="11" t="n"/>
      <c r="J148" s="11" t="n"/>
      <c r="K148" s="11" t="n"/>
      <c r="L148" s="11" t="n"/>
      <c r="M148" s="11" t="n"/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ASSI DI ROTAZIONE 1303</t>
        </is>
      </c>
      <c r="B149" s="4" t="inlineStr">
        <is>
          <t>18 MODULI 1303</t>
        </is>
      </c>
      <c r="C149" s="11" t="n"/>
      <c r="D149" s="4" t="inlineStr">
        <is>
          <t>TTS.AR.002.5000.25</t>
        </is>
      </c>
      <c r="E149" s="4" t="inlineStr">
        <is>
          <t>Asse esterno 120x120x2,5 mm. lunghezza mt.5,00</t>
        </is>
      </c>
      <c r="F149" s="4" t="inlineStr">
        <is>
          <t>Carpenteria metallica</t>
        </is>
      </c>
      <c r="G149" s="11" t="n">
        <v>0</v>
      </c>
      <c r="H149" s="11" t="n"/>
      <c r="I149" s="11" t="n"/>
      <c r="J149" s="11" t="n"/>
      <c r="K149" s="11" t="n"/>
      <c r="L149" s="11" t="n"/>
      <c r="M149" s="11" t="n"/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ASSI DI ROTAZIONE 1303</t>
        </is>
      </c>
      <c r="B150" s="4" t="inlineStr">
        <is>
          <t>18 MODULI 1303</t>
        </is>
      </c>
      <c r="C150" s="11" t="n">
        <v>1</v>
      </c>
      <c r="D150" s="4" t="inlineStr">
        <is>
          <t>TTS.AR.2011</t>
        </is>
      </c>
      <c r="E150" s="4" t="inlineStr">
        <is>
          <t>Gaffa giunzione asse</t>
        </is>
      </c>
      <c r="F150" s="4" t="inlineStr">
        <is>
          <t>Carpenteria metallica</t>
        </is>
      </c>
      <c r="G150" s="11" t="n">
        <v>2</v>
      </c>
      <c r="H150" s="11" t="n"/>
      <c r="I150" s="11" t="n">
        <v>4</v>
      </c>
      <c r="J150" s="11" t="n"/>
      <c r="K150" s="11" t="n"/>
      <c r="L150" s="11" t="n"/>
      <c r="M150" s="11" t="n"/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>
      <c r="A151" s="4" t="inlineStr">
        <is>
          <t>ASSI DI ROTAZIONE 1303</t>
        </is>
      </c>
      <c r="B151" s="4" t="inlineStr">
        <is>
          <t>18 MODULI 1303</t>
        </is>
      </c>
      <c r="C151" s="11" t="n">
        <v>2</v>
      </c>
      <c r="D151" s="4" t="inlineStr">
        <is>
          <t>10BZM8X150</t>
        </is>
      </c>
      <c r="E151" s="4" t="inlineStr">
        <is>
          <t>Bullone testa esagonale zn M8X150</t>
        </is>
      </c>
      <c r="F151" s="4" t="inlineStr">
        <is>
          <t>Bulloneria e minuteria</t>
        </is>
      </c>
      <c r="G151" s="11" t="n">
        <v>2</v>
      </c>
      <c r="H151" s="11" t="n"/>
      <c r="I151" s="11" t="n">
        <v>4</v>
      </c>
      <c r="J151" s="11" t="n"/>
      <c r="K151" s="11" t="n"/>
      <c r="L151" s="11" t="n"/>
      <c r="M151" s="11" t="n"/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>
      <c r="A152" s="4" t="inlineStr">
        <is>
          <t>ASSI DI ROTAZIONE 1303</t>
        </is>
      </c>
      <c r="B152" s="4" t="inlineStr">
        <is>
          <t>18 MODULI 1303</t>
        </is>
      </c>
      <c r="C152" s="11" t="n">
        <v>3</v>
      </c>
      <c r="D152" s="4" t="inlineStr">
        <is>
          <t>10ROND8</t>
        </is>
      </c>
      <c r="E152" s="4" t="inlineStr">
        <is>
          <t>Rondella zn 8</t>
        </is>
      </c>
      <c r="F152" s="4" t="inlineStr">
        <is>
          <t>Bulloneria e minuteria</t>
        </is>
      </c>
      <c r="G152" s="11" t="n">
        <v>2</v>
      </c>
      <c r="H152" s="11" t="n"/>
      <c r="I152" s="11" t="n">
        <v>4</v>
      </c>
      <c r="J152" s="11" t="n"/>
      <c r="K152" s="11" t="n"/>
      <c r="L152" s="11" t="n"/>
      <c r="M152" s="11" t="n"/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>
      <c r="A153" s="4" t="inlineStr">
        <is>
          <t>ASSI DI ROTAZIONE 1303</t>
        </is>
      </c>
      <c r="B153" s="4" t="inlineStr">
        <is>
          <t>18 MODULI 1303</t>
        </is>
      </c>
      <c r="C153" s="11" t="n">
        <v>4</v>
      </c>
      <c r="D153" s="4" t="inlineStr">
        <is>
          <t>10ROND8</t>
        </is>
      </c>
      <c r="E153" s="4" t="inlineStr">
        <is>
          <t>Rondella zn 8</t>
        </is>
      </c>
      <c r="F153" s="4" t="inlineStr">
        <is>
          <t>Bulloneria e minuteria</t>
        </is>
      </c>
      <c r="G153" s="11" t="n">
        <v>2</v>
      </c>
      <c r="H153" s="11" t="n"/>
      <c r="I153" s="11" t="n">
        <v>4</v>
      </c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>
      <c r="A154" s="4" t="inlineStr">
        <is>
          <t>ASSI DI ROTAZIONE 1303</t>
        </is>
      </c>
      <c r="B154" s="4" t="inlineStr">
        <is>
          <t>18 MODULI 1303</t>
        </is>
      </c>
      <c r="C154" s="11" t="n">
        <v>5</v>
      </c>
      <c r="D154" s="4" t="inlineStr">
        <is>
          <t>10DAZAM8</t>
        </is>
      </c>
      <c r="E154" s="4" t="inlineStr">
        <is>
          <t>Dado autobloccante M8</t>
        </is>
      </c>
      <c r="F154" s="4" t="inlineStr">
        <is>
          <t>Bulloneria e minuteria</t>
        </is>
      </c>
      <c r="G154" s="11" t="n">
        <v>2</v>
      </c>
      <c r="H154" s="11" t="n"/>
      <c r="I154" s="11" t="n">
        <v>4</v>
      </c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>
      <c r="A155" s="4" t="inlineStr">
        <is>
          <t>ASSI DI ROTAZIONE 1303</t>
        </is>
      </c>
      <c r="B155" s="4" t="inlineStr">
        <is>
          <t>18 MODULI 1303</t>
        </is>
      </c>
      <c r="C155" s="11" t="n">
        <v>6</v>
      </c>
      <c r="D155" s="4" t="inlineStr">
        <is>
          <t>10BZM10X30</t>
        </is>
      </c>
      <c r="E155" s="4" t="inlineStr">
        <is>
          <t>Bullone testa esagonale zn M10X30</t>
        </is>
      </c>
      <c r="F155" s="4" t="inlineStr">
        <is>
          <t>Bulloneria e minuteria</t>
        </is>
      </c>
      <c r="G155" s="11" t="n">
        <v>8</v>
      </c>
      <c r="H155" s="11" t="n"/>
      <c r="I155" s="11" t="n">
        <v>16</v>
      </c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>
      <c r="A156" s="4" t="inlineStr">
        <is>
          <t>ASSI DI ROTAZIONE 1303</t>
        </is>
      </c>
      <c r="B156" s="4" t="inlineStr">
        <is>
          <t>18 MODULI 1303</t>
        </is>
      </c>
      <c r="C156" s="11" t="n">
        <v>7</v>
      </c>
      <c r="D156" s="4" t="inlineStr">
        <is>
          <t>10ROND10</t>
        </is>
      </c>
      <c r="E156" s="4" t="inlineStr">
        <is>
          <t>Rondella zn 10</t>
        </is>
      </c>
      <c r="F156" s="4" t="inlineStr">
        <is>
          <t>Bulloneria e minuteria</t>
        </is>
      </c>
      <c r="G156" s="11" t="n">
        <v>8</v>
      </c>
      <c r="H156" s="11" t="n"/>
      <c r="I156" s="11" t="n">
        <v>16</v>
      </c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>
      <c r="A157" s="4" t="inlineStr">
        <is>
          <t>ASSI DI ROTAZIONE 1303</t>
        </is>
      </c>
      <c r="B157" s="4" t="inlineStr">
        <is>
          <t>18 MODULI 1303</t>
        </is>
      </c>
      <c r="C157" s="11" t="n">
        <v>8</v>
      </c>
      <c r="D157" s="4" t="inlineStr">
        <is>
          <t>10ROND10</t>
        </is>
      </c>
      <c r="E157" s="4" t="inlineStr">
        <is>
          <t>Rondella zn 10</t>
        </is>
      </c>
      <c r="F157" s="4" t="inlineStr">
        <is>
          <t>Bulloneria e minuteria</t>
        </is>
      </c>
      <c r="G157" s="11" t="n">
        <v>8</v>
      </c>
      <c r="H157" s="11" t="n"/>
      <c r="I157" s="11" t="n">
        <v>16</v>
      </c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>
      <c r="A158" s="4" t="inlineStr">
        <is>
          <t>ASSI DI ROTAZIONE 1303</t>
        </is>
      </c>
      <c r="B158" s="4" t="inlineStr">
        <is>
          <t>18 MODULI 1303</t>
        </is>
      </c>
      <c r="C158" s="11" t="n">
        <v>9</v>
      </c>
      <c r="D158" s="4" t="inlineStr">
        <is>
          <t>10DAZAM10</t>
        </is>
      </c>
      <c r="E158" s="4" t="inlineStr">
        <is>
          <t>Dado autobloccante M10</t>
        </is>
      </c>
      <c r="F158" s="4" t="inlineStr">
        <is>
          <t>Bulloneria e minuteria</t>
        </is>
      </c>
      <c r="G158" s="11" t="n">
        <v>8</v>
      </c>
      <c r="H158" s="11" t="n"/>
      <c r="I158" s="11" t="n">
        <v>16</v>
      </c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20 MODULI 1303</t>
        </is>
      </c>
      <c r="C159" s="11" t="n"/>
      <c r="D159" s="4" t="inlineStr">
        <is>
          <t>TTS.AR.001.7200</t>
        </is>
      </c>
      <c r="E159" s="4" t="inlineStr">
        <is>
          <t>Asse lato motore 120x120x3 mm. lunghezza mt.7,20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20 MODULI 1303</t>
        </is>
      </c>
      <c r="C160" s="11" t="n"/>
      <c r="D160" s="4" t="inlineStr">
        <is>
          <t>TTS.AR.002.6300</t>
        </is>
      </c>
      <c r="E160" s="4" t="inlineStr">
        <is>
          <t>Asse esterno 120x120x3 mm. lunghezza mt.6,30</t>
        </is>
      </c>
      <c r="F160" s="4" t="inlineStr">
        <is>
          <t>Carpenteria metallica</t>
        </is>
      </c>
      <c r="G160" s="11" t="n">
        <v>2</v>
      </c>
      <c r="H160" s="11" t="n"/>
      <c r="I160" s="11" t="n"/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20 MODULI 1303</t>
        </is>
      </c>
      <c r="C161" s="11" t="n"/>
      <c r="D161" s="4" t="inlineStr">
        <is>
          <t>TTS.AR.002.6300.25</t>
        </is>
      </c>
      <c r="E161" s="4" t="inlineStr">
        <is>
          <t>Asse esterno 120x120x2,5 mm. lunghezza mt.6,30</t>
        </is>
      </c>
      <c r="F161" s="4" t="inlineStr">
        <is>
          <t>Carpenteria metallica</t>
        </is>
      </c>
      <c r="G161" s="11" t="n">
        <v>0</v>
      </c>
      <c r="H161" s="11" t="n"/>
      <c r="I161" s="11" t="n"/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20 MODULI 1303</t>
        </is>
      </c>
      <c r="C162" s="11" t="n">
        <v>1</v>
      </c>
      <c r="D162" s="4" t="inlineStr">
        <is>
          <t>TTS.AR.2011</t>
        </is>
      </c>
      <c r="E162" s="4" t="inlineStr">
        <is>
          <t>Gaffa giunzione asse</t>
        </is>
      </c>
      <c r="F162" s="4" t="inlineStr">
        <is>
          <t>Carpenteria metallica</t>
        </is>
      </c>
      <c r="G162" s="11" t="n">
        <v>2</v>
      </c>
      <c r="H162" s="11" t="n"/>
      <c r="I162" s="11" t="n"/>
      <c r="J162" s="11" t="n">
        <v>4</v>
      </c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>
      <c r="A163" s="4" t="inlineStr">
        <is>
          <t>ASSI DI ROTAZIONE 1303</t>
        </is>
      </c>
      <c r="B163" s="4" t="inlineStr">
        <is>
          <t>20 MODULI 1303</t>
        </is>
      </c>
      <c r="C163" s="11" t="n">
        <v>2</v>
      </c>
      <c r="D163" s="4" t="inlineStr">
        <is>
          <t>10BZM8X150</t>
        </is>
      </c>
      <c r="E163" s="4" t="inlineStr">
        <is>
          <t>Bullone testa esagonale zn M8X150</t>
        </is>
      </c>
      <c r="F163" s="4" t="inlineStr">
        <is>
          <t>Bulloneria e minuteria</t>
        </is>
      </c>
      <c r="G163" s="11" t="n">
        <v>2</v>
      </c>
      <c r="H163" s="11" t="n"/>
      <c r="I163" s="11" t="n"/>
      <c r="J163" s="11" t="n">
        <v>4</v>
      </c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>
      <c r="A164" s="4" t="inlineStr">
        <is>
          <t>ASSI DI ROTAZIONE 1303</t>
        </is>
      </c>
      <c r="B164" s="4" t="inlineStr">
        <is>
          <t>20 MODULI 1303</t>
        </is>
      </c>
      <c r="C164" s="11" t="n">
        <v>3</v>
      </c>
      <c r="D164" s="4" t="inlineStr">
        <is>
          <t>10ROND8</t>
        </is>
      </c>
      <c r="E164" s="4" t="inlineStr">
        <is>
          <t>Rondella zn 8</t>
        </is>
      </c>
      <c r="F164" s="4" t="inlineStr">
        <is>
          <t>Bulloneria e minuteria</t>
        </is>
      </c>
      <c r="G164" s="11" t="n">
        <v>2</v>
      </c>
      <c r="H164" s="11" t="n"/>
      <c r="I164" s="11" t="n"/>
      <c r="J164" s="11" t="n">
        <v>4</v>
      </c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>
      <c r="A165" s="4" t="inlineStr">
        <is>
          <t>ASSI DI ROTAZIONE 1303</t>
        </is>
      </c>
      <c r="B165" s="4" t="inlineStr">
        <is>
          <t>20 MODULI 1303</t>
        </is>
      </c>
      <c r="C165" s="11" t="n">
        <v>4</v>
      </c>
      <c r="D165" s="4" t="inlineStr">
        <is>
          <t>10ROND8</t>
        </is>
      </c>
      <c r="E165" s="4" t="inlineStr">
        <is>
          <t>Rondella zn 8</t>
        </is>
      </c>
      <c r="F165" s="4" t="inlineStr">
        <is>
          <t>Bulloneria e minuteria</t>
        </is>
      </c>
      <c r="G165" s="11" t="n">
        <v>2</v>
      </c>
      <c r="H165" s="11" t="n"/>
      <c r="I165" s="11" t="n"/>
      <c r="J165" s="11" t="n">
        <v>4</v>
      </c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>
      <c r="A166" s="4" t="inlineStr">
        <is>
          <t>ASSI DI ROTAZIONE 1303</t>
        </is>
      </c>
      <c r="B166" s="4" t="inlineStr">
        <is>
          <t>20 MODULI 1303</t>
        </is>
      </c>
      <c r="C166" s="11" t="n">
        <v>5</v>
      </c>
      <c r="D166" s="4" t="inlineStr">
        <is>
          <t>10DAZAM8</t>
        </is>
      </c>
      <c r="E166" s="4" t="inlineStr">
        <is>
          <t>Dado autobloccante M8</t>
        </is>
      </c>
      <c r="F166" s="4" t="inlineStr">
        <is>
          <t>Bulloneria e minuteria</t>
        </is>
      </c>
      <c r="G166" s="11" t="n">
        <v>2</v>
      </c>
      <c r="H166" s="11" t="n"/>
      <c r="I166" s="11" t="n"/>
      <c r="J166" s="11" t="n">
        <v>4</v>
      </c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>
      <c r="A167" s="4" t="inlineStr">
        <is>
          <t>ASSI DI ROTAZIONE 1303</t>
        </is>
      </c>
      <c r="B167" s="4" t="inlineStr">
        <is>
          <t>20 MODULI 1303</t>
        </is>
      </c>
      <c r="C167" s="11" t="n">
        <v>6</v>
      </c>
      <c r="D167" s="4" t="inlineStr">
        <is>
          <t>10BZM10X30</t>
        </is>
      </c>
      <c r="E167" s="4" t="inlineStr">
        <is>
          <t>Bullone testa esagonale zn M10X30</t>
        </is>
      </c>
      <c r="F167" s="4" t="inlineStr">
        <is>
          <t>Bulloneria e minuteria</t>
        </is>
      </c>
      <c r="G167" s="11" t="n">
        <v>8</v>
      </c>
      <c r="H167" s="11" t="n"/>
      <c r="I167" s="11" t="n"/>
      <c r="J167" s="11" t="n">
        <v>16</v>
      </c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>
      <c r="A168" s="4" t="inlineStr">
        <is>
          <t>ASSI DI ROTAZIONE 1303</t>
        </is>
      </c>
      <c r="B168" s="4" t="inlineStr">
        <is>
          <t>20 MODULI 1303</t>
        </is>
      </c>
      <c r="C168" s="11" t="n">
        <v>7</v>
      </c>
      <c r="D168" s="4" t="inlineStr">
        <is>
          <t>10ROND10</t>
        </is>
      </c>
      <c r="E168" s="4" t="inlineStr">
        <is>
          <t>Rondella zn 10</t>
        </is>
      </c>
      <c r="F168" s="4" t="inlineStr">
        <is>
          <t>Bulloneria e minuteria</t>
        </is>
      </c>
      <c r="G168" s="11" t="n">
        <v>8</v>
      </c>
      <c r="H168" s="11" t="n"/>
      <c r="I168" s="11" t="n"/>
      <c r="J168" s="11" t="n">
        <v>16</v>
      </c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>
      <c r="A169" s="4" t="inlineStr">
        <is>
          <t>ASSI DI ROTAZIONE 1303</t>
        </is>
      </c>
      <c r="B169" s="4" t="inlineStr">
        <is>
          <t>20 MODULI 1303</t>
        </is>
      </c>
      <c r="C169" s="11" t="n">
        <v>8</v>
      </c>
      <c r="D169" s="4" t="inlineStr">
        <is>
          <t>10ROND10</t>
        </is>
      </c>
      <c r="E169" s="4" t="inlineStr">
        <is>
          <t>Rondella zn 10</t>
        </is>
      </c>
      <c r="F169" s="4" t="inlineStr">
        <is>
          <t>Bulloneria e minuteria</t>
        </is>
      </c>
      <c r="G169" s="11" t="n">
        <v>8</v>
      </c>
      <c r="H169" s="11" t="n"/>
      <c r="I169" s="11" t="n"/>
      <c r="J169" s="11" t="n">
        <v>16</v>
      </c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>
      <c r="A170" s="4" t="inlineStr">
        <is>
          <t>ASSI DI ROTAZIONE 1303</t>
        </is>
      </c>
      <c r="B170" s="4" t="inlineStr">
        <is>
          <t>20 MODULI 1303</t>
        </is>
      </c>
      <c r="C170" s="11" t="n">
        <v>9</v>
      </c>
      <c r="D170" s="4" t="inlineStr">
        <is>
          <t>10DAZAM10</t>
        </is>
      </c>
      <c r="E170" s="4" t="inlineStr">
        <is>
          <t>Dado autobloccante M10</t>
        </is>
      </c>
      <c r="F170" s="4" t="inlineStr">
        <is>
          <t>Bulloneria e minuteria</t>
        </is>
      </c>
      <c r="G170" s="11" t="n">
        <v>8</v>
      </c>
      <c r="H170" s="11" t="n"/>
      <c r="I170" s="11" t="n"/>
      <c r="J170" s="11" t="n">
        <v>16</v>
      </c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22 MODULI 1303</t>
        </is>
      </c>
      <c r="C171" s="11" t="n"/>
      <c r="D171" s="4" t="inlineStr">
        <is>
          <t>TTS.AR.001.8700</t>
        </is>
      </c>
      <c r="E171" s="4" t="inlineStr">
        <is>
          <t>Asse lato motore 120x120x3 mm. lunghezza mt.8,70</t>
        </is>
      </c>
      <c r="F171" s="4" t="inlineStr">
        <is>
          <t>Carpenteria metallica</t>
        </is>
      </c>
      <c r="G171" s="11" t="n">
        <v>2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22 MODULI 1303</t>
        </is>
      </c>
      <c r="C172" s="11" t="n"/>
      <c r="D172" s="4" t="inlineStr">
        <is>
          <t>TTS.AR.001.8700.25</t>
        </is>
      </c>
      <c r="E172" s="4" t="inlineStr">
        <is>
          <t>Asse lato motore 120x120x2,5 mm. lunghezza mt.8,70</t>
        </is>
      </c>
      <c r="F172" s="4" t="inlineStr">
        <is>
          <t>Carpenteria metallica</t>
        </is>
      </c>
      <c r="G172" s="11" t="n">
        <v>0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22 MODULI 1303</t>
        </is>
      </c>
      <c r="C173" s="11" t="n"/>
      <c r="D173" s="4" t="inlineStr">
        <is>
          <t>TTS.AR.002.6150</t>
        </is>
      </c>
      <c r="E173" s="4" t="inlineStr">
        <is>
          <t>Asse esterno 120x120x3 mm. lunghezza mt.6,15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/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22 MODULI 1303</t>
        </is>
      </c>
      <c r="C174" s="11" t="n"/>
      <c r="D174" s="4" t="inlineStr">
        <is>
          <t>TTS.AR.002.6150.25</t>
        </is>
      </c>
      <c r="E174" s="4" t="inlineStr">
        <is>
          <t>Asse esterno 120x120x2,5 mm. lunghezza mt.6,15</t>
        </is>
      </c>
      <c r="F174" s="4" t="inlineStr">
        <is>
          <t>Carpenteria metallica</t>
        </is>
      </c>
      <c r="G174" s="11" t="n">
        <v>0</v>
      </c>
      <c r="H174" s="11" t="n"/>
      <c r="I174" s="11" t="n"/>
      <c r="J174" s="11" t="n"/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22 MODULI 1303</t>
        </is>
      </c>
      <c r="C175" s="11" t="n">
        <v>1</v>
      </c>
      <c r="D175" s="4" t="inlineStr">
        <is>
          <t>TTS.AR.2011</t>
        </is>
      </c>
      <c r="E175" s="4" t="inlineStr">
        <is>
          <t>Gaffa giunzione asse</t>
        </is>
      </c>
      <c r="F175" s="4" t="inlineStr">
        <is>
          <t>Carpenteria metallica</t>
        </is>
      </c>
      <c r="G175" s="11" t="n">
        <v>2</v>
      </c>
      <c r="H175" s="11" t="n"/>
      <c r="I175" s="11" t="n"/>
      <c r="J175" s="11" t="n"/>
      <c r="K175" s="11" t="n">
        <v>4</v>
      </c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>
      <c r="A176" s="4" t="inlineStr">
        <is>
          <t>ASSI DI ROTAZIONE 1303</t>
        </is>
      </c>
      <c r="B176" s="4" t="inlineStr">
        <is>
          <t>22 MODULI 1303</t>
        </is>
      </c>
      <c r="C176" s="11" t="n">
        <v>2</v>
      </c>
      <c r="D176" s="4" t="inlineStr">
        <is>
          <t>10BZM8X150</t>
        </is>
      </c>
      <c r="E176" s="4" t="inlineStr">
        <is>
          <t>Bullone testa esagonale zn M8X150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/>
      <c r="K176" s="11" t="n">
        <v>4</v>
      </c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>
      <c r="A177" s="4" t="inlineStr">
        <is>
          <t>ASSI DI ROTAZIONE 1303</t>
        </is>
      </c>
      <c r="B177" s="4" t="inlineStr">
        <is>
          <t>22 MODULI 1303</t>
        </is>
      </c>
      <c r="C177" s="11" t="n">
        <v>3</v>
      </c>
      <c r="D177" s="4" t="inlineStr">
        <is>
          <t>10ROND8</t>
        </is>
      </c>
      <c r="E177" s="4" t="inlineStr">
        <is>
          <t>Rondella zn 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/>
      <c r="K177" s="11" t="n">
        <v>4</v>
      </c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>
      <c r="A178" s="4" t="inlineStr">
        <is>
          <t>ASSI DI ROTAZIONE 1303</t>
        </is>
      </c>
      <c r="B178" s="4" t="inlineStr">
        <is>
          <t>22 MODULI 1303</t>
        </is>
      </c>
      <c r="C178" s="11" t="n">
        <v>4</v>
      </c>
      <c r="D178" s="4" t="inlineStr">
        <is>
          <t>10ROND8</t>
        </is>
      </c>
      <c r="E178" s="4" t="inlineStr">
        <is>
          <t>Rondella zn 8</t>
        </is>
      </c>
      <c r="F178" s="4" t="inlineStr">
        <is>
          <t>Bulloneria e minuteria</t>
        </is>
      </c>
      <c r="G178" s="11" t="n">
        <v>2</v>
      </c>
      <c r="H178" s="11" t="n"/>
      <c r="I178" s="11" t="n"/>
      <c r="J178" s="11" t="n"/>
      <c r="K178" s="11" t="n">
        <v>4</v>
      </c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>
      <c r="A179" s="4" t="inlineStr">
        <is>
          <t>ASSI DI ROTAZIONE 1303</t>
        </is>
      </c>
      <c r="B179" s="4" t="inlineStr">
        <is>
          <t>22 MODULI 1303</t>
        </is>
      </c>
      <c r="C179" s="11" t="n">
        <v>5</v>
      </c>
      <c r="D179" s="4" t="inlineStr">
        <is>
          <t>10DAZAM8</t>
        </is>
      </c>
      <c r="E179" s="4" t="inlineStr">
        <is>
          <t>Dado autobloccante M8</t>
        </is>
      </c>
      <c r="F179" s="4" t="inlineStr">
        <is>
          <t>Bulloneria e minuteria</t>
        </is>
      </c>
      <c r="G179" s="11" t="n">
        <v>2</v>
      </c>
      <c r="H179" s="11" t="n"/>
      <c r="I179" s="11" t="n"/>
      <c r="J179" s="11" t="n"/>
      <c r="K179" s="11" t="n">
        <v>4</v>
      </c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>
      <c r="A180" s="4" t="inlineStr">
        <is>
          <t>ASSI DI ROTAZIONE 1303</t>
        </is>
      </c>
      <c r="B180" s="4" t="inlineStr">
        <is>
          <t>22 MODULI 1303</t>
        </is>
      </c>
      <c r="C180" s="11" t="n">
        <v>6</v>
      </c>
      <c r="D180" s="4" t="inlineStr">
        <is>
          <t>10BZM10X30</t>
        </is>
      </c>
      <c r="E180" s="4" t="inlineStr">
        <is>
          <t>Bullone testa esagonale zn M10X30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/>
      <c r="K180" s="11" t="n">
        <v>16</v>
      </c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>
      <c r="A181" s="4" t="inlineStr">
        <is>
          <t>ASSI DI ROTAZIONE 1303</t>
        </is>
      </c>
      <c r="B181" s="4" t="inlineStr">
        <is>
          <t>22 MODULI 1303</t>
        </is>
      </c>
      <c r="C181" s="11" t="n">
        <v>7</v>
      </c>
      <c r="D181" s="4" t="inlineStr">
        <is>
          <t>10ROND10</t>
        </is>
      </c>
      <c r="E181" s="4" t="inlineStr">
        <is>
          <t>Rondella zn 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/>
      <c r="K181" s="11" t="n">
        <v>16</v>
      </c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>
      <c r="A182" s="4" t="inlineStr">
        <is>
          <t>ASSI DI ROTAZIONE 1303</t>
        </is>
      </c>
      <c r="B182" s="4" t="inlineStr">
        <is>
          <t>22 MODULI 1303</t>
        </is>
      </c>
      <c r="C182" s="11" t="n">
        <v>8</v>
      </c>
      <c r="D182" s="4" t="inlineStr">
        <is>
          <t>10ROND10</t>
        </is>
      </c>
      <c r="E182" s="4" t="inlineStr">
        <is>
          <t>Rondella zn 10</t>
        </is>
      </c>
      <c r="F182" s="4" t="inlineStr">
        <is>
          <t>Bulloneria e minuteria</t>
        </is>
      </c>
      <c r="G182" s="11" t="n">
        <v>8</v>
      </c>
      <c r="H182" s="11" t="n"/>
      <c r="I182" s="11" t="n"/>
      <c r="J182" s="11" t="n"/>
      <c r="K182" s="11" t="n">
        <v>16</v>
      </c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>
      <c r="A183" s="4" t="inlineStr">
        <is>
          <t>ASSI DI ROTAZIONE 1303</t>
        </is>
      </c>
      <c r="B183" s="4" t="inlineStr">
        <is>
          <t>22 MODULI 1303</t>
        </is>
      </c>
      <c r="C183" s="11" t="n">
        <v>9</v>
      </c>
      <c r="D183" s="4" t="inlineStr">
        <is>
          <t>10DAZAM10</t>
        </is>
      </c>
      <c r="E183" s="4" t="inlineStr">
        <is>
          <t>Dado autobloccante M10</t>
        </is>
      </c>
      <c r="F183" s="4" t="inlineStr">
        <is>
          <t>Bulloneria e minuteria</t>
        </is>
      </c>
      <c r="G183" s="11" t="n">
        <v>8</v>
      </c>
      <c r="H183" s="11" t="n"/>
      <c r="I183" s="11" t="n"/>
      <c r="J183" s="11" t="n"/>
      <c r="K183" s="11" t="n">
        <v>16</v>
      </c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36 MODULI 1303</t>
        </is>
      </c>
      <c r="C184" s="11" t="n"/>
      <c r="D184" s="4" t="inlineStr">
        <is>
          <t>TTS.AR.001.8700</t>
        </is>
      </c>
      <c r="E184" s="4" t="inlineStr">
        <is>
          <t>Asse lato motore 120x120x3 mm. lunghezza mt.8,70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36 MODULI 1303</t>
        </is>
      </c>
      <c r="C185" s="11" t="n"/>
      <c r="D185" s="4" t="inlineStr">
        <is>
          <t>TTS.AR.002.6756</t>
        </is>
      </c>
      <c r="E185" s="4" t="inlineStr">
        <is>
          <t>Asse esterno 120x120x3 mm. lunghezza mt.6,756</t>
        </is>
      </c>
      <c r="F185" s="4" t="inlineStr">
        <is>
          <t>Carpenteria metallica</t>
        </is>
      </c>
      <c r="G185" s="11" t="n">
        <v>2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36 MODULI 1303</t>
        </is>
      </c>
      <c r="C186" s="11" t="n"/>
      <c r="D186" s="4" t="inlineStr">
        <is>
          <t>TTS.AR.002.6756.25</t>
        </is>
      </c>
      <c r="E186" s="4" t="inlineStr">
        <is>
          <t>Asse esterno 120x120x2,5 mm. lunghezza mt.6,756</t>
        </is>
      </c>
      <c r="F186" s="4" t="inlineStr">
        <is>
          <t>Carpenteria metallica</t>
        </is>
      </c>
      <c r="G186" s="11" t="n">
        <v>0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36 MODULI 1303</t>
        </is>
      </c>
      <c r="C187" s="11" t="n"/>
      <c r="D187" s="4" t="inlineStr">
        <is>
          <t>TTS.AR.002.8645</t>
        </is>
      </c>
      <c r="E187" s="4" t="inlineStr">
        <is>
          <t>Asse esterno 120x120x3 mm. lunghezza mt.8,645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/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36 MODULI 1303</t>
        </is>
      </c>
      <c r="C188" s="11" t="n"/>
      <c r="D188" s="4" t="inlineStr">
        <is>
          <t>TTS.AR.002.8645.25</t>
        </is>
      </c>
      <c r="E188" s="4" t="inlineStr">
        <is>
          <t>Asse esterno 120x120x2,5 mm. lunghezza mt.8,645</t>
        </is>
      </c>
      <c r="F188" s="4" t="inlineStr">
        <is>
          <t>Carpenteria metallica</t>
        </is>
      </c>
      <c r="G188" s="11" t="n">
        <v>0</v>
      </c>
      <c r="H188" s="11" t="n"/>
      <c r="I188" s="11" t="n"/>
      <c r="J188" s="11" t="n"/>
      <c r="K188" s="11" t="n"/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36 MODULI 1303</t>
        </is>
      </c>
      <c r="C189" s="11" t="n">
        <v>1</v>
      </c>
      <c r="D189" s="4" t="inlineStr">
        <is>
          <t>TTS.AR.2011</t>
        </is>
      </c>
      <c r="E189" s="4" t="inlineStr">
        <is>
          <t>Gaffa giunzione asse</t>
        </is>
      </c>
      <c r="F189" s="4" t="inlineStr">
        <is>
          <t>Carpenteria metallica</t>
        </is>
      </c>
      <c r="G189" s="11" t="n">
        <v>2</v>
      </c>
      <c r="H189" s="11" t="n"/>
      <c r="I189" s="11" t="n"/>
      <c r="J189" s="11" t="n"/>
      <c r="K189" s="11" t="n"/>
      <c r="L189" s="11" t="n">
        <v>8</v>
      </c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>
      <c r="A190" s="4" t="inlineStr">
        <is>
          <t>ASSI DI ROTAZIONE 1303</t>
        </is>
      </c>
      <c r="B190" s="4" t="inlineStr">
        <is>
          <t>36 MODULI 1303</t>
        </is>
      </c>
      <c r="C190" s="11" t="n">
        <v>2</v>
      </c>
      <c r="D190" s="4" t="inlineStr">
        <is>
          <t>10BZM8X150</t>
        </is>
      </c>
      <c r="E190" s="4" t="inlineStr">
        <is>
          <t>Bullone testa esagonale zn M8X150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/>
      <c r="L190" s="11" t="n">
        <v>8</v>
      </c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>
      <c r="A191" s="4" t="inlineStr">
        <is>
          <t>ASSI DI ROTAZIONE 1303</t>
        </is>
      </c>
      <c r="B191" s="4" t="inlineStr">
        <is>
          <t>36 MODULI 1303</t>
        </is>
      </c>
      <c r="C191" s="11" t="n">
        <v>3</v>
      </c>
      <c r="D191" s="4" t="inlineStr">
        <is>
          <t>10ROND8</t>
        </is>
      </c>
      <c r="E191" s="4" t="inlineStr">
        <is>
          <t>Rondella zn 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/>
      <c r="L191" s="11" t="n">
        <v>8</v>
      </c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>
      <c r="A192" s="4" t="inlineStr">
        <is>
          <t>ASSI DI ROTAZIONE 1303</t>
        </is>
      </c>
      <c r="B192" s="4" t="inlineStr">
        <is>
          <t>36 MODULI 1303</t>
        </is>
      </c>
      <c r="C192" s="11" t="n">
        <v>4</v>
      </c>
      <c r="D192" s="4" t="inlineStr">
        <is>
          <t>10ROND8</t>
        </is>
      </c>
      <c r="E192" s="4" t="inlineStr">
        <is>
          <t>Rondella zn 8</t>
        </is>
      </c>
      <c r="F192" s="4" t="inlineStr">
        <is>
          <t>Bulloneria e minuteria</t>
        </is>
      </c>
      <c r="G192" s="11" t="n">
        <v>2</v>
      </c>
      <c r="H192" s="11" t="n"/>
      <c r="I192" s="11" t="n"/>
      <c r="J192" s="11" t="n"/>
      <c r="K192" s="11" t="n"/>
      <c r="L192" s="11" t="n">
        <v>8</v>
      </c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>
      <c r="A193" s="4" t="inlineStr">
        <is>
          <t>ASSI DI ROTAZIONE 1303</t>
        </is>
      </c>
      <c r="B193" s="4" t="inlineStr">
        <is>
          <t>36 MODULI 1303</t>
        </is>
      </c>
      <c r="C193" s="11" t="n">
        <v>5</v>
      </c>
      <c r="D193" s="4" t="inlineStr">
        <is>
          <t>10DAZAM8</t>
        </is>
      </c>
      <c r="E193" s="4" t="inlineStr">
        <is>
          <t>Dado autobloccante M8</t>
        </is>
      </c>
      <c r="F193" s="4" t="inlineStr">
        <is>
          <t>Bulloneria e minuteria</t>
        </is>
      </c>
      <c r="G193" s="11" t="n">
        <v>2</v>
      </c>
      <c r="H193" s="11" t="n"/>
      <c r="I193" s="11" t="n"/>
      <c r="J193" s="11" t="n"/>
      <c r="K193" s="11" t="n"/>
      <c r="L193" s="11" t="n">
        <v>8</v>
      </c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>
      <c r="A194" s="4" t="inlineStr">
        <is>
          <t>ASSI DI ROTAZIONE 1303</t>
        </is>
      </c>
      <c r="B194" s="4" t="inlineStr">
        <is>
          <t>36 MODULI 1303</t>
        </is>
      </c>
      <c r="C194" s="11" t="n">
        <v>6</v>
      </c>
      <c r="D194" s="4" t="inlineStr">
        <is>
          <t>10BZM10X30</t>
        </is>
      </c>
      <c r="E194" s="4" t="inlineStr">
        <is>
          <t>Bullone testa esagonale zn M10X30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/>
      <c r="L194" s="11" t="n">
        <v>32</v>
      </c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>
      <c r="A195" s="4" t="inlineStr">
        <is>
          <t>ASSI DI ROTAZIONE 1303</t>
        </is>
      </c>
      <c r="B195" s="4" t="inlineStr">
        <is>
          <t>36 MODULI 1303</t>
        </is>
      </c>
      <c r="C195" s="11" t="n">
        <v>7</v>
      </c>
      <c r="D195" s="4" t="inlineStr">
        <is>
          <t>10ROND10</t>
        </is>
      </c>
      <c r="E195" s="4" t="inlineStr">
        <is>
          <t>Rondella zn 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/>
      <c r="L195" s="11" t="n">
        <v>32</v>
      </c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>
      <c r="A196" s="4" t="inlineStr">
        <is>
          <t>ASSI DI ROTAZIONE 1303</t>
        </is>
      </c>
      <c r="B196" s="4" t="inlineStr">
        <is>
          <t>36 MODULI 1303</t>
        </is>
      </c>
      <c r="C196" s="11" t="n">
        <v>8</v>
      </c>
      <c r="D196" s="4" t="inlineStr">
        <is>
          <t>10ROND10</t>
        </is>
      </c>
      <c r="E196" s="4" t="inlineStr">
        <is>
          <t>Rondella zn 10</t>
        </is>
      </c>
      <c r="F196" s="4" t="inlineStr">
        <is>
          <t>Bulloneria e minuteria</t>
        </is>
      </c>
      <c r="G196" s="11" t="n">
        <v>8</v>
      </c>
      <c r="H196" s="11" t="n"/>
      <c r="I196" s="11" t="n"/>
      <c r="J196" s="11" t="n"/>
      <c r="K196" s="11" t="n"/>
      <c r="L196" s="11" t="n">
        <v>32</v>
      </c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>
      <c r="A197" s="4" t="inlineStr">
        <is>
          <t>ASSI DI ROTAZIONE 1303</t>
        </is>
      </c>
      <c r="B197" s="4" t="inlineStr">
        <is>
          <t>36 MODULI 1303</t>
        </is>
      </c>
      <c r="C197" s="11" t="n">
        <v>9</v>
      </c>
      <c r="D197" s="4" t="inlineStr">
        <is>
          <t>10DAZAM10</t>
        </is>
      </c>
      <c r="E197" s="4" t="inlineStr">
        <is>
          <t>Dado autobloccante M10</t>
        </is>
      </c>
      <c r="F197" s="4" t="inlineStr">
        <is>
          <t>Bulloneria e minuteria</t>
        </is>
      </c>
      <c r="G197" s="11" t="n">
        <v>8</v>
      </c>
      <c r="H197" s="11" t="n"/>
      <c r="I197" s="11" t="n"/>
      <c r="J197" s="11" t="n"/>
      <c r="K197" s="11" t="n"/>
      <c r="L197" s="11" t="n">
        <v>32</v>
      </c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40 MODULI 1303</t>
        </is>
      </c>
      <c r="C198" s="11" t="n"/>
      <c r="D198" s="4" t="inlineStr">
        <is>
          <t>TTS.AR.001.8700</t>
        </is>
      </c>
      <c r="E198" s="4" t="inlineStr">
        <is>
          <t>Asse lato motore 120x120x3 mm. lunghezza mt.8,70</t>
        </is>
      </c>
      <c r="F198" s="4" t="inlineStr">
        <is>
          <t>Carpenteria metallica</t>
        </is>
      </c>
      <c r="G198" s="11" t="n">
        <v>2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40 MODULI 1303</t>
        </is>
      </c>
      <c r="C199" s="11" t="n"/>
      <c r="D199" s="4" t="inlineStr">
        <is>
          <t>TTS.AR.002.8250</t>
        </is>
      </c>
      <c r="E199" s="4" t="inlineStr">
        <is>
          <t>Primo asse centrale 120x120x3 mm. lunghezza mt.8,25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40 MODULI 1303</t>
        </is>
      </c>
      <c r="C200" s="11" t="n"/>
      <c r="D200" s="4" t="inlineStr">
        <is>
          <t>TTS.AR.002.8250.25</t>
        </is>
      </c>
      <c r="E200" s="4" t="inlineStr">
        <is>
          <t>Primo asse centrale 120x120x2,5 mm. lunghezza mt.8,25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40 MODULI 1303</t>
        </is>
      </c>
      <c r="C201" s="11" t="n"/>
      <c r="D201" s="4" t="inlineStr">
        <is>
          <t>TTS.AR.003.5000</t>
        </is>
      </c>
      <c r="E201" s="4" t="inlineStr">
        <is>
          <t>Secondo asse centrale 120x120x3 mm. lunghezza mt.5,000</t>
        </is>
      </c>
      <c r="F201" s="4" t="inlineStr">
        <is>
          <t>Carpenteria metallica</t>
        </is>
      </c>
      <c r="G201" s="11" t="n">
        <v>2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40 MODULI 1303</t>
        </is>
      </c>
      <c r="C202" s="11" t="n"/>
      <c r="D202" s="4" t="inlineStr">
        <is>
          <t>TTS.AR.003.5000.25</t>
        </is>
      </c>
      <c r="E202" s="4" t="inlineStr">
        <is>
          <t>Secondo asse centrale 120x120x2,5 mm. lunghezza mt.5,000</t>
        </is>
      </c>
      <c r="F202" s="4" t="inlineStr">
        <is>
          <t>Carpenteria metallica</t>
        </is>
      </c>
      <c r="G202" s="11" t="n">
        <v>0</v>
      </c>
      <c r="H202" s="11" t="n"/>
      <c r="I202" s="11" t="n"/>
      <c r="J202" s="11" t="n"/>
      <c r="K202" s="11" t="n"/>
      <c r="L202" s="11" t="n"/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40 MODULI 1303</t>
        </is>
      </c>
      <c r="C203" s="11" t="n"/>
      <c r="D203" s="4" t="inlineStr">
        <is>
          <t>TTS.AR.004.4800</t>
        </is>
      </c>
      <c r="E203" s="4" t="inlineStr">
        <is>
          <t>Asse esterno 120x120x3 mm. lunghezza mt.4,800</t>
        </is>
      </c>
      <c r="F203" s="4" t="inlineStr">
        <is>
          <t>Carpenteria metallica</t>
        </is>
      </c>
      <c r="G203" s="11" t="n">
        <v>2</v>
      </c>
      <c r="H203" s="11" t="n"/>
      <c r="I203" s="11" t="n"/>
      <c r="J203" s="11" t="n"/>
      <c r="K203" s="11" t="n"/>
      <c r="L203" s="11" t="n"/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40 MODULI 1303</t>
        </is>
      </c>
      <c r="C204" s="11" t="n"/>
      <c r="D204" s="4" t="inlineStr">
        <is>
          <t>TTS.AR.004.4800.25</t>
        </is>
      </c>
      <c r="E204" s="4" t="inlineStr">
        <is>
          <t>Asse esterno 120x120x2,5 mm. lunghezza mt.4,800</t>
        </is>
      </c>
      <c r="F204" s="4" t="inlineStr">
        <is>
          <t>Carpenteria metallica</t>
        </is>
      </c>
      <c r="G204" s="11" t="n">
        <v>0</v>
      </c>
      <c r="H204" s="11" t="n"/>
      <c r="I204" s="11" t="n"/>
      <c r="J204" s="11" t="n"/>
      <c r="K204" s="11" t="n"/>
      <c r="L204" s="11" t="n"/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40 MODULI 1303</t>
        </is>
      </c>
      <c r="C205" s="11" t="n">
        <v>1</v>
      </c>
      <c r="D205" s="4" t="inlineStr">
        <is>
          <t>TTS.AR.2011</t>
        </is>
      </c>
      <c r="E205" s="4" t="inlineStr">
        <is>
          <t>Gaffa giunzione asse</t>
        </is>
      </c>
      <c r="F205" s="4" t="inlineStr">
        <is>
          <t>Carpenteria metallica</t>
        </is>
      </c>
      <c r="G205" s="11" t="n">
        <v>2</v>
      </c>
      <c r="H205" s="11" t="n"/>
      <c r="I205" s="11" t="n"/>
      <c r="J205" s="11" t="n"/>
      <c r="K205" s="11" t="n"/>
      <c r="L205" s="11" t="n"/>
      <c r="M205" s="11" t="n">
        <v>12</v>
      </c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>
      <c r="A206" s="4" t="inlineStr">
        <is>
          <t>ASSI DI ROTAZIONE 1303</t>
        </is>
      </c>
      <c r="B206" s="4" t="inlineStr">
        <is>
          <t>40 MODULI 1303</t>
        </is>
      </c>
      <c r="C206" s="11" t="n">
        <v>2</v>
      </c>
      <c r="D206" s="4" t="inlineStr">
        <is>
          <t>10BZM8X150</t>
        </is>
      </c>
      <c r="E206" s="4" t="inlineStr">
        <is>
          <t>Bullone testa esagonale zn M8X150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/>
      <c r="M206" s="11" t="n">
        <v>12</v>
      </c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>
      <c r="A207" s="4" t="inlineStr">
        <is>
          <t>ASSI DI ROTAZIONE 1303</t>
        </is>
      </c>
      <c r="B207" s="4" t="inlineStr">
        <is>
          <t>40 MODULI 1303</t>
        </is>
      </c>
      <c r="C207" s="11" t="n">
        <v>3</v>
      </c>
      <c r="D207" s="4" t="inlineStr">
        <is>
          <t>10ROND8</t>
        </is>
      </c>
      <c r="E207" s="4" t="inlineStr">
        <is>
          <t>Rondella zn 8</t>
        </is>
      </c>
      <c r="F207" s="4" t="inlineStr">
        <is>
          <t>Bulloneria e minuteria</t>
        </is>
      </c>
      <c r="G207" s="11" t="n">
        <v>2</v>
      </c>
      <c r="H207" s="11" t="n"/>
      <c r="I207" s="11" t="n"/>
      <c r="J207" s="11" t="n"/>
      <c r="K207" s="11" t="n"/>
      <c r="L207" s="11" t="n"/>
      <c r="M207" s="11" t="n">
        <v>12</v>
      </c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>
      <c r="A208" s="4" t="inlineStr">
        <is>
          <t>ASSI DI ROTAZIONE 1303</t>
        </is>
      </c>
      <c r="B208" s="4" t="inlineStr">
        <is>
          <t>40 MODULI 1303</t>
        </is>
      </c>
      <c r="C208" s="11" t="n">
        <v>4</v>
      </c>
      <c r="D208" s="4" t="inlineStr">
        <is>
          <t>10ROND8</t>
        </is>
      </c>
      <c r="E208" s="4" t="inlineStr">
        <is>
          <t>Rondella zn 8</t>
        </is>
      </c>
      <c r="F208" s="4" t="inlineStr">
        <is>
          <t>Bulloneria e minuteria</t>
        </is>
      </c>
      <c r="G208" s="11" t="n">
        <v>2</v>
      </c>
      <c r="H208" s="11" t="n"/>
      <c r="I208" s="11" t="n"/>
      <c r="J208" s="11" t="n"/>
      <c r="K208" s="11" t="n"/>
      <c r="L208" s="11" t="n"/>
      <c r="M208" s="11" t="n">
        <v>12</v>
      </c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>
      <c r="A209" s="4" t="inlineStr">
        <is>
          <t>ASSI DI ROTAZIONE 1303</t>
        </is>
      </c>
      <c r="B209" s="4" t="inlineStr">
        <is>
          <t>40 MODULI 1303</t>
        </is>
      </c>
      <c r="C209" s="11" t="n">
        <v>5</v>
      </c>
      <c r="D209" s="4" t="inlineStr">
        <is>
          <t>10DAZAM8</t>
        </is>
      </c>
      <c r="E209" s="4" t="inlineStr">
        <is>
          <t>Dado autobloccante M8</t>
        </is>
      </c>
      <c r="F209" s="4" t="inlineStr">
        <is>
          <t>Bulloneria e minuteria</t>
        </is>
      </c>
      <c r="G209" s="11" t="n">
        <v>2</v>
      </c>
      <c r="H209" s="11" t="n"/>
      <c r="I209" s="11" t="n"/>
      <c r="J209" s="11" t="n"/>
      <c r="K209" s="11" t="n"/>
      <c r="L209" s="11" t="n"/>
      <c r="M209" s="11" t="n">
        <v>12</v>
      </c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>
      <c r="A210" s="4" t="inlineStr">
        <is>
          <t>ASSI DI ROTAZIONE 1303</t>
        </is>
      </c>
      <c r="B210" s="4" t="inlineStr">
        <is>
          <t>40 MODULI 1303</t>
        </is>
      </c>
      <c r="C210" s="11" t="n">
        <v>6</v>
      </c>
      <c r="D210" s="4" t="inlineStr">
        <is>
          <t>10BZM10X30</t>
        </is>
      </c>
      <c r="E210" s="4" t="inlineStr">
        <is>
          <t>Bullone testa esagonale zn M10X30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/>
      <c r="M210" s="11" t="n">
        <v>16</v>
      </c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>
      <c r="A211" s="4" t="inlineStr">
        <is>
          <t>ASSI DI ROTAZIONE 1303</t>
        </is>
      </c>
      <c r="B211" s="4" t="inlineStr">
        <is>
          <t>40 MODULI 1303</t>
        </is>
      </c>
      <c r="C211" s="11" t="n">
        <v>7</v>
      </c>
      <c r="D211" s="4" t="inlineStr">
        <is>
          <t>10ROND10</t>
        </is>
      </c>
      <c r="E211" s="4" t="inlineStr">
        <is>
          <t>Rondella zn 10</t>
        </is>
      </c>
      <c r="F211" s="4" t="inlineStr">
        <is>
          <t>Bulloneria e minuteria</t>
        </is>
      </c>
      <c r="G211" s="11" t="n">
        <v>8</v>
      </c>
      <c r="H211" s="11" t="n"/>
      <c r="I211" s="11" t="n"/>
      <c r="J211" s="11" t="n"/>
      <c r="K211" s="11" t="n"/>
      <c r="L211" s="11" t="n"/>
      <c r="M211" s="11" t="n">
        <v>16</v>
      </c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>
      <c r="A212" s="4" t="inlineStr">
        <is>
          <t>ASSI DI ROTAZIONE 1303</t>
        </is>
      </c>
      <c r="B212" s="4" t="inlineStr">
        <is>
          <t>40 MODULI 1303</t>
        </is>
      </c>
      <c r="C212" s="11" t="n">
        <v>8</v>
      </c>
      <c r="D212" s="4" t="inlineStr">
        <is>
          <t>10ROND10</t>
        </is>
      </c>
      <c r="E212" s="4" t="inlineStr">
        <is>
          <t>Rondella zn 10</t>
        </is>
      </c>
      <c r="F212" s="4" t="inlineStr">
        <is>
          <t>Bulloneria e minuteria</t>
        </is>
      </c>
      <c r="G212" s="11" t="n">
        <v>8</v>
      </c>
      <c r="H212" s="11" t="n"/>
      <c r="I212" s="11" t="n"/>
      <c r="J212" s="11" t="n"/>
      <c r="K212" s="11" t="n"/>
      <c r="L212" s="11" t="n"/>
      <c r="M212" s="11" t="n">
        <v>16</v>
      </c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>
      <c r="A213" s="4" t="inlineStr">
        <is>
          <t>ASSI DI ROTAZIONE 1303</t>
        </is>
      </c>
      <c r="B213" s="4" t="inlineStr">
        <is>
          <t>40 MODULI 1303</t>
        </is>
      </c>
      <c r="C213" s="11" t="n">
        <v>9</v>
      </c>
      <c r="D213" s="4" t="inlineStr">
        <is>
          <t>10DAZAM10</t>
        </is>
      </c>
      <c r="E213" s="4" t="inlineStr">
        <is>
          <t>Dado autobloccante M10</t>
        </is>
      </c>
      <c r="F213" s="4" t="inlineStr">
        <is>
          <t>Bulloneria e minuteria</t>
        </is>
      </c>
      <c r="G213" s="11" t="n">
        <v>8</v>
      </c>
      <c r="H213" s="11" t="n"/>
      <c r="I213" s="11" t="n"/>
      <c r="J213" s="11" t="n"/>
      <c r="K213" s="11" t="n"/>
      <c r="L213" s="11" t="n"/>
      <c r="M213" s="11" t="n">
        <v>16</v>
      </c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>
      <c r="A214" s="4" t="inlineStr">
        <is>
          <t>KIT OMEGA+pannelli</t>
        </is>
      </c>
      <c r="B214" s="4" t="n"/>
      <c r="C214" s="11" t="n">
        <v>1</v>
      </c>
      <c r="D214" s="4" t="inlineStr">
        <is>
          <t>10BZM8X25</t>
        </is>
      </c>
      <c r="E214" s="4" t="inlineStr">
        <is>
          <t>Bullone testa esagonale zn M8X25</t>
        </is>
      </c>
      <c r="F214" s="4" t="inlineStr">
        <is>
          <t>Bulloneria e minuteria</t>
        </is>
      </c>
      <c r="G214" s="11" t="n">
        <v>4</v>
      </c>
      <c r="H214" s="11" t="n">
        <v>56</v>
      </c>
      <c r="I214" s="11" t="n">
        <v>80</v>
      </c>
      <c r="J214" s="11" t="n">
        <v>88</v>
      </c>
      <c r="K214" s="11" t="n">
        <v>96</v>
      </c>
      <c r="L214" s="11" t="n">
        <v>152</v>
      </c>
      <c r="M214" s="11" t="n">
        <v>168</v>
      </c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KIT OMEGA+pannelli</t>
        </is>
      </c>
      <c r="B215" s="4" t="n"/>
      <c r="C215" s="11" t="n">
        <v>2</v>
      </c>
      <c r="D215" s="4" t="inlineStr">
        <is>
          <t>TTS.AR.3011</t>
        </is>
      </c>
      <c r="E215" s="4" t="inlineStr">
        <is>
          <t>Supporto a L superiore omega</t>
        </is>
      </c>
      <c r="F215" s="4" t="inlineStr">
        <is>
          <t>Carpenteria metallica</t>
        </is>
      </c>
      <c r="G215" s="11" t="n">
        <v>2</v>
      </c>
      <c r="H215" s="11" t="n">
        <v>28</v>
      </c>
      <c r="I215" s="11" t="n">
        <v>40</v>
      </c>
      <c r="J215" s="11" t="n">
        <v>44</v>
      </c>
      <c r="K215" s="11" t="n">
        <v>48</v>
      </c>
      <c r="L215" s="11" t="n">
        <v>76</v>
      </c>
      <c r="M215" s="11" t="n">
        <v>84</v>
      </c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KIT OMEGA+pannelli</t>
        </is>
      </c>
      <c r="B216" s="4" t="n"/>
      <c r="C216" s="11" t="n">
        <v>3</v>
      </c>
      <c r="D216" s="4" t="inlineStr">
        <is>
          <t>TTS.AR.3012</t>
        </is>
      </c>
      <c r="E216" s="4" t="inlineStr">
        <is>
          <t>Supporto a V inferiore omega</t>
        </is>
      </c>
      <c r="F216" s="4" t="inlineStr">
        <is>
          <t>Carpenteria metallica</t>
        </is>
      </c>
      <c r="G216" s="11" t="n">
        <v>2</v>
      </c>
      <c r="H216" s="11" t="n">
        <v>56</v>
      </c>
      <c r="I216" s="11" t="n">
        <v>40</v>
      </c>
      <c r="J216" s="11" t="n">
        <v>44</v>
      </c>
      <c r="K216" s="11" t="n">
        <v>48</v>
      </c>
      <c r="L216" s="11" t="n">
        <v>76</v>
      </c>
      <c r="M216" s="11" t="n">
        <v>84</v>
      </c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>
      <c r="A217" s="4" t="inlineStr">
        <is>
          <t>KIT OMEGA+pannelli</t>
        </is>
      </c>
      <c r="B217" s="4" t="n"/>
      <c r="C217" s="11" t="n">
        <v>4</v>
      </c>
      <c r="D217" s="4" t="inlineStr">
        <is>
          <t>10ROND8</t>
        </is>
      </c>
      <c r="E217" s="4" t="inlineStr">
        <is>
          <t>Rondella zn 8</t>
        </is>
      </c>
      <c r="F217" s="4" t="inlineStr">
        <is>
          <t>Bulloneria e minuteria</t>
        </is>
      </c>
      <c r="G217" s="11" t="n">
        <v>4</v>
      </c>
      <c r="H217" s="11" t="n">
        <v>56</v>
      </c>
      <c r="I217" s="11" t="n">
        <v>80</v>
      </c>
      <c r="J217" s="11" t="n">
        <v>88</v>
      </c>
      <c r="K217" s="11" t="n">
        <v>96</v>
      </c>
      <c r="L217" s="11" t="n">
        <v>152</v>
      </c>
      <c r="M217" s="11" t="n">
        <v>168</v>
      </c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>
      <c r="A218" s="4" t="inlineStr">
        <is>
          <t>KIT OMEGA+pannelli</t>
        </is>
      </c>
      <c r="B218" s="4" t="n"/>
      <c r="C218" s="11" t="n">
        <v>5</v>
      </c>
      <c r="D218" s="4" t="inlineStr">
        <is>
          <t>10DAZAM8</t>
        </is>
      </c>
      <c r="E218" s="4" t="inlineStr">
        <is>
          <t>Dado autobloccante M8</t>
        </is>
      </c>
      <c r="F218" s="4" t="inlineStr">
        <is>
          <t>Bulloneria e minuteria</t>
        </is>
      </c>
      <c r="G218" s="11" t="n">
        <v>4</v>
      </c>
      <c r="H218" s="11" t="n">
        <v>56</v>
      </c>
      <c r="I218" s="11" t="n">
        <v>80</v>
      </c>
      <c r="J218" s="11" t="n">
        <v>88</v>
      </c>
      <c r="K218" s="11" t="n">
        <v>96</v>
      </c>
      <c r="L218" s="11" t="n">
        <v>152</v>
      </c>
      <c r="M218" s="11" t="n">
        <v>168</v>
      </c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>
      <c r="A219" s="4" t="inlineStr">
        <is>
          <t>KIT OMEGA+pannelli</t>
        </is>
      </c>
      <c r="B219" s="4" t="n"/>
      <c r="C219" s="11" t="n">
        <v>6</v>
      </c>
      <c r="D219" s="4" t="inlineStr">
        <is>
          <t>10BZM10X160</t>
        </is>
      </c>
      <c r="E219" s="4" t="inlineStr">
        <is>
          <t>Bullone testa esagonale zn M10X160</t>
        </is>
      </c>
      <c r="F219" s="4" t="inlineStr">
        <is>
          <t>Bulloneria e minuteria</t>
        </is>
      </c>
      <c r="G219" s="11" t="n">
        <v>4</v>
      </c>
      <c r="H219" s="11" t="n">
        <v>56</v>
      </c>
      <c r="I219" s="11" t="n">
        <v>80</v>
      </c>
      <c r="J219" s="11" t="n">
        <v>88</v>
      </c>
      <c r="K219" s="11" t="n">
        <v>96</v>
      </c>
      <c r="L219" s="11" t="n">
        <v>152</v>
      </c>
      <c r="M219" s="11" t="n">
        <v>168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>
      <c r="A220" s="4" t="inlineStr">
        <is>
          <t>KIT OMEGA+pannelli</t>
        </is>
      </c>
      <c r="B220" s="4" t="n"/>
      <c r="C220" s="11" t="n">
        <v>7</v>
      </c>
      <c r="D220" s="4" t="inlineStr">
        <is>
          <t>10ROND10</t>
        </is>
      </c>
      <c r="E220" s="4" t="inlineStr">
        <is>
          <t>Rondella zn 10</t>
        </is>
      </c>
      <c r="F220" s="4" t="inlineStr">
        <is>
          <t>Bulloneria e minuteria</t>
        </is>
      </c>
      <c r="G220" s="11" t="n">
        <v>4</v>
      </c>
      <c r="H220" s="11" t="n">
        <v>56</v>
      </c>
      <c r="I220" s="11" t="n">
        <v>80</v>
      </c>
      <c r="J220" s="11" t="n">
        <v>88</v>
      </c>
      <c r="K220" s="11" t="n">
        <v>96</v>
      </c>
      <c r="L220" s="11" t="n">
        <v>152</v>
      </c>
      <c r="M220" s="11" t="n">
        <v>168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>
      <c r="A221" s="4" t="inlineStr">
        <is>
          <t>KIT OMEGA+pannelli</t>
        </is>
      </c>
      <c r="B221" s="4" t="n"/>
      <c r="C221" s="11" t="n">
        <v>8</v>
      </c>
      <c r="D221" s="4" t="inlineStr">
        <is>
          <t>10DAZAM8</t>
        </is>
      </c>
      <c r="E221" s="4" t="inlineStr">
        <is>
          <t>Dado autobloccante M8</t>
        </is>
      </c>
      <c r="F221" s="4" t="inlineStr">
        <is>
          <t>Bulloneria e minuteria</t>
        </is>
      </c>
      <c r="G221" s="11" t="n">
        <v>4</v>
      </c>
      <c r="H221" s="11" t="n">
        <v>56</v>
      </c>
      <c r="I221" s="11" t="n">
        <v>80</v>
      </c>
      <c r="J221" s="11" t="n">
        <v>88</v>
      </c>
      <c r="K221" s="11" t="n">
        <v>96</v>
      </c>
      <c r="L221" s="11" t="n">
        <v>152</v>
      </c>
      <c r="M221" s="11" t="n">
        <v>168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>
      <c r="A222" s="4" t="inlineStr">
        <is>
          <t>KIT OMEGA+pannelli</t>
        </is>
      </c>
      <c r="B222" s="4" t="n"/>
      <c r="C222" s="11" t="n">
        <v>9</v>
      </c>
      <c r="D222" s="4" t="inlineStr">
        <is>
          <t>10BZM6X150</t>
        </is>
      </c>
      <c r="E222" s="4" t="inlineStr">
        <is>
          <t>Bullone testa esagonale zn M6X150</t>
        </is>
      </c>
      <c r="F222" s="4" t="inlineStr">
        <is>
          <t>Bulloneria e minuteria</t>
        </is>
      </c>
      <c r="G222" s="11" t="n">
        <v>2</v>
      </c>
      <c r="H222" s="11" t="n">
        <v>28</v>
      </c>
      <c r="I222" s="11" t="n">
        <v>40</v>
      </c>
      <c r="J222" s="11" t="n">
        <v>44</v>
      </c>
      <c r="K222" s="11" t="n">
        <v>48</v>
      </c>
      <c r="L222" s="11" t="n">
        <v>76</v>
      </c>
      <c r="M222" s="11" t="n">
        <v>336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KIT OMEGA+pannelli</t>
        </is>
      </c>
      <c r="B223" s="4" t="n"/>
      <c r="C223" s="11" t="n">
        <v>10</v>
      </c>
      <c r="D223" s="4" t="inlineStr">
        <is>
          <t>TTS.AR.3013</t>
        </is>
      </c>
      <c r="E223" s="4" t="inlineStr">
        <is>
          <t>Gaffa sotto omega</t>
        </is>
      </c>
      <c r="F223" s="4" t="inlineStr">
        <is>
          <t>Carpenteria metallica</t>
        </is>
      </c>
      <c r="G223" s="11" t="n">
        <v>1</v>
      </c>
      <c r="H223" s="11" t="n">
        <v>14</v>
      </c>
      <c r="I223" s="11" t="n">
        <v>20</v>
      </c>
      <c r="J223" s="11" t="n">
        <v>22</v>
      </c>
      <c r="K223" s="11" t="n">
        <v>24</v>
      </c>
      <c r="L223" s="11" t="n">
        <v>38</v>
      </c>
      <c r="M223" s="11" t="n">
        <v>42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>
      <c r="A224" s="4" t="inlineStr">
        <is>
          <t>KIT OMEGA+pannelli</t>
        </is>
      </c>
      <c r="B224" s="4" t="n"/>
      <c r="C224" s="11" t="n">
        <v>11</v>
      </c>
      <c r="D224" s="4" t="inlineStr">
        <is>
          <t>10ROND6</t>
        </is>
      </c>
      <c r="E224" s="4" t="inlineStr">
        <is>
          <t>Rondella zn 6</t>
        </is>
      </c>
      <c r="F224" s="4" t="inlineStr">
        <is>
          <t>Bulloneria e minuteria</t>
        </is>
      </c>
      <c r="G224" s="11" t="n">
        <v>2</v>
      </c>
      <c r="H224" s="11" t="n">
        <v>28</v>
      </c>
      <c r="I224" s="11" t="n">
        <v>40</v>
      </c>
      <c r="J224" s="11" t="n">
        <v>44</v>
      </c>
      <c r="K224" s="11" t="n">
        <v>48</v>
      </c>
      <c r="L224" s="11" t="n">
        <v>76</v>
      </c>
      <c r="M224" s="11" t="n">
        <v>84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>
      <c r="A225" s="4" t="inlineStr">
        <is>
          <t>KIT OMEGA+pannelli</t>
        </is>
      </c>
      <c r="B225" s="4" t="n"/>
      <c r="C225" s="11" t="n">
        <v>12</v>
      </c>
      <c r="D225" s="4" t="inlineStr">
        <is>
          <t>10DAZAM6</t>
        </is>
      </c>
      <c r="E225" s="4" t="inlineStr">
        <is>
          <t>Dado autobloccante M6</t>
        </is>
      </c>
      <c r="F225" s="4" t="inlineStr">
        <is>
          <t>Bulloneria e minuteria</t>
        </is>
      </c>
      <c r="G225" s="11" t="n">
        <v>2</v>
      </c>
      <c r="H225" s="11" t="n">
        <v>28</v>
      </c>
      <c r="I225" s="11" t="n">
        <v>40</v>
      </c>
      <c r="J225" s="11" t="n">
        <v>44</v>
      </c>
      <c r="K225" s="11" t="n">
        <v>48</v>
      </c>
      <c r="L225" s="11" t="n">
        <v>76</v>
      </c>
      <c r="M225" s="11" t="n">
        <v>84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KIT OMEGA+pannelli</t>
        </is>
      </c>
      <c r="B226" s="4" t="n"/>
      <c r="C226" s="11" t="n">
        <v>13</v>
      </c>
      <c r="D226" s="4" t="inlineStr">
        <is>
          <t>TTS.AR.3014</t>
        </is>
      </c>
      <c r="E226" s="4" t="inlineStr">
        <is>
          <t>Omega supporto pannello</t>
        </is>
      </c>
      <c r="F226" s="4" t="inlineStr">
        <is>
          <t>Carpenteria metallica</t>
        </is>
      </c>
      <c r="G226" s="11" t="n">
        <v>1</v>
      </c>
      <c r="H226" s="11" t="n">
        <v>14</v>
      </c>
      <c r="I226" s="11" t="n">
        <v>40</v>
      </c>
      <c r="J226" s="11" t="n">
        <v>22</v>
      </c>
      <c r="K226" s="11" t="n">
        <v>48</v>
      </c>
      <c r="L226" s="11" t="n">
        <v>38</v>
      </c>
      <c r="M226" s="11" t="n">
        <v>42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KIT OMEGA+pannelli</t>
        </is>
      </c>
      <c r="B227" s="4" t="n"/>
      <c r="C227" s="11" t="n">
        <v>13</v>
      </c>
      <c r="D227" s="4" t="inlineStr">
        <is>
          <t>TTS.AR.3014.18</t>
        </is>
      </c>
      <c r="E227" s="4" t="inlineStr">
        <is>
          <t>Omega supporto pannello mm1,8</t>
        </is>
      </c>
      <c r="F227" s="4" t="inlineStr">
        <is>
          <t>Carpenteria metallica</t>
        </is>
      </c>
      <c r="G227" s="11" t="n">
        <v>0</v>
      </c>
      <c r="H227" s="11" t="n"/>
      <c r="I227" s="11" t="n"/>
      <c r="J227" s="11" t="n"/>
      <c r="K227" s="11" t="n"/>
      <c r="L227" s="11" t="n"/>
      <c r="M227" s="11" t="n"/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>
      <c r="A228" s="4" t="inlineStr">
        <is>
          <t>KIT OMEGA+pannelli</t>
        </is>
      </c>
      <c r="B228" s="4" t="n"/>
      <c r="C228" s="11" t="n">
        <v>14</v>
      </c>
      <c r="D228" s="4" t="inlineStr">
        <is>
          <t>10ROND8</t>
        </is>
      </c>
      <c r="E228" s="4" t="inlineStr">
        <is>
          <t>Rondella zn 8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>
      <c r="A229" s="4" t="inlineStr">
        <is>
          <t>KIT OMEGA+pannelli</t>
        </is>
      </c>
      <c r="B229" s="4" t="n"/>
      <c r="C229" s="11" t="n">
        <v>15</v>
      </c>
      <c r="D229" s="4" t="inlineStr">
        <is>
          <t>10ROND10</t>
        </is>
      </c>
      <c r="E229" s="4" t="inlineStr">
        <is>
          <t>Rondella zn 10</t>
        </is>
      </c>
      <c r="F229" s="4" t="inlineStr">
        <is>
          <t>Bulloneria e minuteria</t>
        </is>
      </c>
      <c r="G229" s="11" t="n">
        <v>4</v>
      </c>
      <c r="H229" s="11" t="n">
        <v>56</v>
      </c>
      <c r="I229" s="11" t="n">
        <v>80</v>
      </c>
      <c r="J229" s="11" t="n">
        <v>88</v>
      </c>
      <c r="K229" s="11" t="n">
        <v>96</v>
      </c>
      <c r="L229" s="11" t="n">
        <v>152</v>
      </c>
      <c r="M229" s="11" t="n">
        <v>168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>
      <c r="A230" s="4" t="inlineStr">
        <is>
          <t>KIT OMEGA+pannelli</t>
        </is>
      </c>
      <c r="B230" s="4" t="n"/>
      <c r="C230" s="11" t="n">
        <v>16</v>
      </c>
      <c r="D230" s="4" t="inlineStr">
        <is>
          <t>10ROND6</t>
        </is>
      </c>
      <c r="E230" s="4" t="inlineStr">
        <is>
          <t>Rondella zn 6</t>
        </is>
      </c>
      <c r="F230" s="4" t="inlineStr">
        <is>
          <t>Bulloneria e minuteria</t>
        </is>
      </c>
      <c r="G230" s="11" t="n">
        <v>2</v>
      </c>
      <c r="H230" s="11" t="n">
        <v>28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>
      <c r="A231" t="inlineStr">
        <is>
          <t>KIT OMEGA+pannelli</t>
        </is>
      </c>
      <c r="C231" s="13" t="n">
        <v>1</v>
      </c>
      <c r="E231" t="inlineStr">
        <is>
          <t>Pannello fotovoltaico</t>
        </is>
      </c>
      <c r="F231" t="inlineStr">
        <is>
          <t>Moduli fotovoltaici</t>
        </is>
      </c>
      <c r="G231" s="13" t="n">
        <v>1</v>
      </c>
      <c r="H231" s="13" t="n">
        <v>12</v>
      </c>
      <c r="I231" s="13" t="n">
        <v>18</v>
      </c>
      <c r="J231" s="13" t="n">
        <v>20</v>
      </c>
      <c r="K231" s="13" t="n">
        <v>22</v>
      </c>
      <c r="L231" s="13" t="n">
        <v>36</v>
      </c>
      <c r="M231" s="13" t="n">
        <v>40</v>
      </c>
      <c r="N231" s="13" t="n"/>
      <c r="O231" s="13" t="inlineStr">
        <is>
          <t>pz</t>
        </is>
      </c>
      <c r="P231" s="14" t="n"/>
      <c r="Q231" s="12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>
      <c r="A232" t="inlineStr">
        <is>
          <t>KIT OMEGA+pannelli</t>
        </is>
      </c>
      <c r="C232" s="13" t="n">
        <v>3</v>
      </c>
      <c r="D232" t="inlineStr">
        <is>
          <t>10ROND8</t>
        </is>
      </c>
      <c r="E232" s="6" t="inlineStr">
        <is>
          <t>Rondella da 8 zn</t>
        </is>
      </c>
      <c r="F232" t="inlineStr">
        <is>
          <t>Bulloneria e minuteria</t>
        </is>
      </c>
      <c r="G232" s="13" t="n">
        <v>4</v>
      </c>
      <c r="H232" s="13" t="n">
        <v>12</v>
      </c>
      <c r="I232" s="13" t="n">
        <v>72</v>
      </c>
      <c r="J232" s="13" t="n">
        <v>80</v>
      </c>
      <c r="K232" s="13" t="n">
        <v>88</v>
      </c>
      <c r="L232" s="13" t="n">
        <v>144</v>
      </c>
      <c r="M232" s="13" t="n">
        <v>160</v>
      </c>
      <c r="N232" s="13" t="n"/>
      <c r="O232" s="13" t="inlineStr">
        <is>
          <t>pz</t>
        </is>
      </c>
      <c r="P232" s="14" t="n"/>
      <c r="Q232" s="7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>
      <c r="A233" t="inlineStr">
        <is>
          <t>KIT OMEGA+pannelli</t>
        </is>
      </c>
      <c r="C233" s="13" t="n">
        <v>4</v>
      </c>
      <c r="D233" t="inlineStr">
        <is>
          <t>10BZM8X25</t>
        </is>
      </c>
      <c r="E233" t="inlineStr">
        <is>
          <t>Bullone testa esagonale zn M8x25</t>
        </is>
      </c>
      <c r="F233" t="inlineStr">
        <is>
          <t>Bulloneria e minuteria</t>
        </is>
      </c>
      <c r="G233" s="13" t="n">
        <v>4</v>
      </c>
      <c r="H233" s="13" t="n">
        <v>48</v>
      </c>
      <c r="I233" s="13" t="n">
        <v>72</v>
      </c>
      <c r="J233" s="13" t="n">
        <v>80</v>
      </c>
      <c r="K233" s="13" t="n">
        <v>88</v>
      </c>
      <c r="L233" s="13" t="n">
        <v>144</v>
      </c>
      <c r="M233" s="13" t="n">
        <v>160</v>
      </c>
      <c r="N233" s="13" t="n"/>
      <c r="O233" s="13" t="inlineStr">
        <is>
          <t>pz</t>
        </is>
      </c>
      <c r="P233" s="14" t="n"/>
      <c r="Q233" s="12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>
      <c r="A234" t="inlineStr">
        <is>
          <t>KIT OMEGA+pannelli</t>
        </is>
      </c>
      <c r="C234" s="13" t="n">
        <v>5</v>
      </c>
      <c r="D234" t="inlineStr">
        <is>
          <t>10ROND8</t>
        </is>
      </c>
      <c r="E234" t="inlineStr">
        <is>
          <t>Rondella da 8 zn</t>
        </is>
      </c>
      <c r="F234" t="inlineStr">
        <is>
          <t>Bulloneria e minuteria</t>
        </is>
      </c>
      <c r="G234" s="13" t="n">
        <v>4</v>
      </c>
      <c r="H234" s="13" t="n">
        <v>48</v>
      </c>
      <c r="I234" s="13" t="n">
        <v>72</v>
      </c>
      <c r="J234" s="13" t="n">
        <v>80</v>
      </c>
      <c r="K234" s="13" t="n">
        <v>88</v>
      </c>
      <c r="L234" s="13" t="n">
        <v>144</v>
      </c>
      <c r="M234" s="13" t="n">
        <v>160</v>
      </c>
      <c r="N234" s="13" t="n"/>
      <c r="O234" s="13" t="inlineStr">
        <is>
          <t>pz</t>
        </is>
      </c>
      <c r="P234" s="14" t="n"/>
      <c r="Q234" s="12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>
      <c r="A235" t="inlineStr">
        <is>
          <t>KIT OMEGA+pannelli</t>
        </is>
      </c>
      <c r="C235" s="13" t="n">
        <v>6</v>
      </c>
      <c r="D235" t="inlineStr">
        <is>
          <t>10DADAZM8</t>
        </is>
      </c>
      <c r="E235" t="inlineStr">
        <is>
          <t>Dado autobloccante M8 zn</t>
        </is>
      </c>
      <c r="F235" t="inlineStr">
        <is>
          <t>Bulloneria e minuteria</t>
        </is>
      </c>
      <c r="G235" s="13" t="n">
        <v>4</v>
      </c>
      <c r="H235" s="13" t="n">
        <v>48</v>
      </c>
      <c r="I235" s="13" t="n">
        <v>72</v>
      </c>
      <c r="J235" s="13" t="n">
        <v>80</v>
      </c>
      <c r="K235" s="13" t="n">
        <v>88</v>
      </c>
      <c r="L235" s="13" t="n">
        <v>144</v>
      </c>
      <c r="M235" s="13" t="n">
        <v>160</v>
      </c>
      <c r="N235" s="13" t="n"/>
      <c r="O235" s="13" t="inlineStr">
        <is>
          <t>pz</t>
        </is>
      </c>
      <c r="P235" s="14" t="n"/>
      <c r="Q235" s="12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>
      <c r="A236" t="inlineStr">
        <is>
          <t>KIT OMEGA+pannelli</t>
        </is>
      </c>
      <c r="C236" s="13" t="n">
        <v>1</v>
      </c>
      <c r="E236" t="inlineStr">
        <is>
          <t>Pannellino fotovoltaico optional</t>
        </is>
      </c>
      <c r="F236" t="inlineStr">
        <is>
          <t>Moduli fotovoltaici</t>
        </is>
      </c>
      <c r="G236" s="13" t="n">
        <v>1</v>
      </c>
      <c r="H236" s="13" t="n"/>
      <c r="I236" s="13" t="n"/>
      <c r="J236" s="13" t="n"/>
      <c r="K236" s="13" t="n"/>
      <c r="L236" s="13" t="n"/>
      <c r="M236" s="13" t="n"/>
      <c r="N236" s="13" t="n"/>
      <c r="O236" s="13" t="inlineStr">
        <is>
          <t>pz</t>
        </is>
      </c>
      <c r="P236" s="14" t="n"/>
      <c r="Q236" s="12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>
      <c r="A237" t="inlineStr">
        <is>
          <t>KIT OMEGA+pannelli</t>
        </is>
      </c>
      <c r="C237" s="13" t="n">
        <v>3</v>
      </c>
      <c r="D237" t="inlineStr">
        <is>
          <t>10ROND8</t>
        </is>
      </c>
      <c r="E237" t="inlineStr">
        <is>
          <t>Rondella da 8 zn</t>
        </is>
      </c>
      <c r="F237" t="inlineStr">
        <is>
          <t>Bulloneria e minuteria</t>
        </is>
      </c>
      <c r="G237" s="13" t="n">
        <v>4</v>
      </c>
      <c r="H237" s="13" t="n"/>
      <c r="I237" s="13" t="n"/>
      <c r="J237" s="13" t="n"/>
      <c r="K237" s="13" t="n"/>
      <c r="L237" s="13" t="n"/>
      <c r="M237" s="13" t="n"/>
      <c r="N237" s="13" t="n"/>
      <c r="O237" s="13" t="inlineStr">
        <is>
          <t>pz</t>
        </is>
      </c>
      <c r="P237" s="14" t="n"/>
      <c r="Q237" s="12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>
      <c r="A238" t="inlineStr">
        <is>
          <t>KIT OMEGA+pannelli</t>
        </is>
      </c>
      <c r="C238" s="13" t="n">
        <v>4</v>
      </c>
      <c r="D238" t="inlineStr">
        <is>
          <t>10BZM8X25</t>
        </is>
      </c>
      <c r="E238" t="inlineStr">
        <is>
          <t>Bullone testa esagonale zn M8x25</t>
        </is>
      </c>
      <c r="F238" t="inlineStr">
        <is>
          <t>Bulloneria e minuteria</t>
        </is>
      </c>
      <c r="G238" s="13" t="n">
        <v>4</v>
      </c>
      <c r="H238" s="13" t="n"/>
      <c r="I238" s="13" t="n"/>
      <c r="J238" s="13" t="n"/>
      <c r="K238" s="13" t="n"/>
      <c r="L238" s="13" t="n"/>
      <c r="M238" s="13" t="n"/>
      <c r="N238" s="13" t="n"/>
      <c r="O238" s="13" t="inlineStr">
        <is>
          <t>pz</t>
        </is>
      </c>
      <c r="P238" s="14" t="n"/>
      <c r="Q238" s="12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>
      <c r="A239" t="inlineStr">
        <is>
          <t>KIT OMEGA+pannelli</t>
        </is>
      </c>
      <c r="C239" s="13" t="n">
        <v>5</v>
      </c>
      <c r="D239" t="inlineStr">
        <is>
          <t>10ROND8</t>
        </is>
      </c>
      <c r="E239" t="inlineStr">
        <is>
          <t>Rondella da 8 zn</t>
        </is>
      </c>
      <c r="F239" t="inlineStr">
        <is>
          <t>Bulloneria e minuteria</t>
        </is>
      </c>
      <c r="G239" s="13" t="n">
        <v>4</v>
      </c>
      <c r="H239" s="13" t="n"/>
      <c r="I239" s="13" t="n"/>
      <c r="J239" s="13" t="n"/>
      <c r="K239" s="13" t="n"/>
      <c r="L239" s="13" t="n"/>
      <c r="M239" s="13" t="n"/>
      <c r="N239" s="13" t="n"/>
      <c r="O239" s="13" t="inlineStr">
        <is>
          <t>pz</t>
        </is>
      </c>
      <c r="P239" s="14" t="n"/>
      <c r="Q239" s="12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>
      <c r="A240" t="inlineStr">
        <is>
          <t>KIT OMEGA+pannelli</t>
        </is>
      </c>
      <c r="C240" s="13" t="n">
        <v>6</v>
      </c>
      <c r="D240" t="inlineStr">
        <is>
          <t>10DADAZM8</t>
        </is>
      </c>
      <c r="E240" t="inlineStr">
        <is>
          <t>Dado autobloccante M8 zn</t>
        </is>
      </c>
      <c r="F240" t="inlineStr">
        <is>
          <t>Bulloneria e minuteria</t>
        </is>
      </c>
      <c r="G240" s="13" t="n">
        <v>4</v>
      </c>
      <c r="H240" s="13" t="n"/>
      <c r="I240" s="13" t="n"/>
      <c r="J240" s="13" t="n"/>
      <c r="K240" s="13" t="n"/>
      <c r="L240" s="13" t="n"/>
      <c r="M240" s="13" t="n"/>
      <c r="N240" s="13" t="n"/>
      <c r="O240" s="13" t="inlineStr">
        <is>
          <t>pz</t>
        </is>
      </c>
      <c r="P240" s="14" t="n"/>
      <c r="Q240" s="12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>
      <c r="A241" t="inlineStr">
        <is>
          <t>KIT FINE CORSA</t>
        </is>
      </c>
      <c r="B241" t="inlineStr">
        <is>
          <t>1 KIT PER TRACKER</t>
        </is>
      </c>
      <c r="C241" s="13" t="n">
        <v>1</v>
      </c>
      <c r="D241" t="inlineStr">
        <is>
          <t>10BZM5X30</t>
        </is>
      </c>
      <c r="E241" t="inlineStr">
        <is>
          <t>Bullone testa esagonale zn M5x30</t>
        </is>
      </c>
      <c r="F241" t="inlineStr">
        <is>
          <t>Bulloneria e minuteria</t>
        </is>
      </c>
      <c r="G241" s="13" t="n">
        <v>4</v>
      </c>
      <c r="H241" s="13" t="n"/>
      <c r="I241" s="13" t="n"/>
      <c r="J241" s="13" t="n"/>
      <c r="K241" s="13" t="n"/>
      <c r="L241" s="13" t="n"/>
      <c r="M241" s="13" t="n"/>
      <c r="N241" s="13" t="n"/>
      <c r="O241" s="13" t="inlineStr">
        <is>
          <t>pz</t>
        </is>
      </c>
      <c r="P241" s="14" t="n"/>
      <c r="Q241" s="12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>
      <c r="A242" t="inlineStr">
        <is>
          <t>KIT FINE CORSA</t>
        </is>
      </c>
      <c r="B242" t="inlineStr">
        <is>
          <t>1 KIT PER TRACKER</t>
        </is>
      </c>
      <c r="C242" s="13" t="n">
        <v>2</v>
      </c>
      <c r="D242" t="inlineStr">
        <is>
          <t>10S-FC</t>
        </is>
      </c>
      <c r="E242" t="inlineStr">
        <is>
          <t>Sensore fine corsa elettrico</t>
        </is>
      </c>
      <c r="F242" t="inlineStr">
        <is>
          <t>Sensoristica e strumentazione</t>
        </is>
      </c>
      <c r="G242" s="13" t="n">
        <v>1</v>
      </c>
      <c r="H242" s="13" t="n"/>
      <c r="I242" s="13" t="n"/>
      <c r="J242" s="13" t="n"/>
      <c r="K242" s="13" t="n"/>
      <c r="L242" s="13" t="n"/>
      <c r="M242" s="13" t="n"/>
      <c r="N242" s="13" t="n"/>
      <c r="O242" s="13" t="inlineStr">
        <is>
          <t>pz</t>
        </is>
      </c>
      <c r="P242" s="14" t="n"/>
      <c r="Q242" s="12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t="inlineStr">
        <is>
          <t>KIT FINE CORSA</t>
        </is>
      </c>
      <c r="B243" t="inlineStr">
        <is>
          <t>1 KIT PER TRACKER</t>
        </is>
      </c>
      <c r="C243" s="13" t="n">
        <v>3</v>
      </c>
      <c r="D243" t="inlineStr">
        <is>
          <t>TTS.AR.5011</t>
        </is>
      </c>
      <c r="E243" t="inlineStr">
        <is>
          <t>Piastra ad L supporto fine corsa</t>
        </is>
      </c>
      <c r="F243" t="inlineStr">
        <is>
          <t>Carpenteria metallica</t>
        </is>
      </c>
      <c r="G243" s="13" t="n">
        <v>1</v>
      </c>
      <c r="H243" s="13" t="n"/>
      <c r="I243" s="13" t="n"/>
      <c r="J243" s="13" t="n"/>
      <c r="K243" s="13" t="n"/>
      <c r="L243" s="13" t="n"/>
      <c r="M243" s="13" t="n"/>
      <c r="N243" s="13" t="n"/>
      <c r="O243" s="13" t="inlineStr">
        <is>
          <t>pz</t>
        </is>
      </c>
      <c r="P243" s="14" t="n"/>
      <c r="Q243" s="12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>
      <c r="A244" t="inlineStr">
        <is>
          <t>KIT FINE CORSA</t>
        </is>
      </c>
      <c r="B244" t="inlineStr">
        <is>
          <t>1 KIT PER TRACKER</t>
        </is>
      </c>
      <c r="C244" s="13" t="n">
        <v>4</v>
      </c>
      <c r="D244" t="inlineStr">
        <is>
          <t>10ROND5</t>
        </is>
      </c>
      <c r="E244" t="inlineStr">
        <is>
          <t>Rondella zn 5</t>
        </is>
      </c>
      <c r="F244" t="inlineStr">
        <is>
          <t>Bulloneria e minuteria</t>
        </is>
      </c>
      <c r="G244" s="13" t="n">
        <v>2</v>
      </c>
      <c r="H244" s="13" t="n"/>
      <c r="I244" s="13" t="n"/>
      <c r="J244" s="13" t="n"/>
      <c r="K244" s="13" t="n"/>
      <c r="L244" s="13" t="n"/>
      <c r="M244" s="13" t="n"/>
      <c r="N244" s="13" t="n"/>
      <c r="O244" s="13" t="inlineStr">
        <is>
          <t>pz</t>
        </is>
      </c>
      <c r="P244" s="14" t="n"/>
      <c r="Q244" s="12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>
      <c r="A245" t="inlineStr">
        <is>
          <t>KIT FINE CORSA</t>
        </is>
      </c>
      <c r="B245" t="inlineStr">
        <is>
          <t>1 KIT PER TRACKER</t>
        </is>
      </c>
      <c r="C245" s="13" t="n">
        <v>5</v>
      </c>
      <c r="D245" t="inlineStr">
        <is>
          <t>10DAZAM5</t>
        </is>
      </c>
      <c r="E245" t="inlineStr">
        <is>
          <t>Dado M5 autobloccante</t>
        </is>
      </c>
      <c r="F245" t="inlineStr">
        <is>
          <t>Bulloneria e minuteria</t>
        </is>
      </c>
      <c r="G245" s="13" t="n">
        <v>4</v>
      </c>
      <c r="H245" s="13" t="n"/>
      <c r="I245" s="13" t="n"/>
      <c r="J245" s="13" t="n"/>
      <c r="K245" s="13" t="n"/>
      <c r="L245" s="13" t="n"/>
      <c r="M245" s="13" t="n"/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>
      <c r="A246" t="inlineStr">
        <is>
          <t>KIT FINE CORSA</t>
        </is>
      </c>
      <c r="B246" t="inlineStr">
        <is>
          <t>1 KIT PER TRACKER</t>
        </is>
      </c>
      <c r="C246" s="13" t="n">
        <v>6</v>
      </c>
      <c r="D246" t="inlineStr">
        <is>
          <t>10BZM6X20</t>
        </is>
      </c>
      <c r="E246" t="inlineStr">
        <is>
          <t>Bullone testa esagonale zn M6X20</t>
        </is>
      </c>
      <c r="F246" t="inlineStr">
        <is>
          <t>Bulloneria e minuteria</t>
        </is>
      </c>
      <c r="G246" s="13" t="n">
        <v>2</v>
      </c>
      <c r="H246" s="13" t="n"/>
      <c r="I246" s="13" t="n"/>
      <c r="J246" s="13" t="n"/>
      <c r="K246" s="13" t="n"/>
      <c r="L246" s="13" t="n"/>
      <c r="M246" s="13" t="n"/>
      <c r="N246" s="13" t="n"/>
      <c r="O246" s="13" t="inlineStr">
        <is>
          <t>pz</t>
        </is>
      </c>
      <c r="P246" s="14" t="n"/>
      <c r="Q246" s="12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>
      <c r="A247" t="inlineStr">
        <is>
          <t>KIT FINE CORSA</t>
        </is>
      </c>
      <c r="B247" t="inlineStr">
        <is>
          <t>1 KIT PER TRACKER</t>
        </is>
      </c>
      <c r="C247" s="13" t="n">
        <v>7</v>
      </c>
      <c r="D247" t="inlineStr">
        <is>
          <t>10ROND6</t>
        </is>
      </c>
      <c r="E247" t="inlineStr">
        <is>
          <t>Rondella zn 6</t>
        </is>
      </c>
      <c r="F247" t="inlineStr">
        <is>
          <t>Bulloneria e minuteria</t>
        </is>
      </c>
      <c r="G247" s="13" t="n">
        <v>2</v>
      </c>
      <c r="H247" s="13" t="n"/>
      <c r="I247" s="13" t="n"/>
      <c r="J247" s="13" t="n"/>
      <c r="K247" s="13" t="n"/>
      <c r="L247" s="13" t="n"/>
      <c r="M247" s="13" t="n"/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>
      <c r="A248" t="inlineStr">
        <is>
          <t>KIT FINE CORSA</t>
        </is>
      </c>
      <c r="B248" t="inlineStr">
        <is>
          <t>1 KIT PER TRACKER</t>
        </is>
      </c>
      <c r="C248" s="13" t="n">
        <v>9</v>
      </c>
      <c r="D248" t="inlineStr">
        <is>
          <t>10ROND6</t>
        </is>
      </c>
      <c r="E248" t="inlineStr">
        <is>
          <t>Rondella zn 6</t>
        </is>
      </c>
      <c r="F248" t="inlineStr">
        <is>
          <t>Bulloneria e minuteria</t>
        </is>
      </c>
      <c r="G248" s="13" t="n">
        <v>2</v>
      </c>
      <c r="H248" s="13" t="n"/>
      <c r="I248" s="13" t="n"/>
      <c r="J248" s="13" t="n"/>
      <c r="K248" s="13" t="n"/>
      <c r="L248" s="13" t="n"/>
      <c r="M248" s="13" t="n"/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>
      <c r="A249" t="inlineStr">
        <is>
          <t>KIT FINE CORSA</t>
        </is>
      </c>
      <c r="B249" t="inlineStr">
        <is>
          <t>1 KIT PER TRACKER</t>
        </is>
      </c>
      <c r="C249" s="13" t="n">
        <v>10</v>
      </c>
      <c r="D249" t="inlineStr">
        <is>
          <t>10DAZAM6</t>
        </is>
      </c>
      <c r="E249" t="inlineStr">
        <is>
          <t>Dado M6 autobloccante</t>
        </is>
      </c>
      <c r="F249" t="inlineStr">
        <is>
          <t>Bulloneria e minuteria</t>
        </is>
      </c>
      <c r="G249" s="13" t="n">
        <v>2</v>
      </c>
      <c r="H249" s="13" t="n"/>
      <c r="I249" s="13" t="n"/>
      <c r="J249" s="13" t="n"/>
      <c r="K249" s="13" t="n"/>
      <c r="L249" s="13" t="n"/>
      <c r="M249" s="13" t="n"/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>
      <c r="A250" t="inlineStr">
        <is>
          <t>KIT FINE CORSA</t>
        </is>
      </c>
      <c r="B250" t="inlineStr">
        <is>
          <t>1 KIT PER TRACKER</t>
        </is>
      </c>
      <c r="C250" s="13" t="n">
        <v>1</v>
      </c>
      <c r="D250" t="inlineStr">
        <is>
          <t>10BZM16X25</t>
        </is>
      </c>
      <c r="E250" t="inlineStr">
        <is>
          <t>Bullone testa esagonale zn M16X25</t>
        </is>
      </c>
      <c r="F250" t="inlineStr">
        <is>
          <t>Bulloneria e minuteria</t>
        </is>
      </c>
      <c r="G250" s="13" t="n">
        <v>2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>
      <c r="A251" t="inlineStr">
        <is>
          <t>KIT FINE CORSA</t>
        </is>
      </c>
      <c r="B251" t="inlineStr">
        <is>
          <t>1 KIT PER TRACKER</t>
        </is>
      </c>
      <c r="C251" s="13" t="n">
        <v>2</v>
      </c>
      <c r="D251" t="inlineStr">
        <is>
          <t>10ROND16</t>
        </is>
      </c>
      <c r="E251" t="inlineStr">
        <is>
          <t>Rondella zn 16</t>
        </is>
      </c>
      <c r="F251" t="inlineStr">
        <is>
          <t>Bulloneria e minuteria</t>
        </is>
      </c>
      <c r="G251" s="13" t="n">
        <v>2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FINE CORSA</t>
        </is>
      </c>
      <c r="B252" t="inlineStr">
        <is>
          <t>1 KIT PER TRACKER</t>
        </is>
      </c>
      <c r="C252" s="13" t="n">
        <v>3</v>
      </c>
      <c r="D252" t="inlineStr">
        <is>
          <t>TTS.AR.5012</t>
        </is>
      </c>
      <c r="E252" t="inlineStr">
        <is>
          <t>Leva battente sensore fine corsa</t>
        </is>
      </c>
      <c r="F252" t="inlineStr">
        <is>
          <t>Carpenteria metallica</t>
        </is>
      </c>
      <c r="G252" s="13" t="n">
        <v>1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INCLINOMETRO</t>
        </is>
      </c>
      <c r="B253" t="inlineStr">
        <is>
          <t>1 KIT PER TRACKER</t>
        </is>
      </c>
      <c r="C253" s="13" t="n">
        <v>1</v>
      </c>
      <c r="D253" t="inlineStr">
        <is>
          <t>TTS.AR.4011</t>
        </is>
      </c>
      <c r="E253" t="inlineStr">
        <is>
          <t>Supporto superiore inclinometro</t>
        </is>
      </c>
      <c r="F253" t="inlineStr">
        <is>
          <t>Carpenteria metallica</t>
        </is>
      </c>
      <c r="G253" s="13" t="n">
        <v>1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>
      <c r="A254" t="inlineStr">
        <is>
          <t>KIT INCLINOMETRO</t>
        </is>
      </c>
      <c r="B254" t="inlineStr">
        <is>
          <t>1 KIT PER TRACKER</t>
        </is>
      </c>
      <c r="C254" s="13" t="n">
        <v>2</v>
      </c>
      <c r="D254" t="inlineStr">
        <is>
          <t>10BZM8X150</t>
        </is>
      </c>
      <c r="E254" t="inlineStr">
        <is>
          <t>Bullone testa esagonale zn M8X150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>
      <c r="A255" t="inlineStr">
        <is>
          <t>KIT INCLINOMETRO</t>
        </is>
      </c>
      <c r="B255" t="inlineStr">
        <is>
          <t>1 KIT PER TRACKER</t>
        </is>
      </c>
      <c r="C255" s="13" t="n">
        <v>3</v>
      </c>
      <c r="D255" t="inlineStr">
        <is>
          <t>10ROND8</t>
        </is>
      </c>
      <c r="E255" t="inlineStr">
        <is>
          <t>Rondella zn 8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INCLINOMETRO</t>
        </is>
      </c>
      <c r="B256" t="inlineStr">
        <is>
          <t>1 KIT PER TRACKER</t>
        </is>
      </c>
      <c r="C256" s="13" t="n">
        <v>4</v>
      </c>
      <c r="D256" t="inlineStr">
        <is>
          <t>TTS.AR.4012</t>
        </is>
      </c>
      <c r="E256" t="inlineStr">
        <is>
          <t>Supporto inferiore inclinometro</t>
        </is>
      </c>
      <c r="F256" t="inlineStr">
        <is>
          <t>Carpenteria metallica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>
      <c r="A257" t="inlineStr">
        <is>
          <t>KIT INCLINOMETRO</t>
        </is>
      </c>
      <c r="B257" t="inlineStr">
        <is>
          <t>1 KIT PER TRACKER</t>
        </is>
      </c>
      <c r="C257" s="13" t="n">
        <v>5</v>
      </c>
      <c r="D257" t="inlineStr">
        <is>
          <t>10ROND8</t>
        </is>
      </c>
      <c r="E257" t="inlineStr">
        <is>
          <t>Rondella zn 8</t>
        </is>
      </c>
      <c r="F257" t="inlineStr">
        <is>
          <t>Bulloneria e minuteria</t>
        </is>
      </c>
      <c r="G257" s="13" t="n">
        <v>4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>
      <c r="A258" t="inlineStr">
        <is>
          <t>KIT INCLINOMETRO</t>
        </is>
      </c>
      <c r="B258" t="inlineStr">
        <is>
          <t>1 KIT PER TRACKER</t>
        </is>
      </c>
      <c r="C258" s="13" t="n">
        <v>6</v>
      </c>
      <c r="D258" t="inlineStr">
        <is>
          <t>10DAZAM8</t>
        </is>
      </c>
      <c r="E258" t="inlineStr">
        <is>
          <t>Dado M8 autobloccante</t>
        </is>
      </c>
      <c r="F258" t="inlineStr">
        <is>
          <t>Bulloneria e minuteria</t>
        </is>
      </c>
      <c r="G258" s="13" t="n">
        <v>4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>
      <c r="A259" t="inlineStr">
        <is>
          <t>KIT INCLINOMETRO</t>
        </is>
      </c>
      <c r="B259" t="inlineStr">
        <is>
          <t>1 KIT PER TRACKER</t>
        </is>
      </c>
      <c r="C259" s="13" t="n">
        <v>7</v>
      </c>
      <c r="D259" t="inlineStr">
        <is>
          <t>TK1024S</t>
        </is>
      </c>
      <c r="E259" t="inlineStr">
        <is>
          <t>Inclinometro</t>
        </is>
      </c>
      <c r="F259" t="inlineStr">
        <is>
          <t>Sensoristica e strumentazione</t>
        </is>
      </c>
      <c r="G259" s="13" t="n">
        <v>1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>
      <c r="A260" t="inlineStr">
        <is>
          <t>KIT INCLINOMETRO</t>
        </is>
      </c>
      <c r="B260" t="inlineStr">
        <is>
          <t>1 KIT PER TRACKER</t>
        </is>
      </c>
      <c r="C260" s="13" t="n">
        <v>8</v>
      </c>
      <c r="D260" t="inlineStr">
        <is>
          <t>M5X30 8.8 ISO1207</t>
        </is>
      </c>
      <c r="E260" t="inlineStr">
        <is>
          <t>Bullone testa esagonale con intaglio M5x30</t>
        </is>
      </c>
      <c r="F260" t="inlineStr">
        <is>
          <t>Bulloneria e minuteria</t>
        </is>
      </c>
      <c r="G260" s="13" t="n">
        <v>4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>
      <c r="A261" t="inlineStr">
        <is>
          <t>KIT INCLINOMETRO</t>
        </is>
      </c>
      <c r="B261" t="inlineStr">
        <is>
          <t>1 KIT PER TRACKER</t>
        </is>
      </c>
      <c r="C261" s="13" t="n">
        <v>9</v>
      </c>
      <c r="D261" t="inlineStr">
        <is>
          <t>10ROND5</t>
        </is>
      </c>
      <c r="E261" t="inlineStr">
        <is>
          <t>Rondella zn 5</t>
        </is>
      </c>
      <c r="F261" t="inlineStr">
        <is>
          <t>Bulloneria e minuteria</t>
        </is>
      </c>
      <c r="G261" s="13" t="n">
        <v>4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>
      <c r="A262" t="inlineStr">
        <is>
          <t>KIT INCLINOMETRO</t>
        </is>
      </c>
      <c r="B262" t="inlineStr">
        <is>
          <t>1 KIT PER TRACKER</t>
        </is>
      </c>
      <c r="C262" s="13" t="n">
        <v>10</v>
      </c>
      <c r="D262" t="inlineStr">
        <is>
          <t>10DAZAM5</t>
        </is>
      </c>
      <c r="E262" t="inlineStr">
        <is>
          <t>Dado M5 autobloccante</t>
        </is>
      </c>
      <c r="F262" t="inlineStr">
        <is>
          <t>Bulloneria e minuteria</t>
        </is>
      </c>
      <c r="G262" s="13" t="n">
        <v>4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quadro motore</t>
        </is>
      </c>
      <c r="C263" s="13" t="n">
        <v>1</v>
      </c>
      <c r="D263" t="inlineStr">
        <is>
          <t>TTS.PM.2011</t>
        </is>
      </c>
      <c r="E263" t="inlineStr">
        <is>
          <t>Angolare 30x30x4 lungo 370 mm. superiore</t>
        </is>
      </c>
      <c r="F263" t="inlineStr">
        <is>
          <t>Carpenteria metallica</t>
        </is>
      </c>
      <c r="G263" s="13" t="n">
        <v>1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quadro motore</t>
        </is>
      </c>
      <c r="C264" s="13" t="n">
        <v>2</v>
      </c>
      <c r="D264" t="inlineStr">
        <is>
          <t>TTS.PM.2012</t>
        </is>
      </c>
      <c r="E264" t="inlineStr">
        <is>
          <t>Angolare 30x30x4 lungo 370 mm. inferiore</t>
        </is>
      </c>
      <c r="F264" t="inlineStr">
        <is>
          <t>Carpenteria metallica</t>
        </is>
      </c>
      <c r="G264" s="13" t="n">
        <v>1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>
      <c r="A265" t="inlineStr">
        <is>
          <t>kit quadro motore</t>
        </is>
      </c>
      <c r="C265" s="13" t="n">
        <v>3</v>
      </c>
      <c r="D265" t="inlineStr">
        <is>
          <t>10BZM6X30</t>
        </is>
      </c>
      <c r="E265" t="inlineStr">
        <is>
          <t>Bullone testa esagonale zn M6X30</t>
        </is>
      </c>
      <c r="F265" t="inlineStr">
        <is>
          <t>Bulloneria e minuteria</t>
        </is>
      </c>
      <c r="G265" s="13" t="n">
        <v>4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>
      <c r="A266" t="inlineStr">
        <is>
          <t>kit quadro motore</t>
        </is>
      </c>
      <c r="C266" s="13" t="n">
        <v>4</v>
      </c>
      <c r="D266" t="inlineStr">
        <is>
          <t>10ROND6</t>
        </is>
      </c>
      <c r="E266" t="inlineStr">
        <is>
          <t>Rondella zn 6</t>
        </is>
      </c>
      <c r="F266" t="inlineStr">
        <is>
          <t>Bulloneria e minuteria</t>
        </is>
      </c>
      <c r="G266" s="13" t="n">
        <v>4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>
      <c r="A267" t="inlineStr">
        <is>
          <t>kit quadro motore</t>
        </is>
      </c>
      <c r="C267" s="13" t="n">
        <v>5</v>
      </c>
      <c r="D267" t="inlineStr">
        <is>
          <t>10ROND6</t>
        </is>
      </c>
      <c r="E267" t="inlineStr">
        <is>
          <t>Rondella zn 6</t>
        </is>
      </c>
      <c r="F267" t="inlineStr">
        <is>
          <t>Bulloneria e minuteria</t>
        </is>
      </c>
      <c r="G267" s="13" t="n">
        <v>4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>
      <c r="A268" t="inlineStr">
        <is>
          <t>kit quadro motore</t>
        </is>
      </c>
      <c r="C268" s="13" t="n">
        <v>6</v>
      </c>
      <c r="D268" t="inlineStr">
        <is>
          <t>10DAZAM6</t>
        </is>
      </c>
      <c r="E268" t="inlineStr">
        <is>
          <t>Dado M6 autobloccante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quadro motore</t>
        </is>
      </c>
      <c r="C269" s="13" t="n">
        <v>7</v>
      </c>
      <c r="D269" t="inlineStr">
        <is>
          <t>TTS.PM.001.IPE140.22</t>
        </is>
      </c>
      <c r="E269" t="inlineStr">
        <is>
          <t>Pilastro motore trave ipe140 x 2220 con foratura alloggiamento quadro motore (standard)</t>
        </is>
      </c>
      <c r="F269" t="inlineStr">
        <is>
          <t>Carpenteria metallica</t>
        </is>
      </c>
      <c r="G269" s="13" t="n">
        <v>1</v>
      </c>
      <c r="H269" s="13" t="n"/>
      <c r="I269" s="13" t="n"/>
      <c r="J269" s="13" t="n"/>
      <c r="K269" s="13" t="n"/>
      <c r="L269" s="13" t="n"/>
      <c r="M269" s="13" t="n"/>
      <c r="N269" s="13" t="inlineStr">
        <is>
          <t>X</t>
        </is>
      </c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>
      <c r="A270" t="inlineStr">
        <is>
          <t>kit quadro motore</t>
        </is>
      </c>
      <c r="C270" s="13" t="n">
        <v>8</v>
      </c>
      <c r="D270" t="inlineStr">
        <is>
          <t>B04601</t>
        </is>
      </c>
      <c r="E270" t="inlineStr">
        <is>
          <t>Quadro in vetroresina Pedro VTR 01</t>
        </is>
      </c>
      <c r="F270" t="inlineStr">
        <is>
          <t>Quadristica ed elettrico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>
      <c r="A271" t="inlineStr">
        <is>
          <t>kit quadro motore</t>
        </is>
      </c>
      <c r="C271" s="13" t="n">
        <v>9</v>
      </c>
      <c r="D271" t="inlineStr">
        <is>
          <t>10BZM8X25</t>
        </is>
      </c>
      <c r="E271" t="inlineStr">
        <is>
          <t>Bullone testa esagonale zn M8X25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>
      <c r="A272" t="inlineStr">
        <is>
          <t>kit quadro motore</t>
        </is>
      </c>
      <c r="C272" s="13" t="n">
        <v>10</v>
      </c>
      <c r="D272" t="inlineStr">
        <is>
          <t>10ROND8</t>
        </is>
      </c>
      <c r="E272" t="inlineStr">
        <is>
          <t>Rondella zn 8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>
      <c r="A273" t="inlineStr">
        <is>
          <t>kit quadro motore</t>
        </is>
      </c>
      <c r="C273" s="13" t="n">
        <v>11</v>
      </c>
      <c r="D273" t="inlineStr">
        <is>
          <t>10ROND8</t>
        </is>
      </c>
      <c r="E273" t="inlineStr">
        <is>
          <t>Rondella zn 8</t>
        </is>
      </c>
      <c r="F273" t="inlineStr">
        <is>
          <t>Bulloneria e minuteria</t>
        </is>
      </c>
      <c r="G273" s="13" t="n">
        <v>4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>
      <c r="A274" t="inlineStr">
        <is>
          <t>kit quadro motore</t>
        </is>
      </c>
      <c r="C274" s="13" t="n">
        <v>12</v>
      </c>
      <c r="D274" t="inlineStr">
        <is>
          <t>10DAZAM8</t>
        </is>
      </c>
      <c r="E274" t="inlineStr">
        <is>
          <t>Dado M8 autobloccante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quadri centralina meteo</t>
        </is>
      </c>
      <c r="C275" s="13" t="n">
        <v>1</v>
      </c>
      <c r="D275" t="inlineStr">
        <is>
          <t>TTS.PM.001.IPE140.22.QC</t>
        </is>
      </c>
      <c r="E275" t="inlineStr">
        <is>
          <t>Pilastro motore trave ipe140 x 2220 con foratura alloggiamento quadro motore + quadro centralina meteo + quadro alimentazione centralina meteo</t>
        </is>
      </c>
      <c r="F275" t="inlineStr">
        <is>
          <t>Carpenteria metallica</t>
        </is>
      </c>
      <c r="G275" s="13" t="n">
        <v>1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quadri centralina meteo</t>
        </is>
      </c>
      <c r="C276" s="13" t="n">
        <v>1</v>
      </c>
      <c r="D276" t="inlineStr">
        <is>
          <t>TTS.PM.001.IPEA140.22.QC</t>
        </is>
      </c>
      <c r="E276" t="inlineStr">
        <is>
          <t>Pilastro motore trave ipea140 x 2220 con foratura alloggiamento quadro motore + quadro centralina meteo + quadro alimentazione centralina meteo (alleggerita)</t>
        </is>
      </c>
      <c r="F276" t="inlineStr">
        <is>
          <t>Carpenteria metallica</t>
        </is>
      </c>
      <c r="G276" s="13" t="n">
        <v>0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quadri centralina meteo</t>
        </is>
      </c>
      <c r="C277" s="13" t="n">
        <v>2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>
      <c r="A278" t="inlineStr">
        <is>
          <t>kit quadri centralina meteo</t>
        </is>
      </c>
      <c r="C278" s="13" t="n">
        <v>3</v>
      </c>
      <c r="D278" t="inlineStr">
        <is>
          <t>10DAZAM6</t>
        </is>
      </c>
      <c r="E278" t="inlineStr">
        <is>
          <t>Dado M6 autobloccante</t>
        </is>
      </c>
      <c r="F278" t="inlineStr">
        <is>
          <t>Bulloneria e minuteria</t>
        </is>
      </c>
      <c r="G278" s="13" t="n">
        <v>4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>
      <c r="A279" t="inlineStr">
        <is>
          <t>kit quadri centralina meteo</t>
        </is>
      </c>
      <c r="C279" s="13" t="n">
        <v>4</v>
      </c>
      <c r="D279" t="inlineStr">
        <is>
          <t>10ROND6</t>
        </is>
      </c>
      <c r="E279" t="inlineStr">
        <is>
          <t>Rondella zn 6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>
      <c r="A280" t="inlineStr">
        <is>
          <t>kit quadri centralina meteo</t>
        </is>
      </c>
      <c r="C280" s="13" t="n">
        <v>5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>
      <c r="A281" t="inlineStr">
        <is>
          <t>kit quadri centralina meteo</t>
        </is>
      </c>
      <c r="C281" s="13" t="n">
        <v>6</v>
      </c>
      <c r="D281" t="inlineStr">
        <is>
          <t>10BZM6X25</t>
        </is>
      </c>
      <c r="E281" t="inlineStr">
        <is>
          <t>Bullone testa esagonale zn M6X30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quadri centralina meteo</t>
        </is>
      </c>
      <c r="C282" s="13" t="n">
        <v>7</v>
      </c>
      <c r="D282" t="inlineStr">
        <is>
          <t>TTS.PM.2012</t>
        </is>
      </c>
      <c r="E282" t="inlineStr">
        <is>
          <t>Angolare 30x30x4 lungo 370 mm. inferiore</t>
        </is>
      </c>
      <c r="F282" t="inlineStr">
        <is>
          <t>Carpenteria metallica</t>
        </is>
      </c>
      <c r="G282" s="13" t="n">
        <v>1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>
      <c r="A283" t="inlineStr">
        <is>
          <t>kit quadri centralina meteo</t>
        </is>
      </c>
      <c r="C283" s="13" t="n">
        <v>8</v>
      </c>
      <c r="D283" t="inlineStr">
        <is>
          <t>15T-JUNCTBOXIP65</t>
        </is>
      </c>
      <c r="E283" t="inlineStr">
        <is>
          <t>Box centralina meteo</t>
        </is>
      </c>
      <c r="F283" t="inlineStr">
        <is>
          <t>Quadristica ed elettrico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n"/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>
      <c r="A284" t="inlineStr">
        <is>
          <t>kit quadri centralina meteo</t>
        </is>
      </c>
      <c r="C284" s="13" t="n">
        <v>9</v>
      </c>
      <c r="D284" t="inlineStr">
        <is>
          <t>10ROND8</t>
        </is>
      </c>
      <c r="E284" t="inlineStr">
        <is>
          <t>Rondella zn 8</t>
        </is>
      </c>
      <c r="F284" t="inlineStr">
        <is>
          <t>Bulloneria e minuteria</t>
        </is>
      </c>
      <c r="G284" s="13" t="n">
        <v>4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>
      <c r="A285" t="inlineStr">
        <is>
          <t>kit quadri centralina meteo</t>
        </is>
      </c>
      <c r="C285" s="13" t="n">
        <v>10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>
      <c r="A286" t="inlineStr">
        <is>
          <t>kit quadri centralina meteo</t>
        </is>
      </c>
      <c r="C286" s="13" t="n">
        <v>11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>
      <c r="A287" t="inlineStr">
        <is>
          <t>kit quadri centralina meteo</t>
        </is>
      </c>
      <c r="C287" s="13" t="n">
        <v>12</v>
      </c>
      <c r="D287" t="inlineStr">
        <is>
          <t>10DAZAM8</t>
        </is>
      </c>
      <c r="E287" t="inlineStr">
        <is>
          <t>Dado M8 autobloccante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>
      <c r="A288" t="inlineStr">
        <is>
          <t>kit quadri centralina meteo</t>
        </is>
      </c>
      <c r="C288" s="13" t="n">
        <v>13</v>
      </c>
      <c r="D288" t="inlineStr">
        <is>
          <t>10BZM8X25</t>
        </is>
      </c>
      <c r="E288" t="inlineStr">
        <is>
          <t>Bullone testa esagonale zn M8X25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>
      <c r="A289" t="inlineStr">
        <is>
          <t>kit quadri centralina meteo</t>
        </is>
      </c>
      <c r="C289" s="13" t="n">
        <v>14</v>
      </c>
      <c r="D289" t="inlineStr">
        <is>
          <t>10ROND8</t>
        </is>
      </c>
      <c r="E289" t="inlineStr">
        <is>
          <t>Rondella zn 8</t>
        </is>
      </c>
      <c r="F289" t="inlineStr">
        <is>
          <t>Bulloneria e minuteria</t>
        </is>
      </c>
      <c r="G289" s="13" t="n">
        <v>4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15</v>
      </c>
      <c r="D290" t="inlineStr">
        <is>
          <t>TTS.PM.2012</t>
        </is>
      </c>
      <c r="E290" s="6" t="inlineStr">
        <is>
          <t>Angolare 30x30x4 lungo 370 mm. inferiore</t>
        </is>
      </c>
      <c r="F290" t="inlineStr">
        <is>
          <t>Carpenteria metallica</t>
        </is>
      </c>
      <c r="G290" s="13" t="n">
        <v>1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7">
        <f>IF(AND(ISNUMBER(G290),ISNUMBER(Q290)),G290*Q290,"")</f>
        <v/>
      </c>
    </row>
    <row r="291">
      <c r="A291" t="inlineStr">
        <is>
          <t>kit quadri centralina meteo</t>
        </is>
      </c>
      <c r="C291" s="13" t="n">
        <v>16</v>
      </c>
      <c r="D291" t="inlineStr">
        <is>
          <t>B04601</t>
        </is>
      </c>
      <c r="E291" t="inlineStr">
        <is>
          <t>Quadro in vetroresina Pedro VTR 01</t>
        </is>
      </c>
      <c r="F291" t="inlineStr">
        <is>
          <t>Quadristica ed elettrico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inlineStr">
        <is>
          <t>X</t>
        </is>
      </c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>
      <c r="A292" t="inlineStr">
        <is>
          <t>kit quadri centralina meteo</t>
        </is>
      </c>
      <c r="C292" s="13" t="n">
        <v>17</v>
      </c>
      <c r="D292" t="inlineStr">
        <is>
          <t>B04601</t>
        </is>
      </c>
      <c r="E292" t="inlineStr">
        <is>
          <t>Quadro in vetroresina Pedro VTR 01</t>
        </is>
      </c>
      <c r="F292" t="inlineStr">
        <is>
          <t>Quadristica ed elettrico</t>
        </is>
      </c>
      <c r="G292" s="13" t="n">
        <v>1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>
      <c r="A293" t="inlineStr">
        <is>
          <t>kit quadri centralina meteo</t>
        </is>
      </c>
      <c r="C293" s="13" t="n">
        <v>18</v>
      </c>
      <c r="D293" t="inlineStr">
        <is>
          <t>10ROND8</t>
        </is>
      </c>
      <c r="E293" t="inlineStr">
        <is>
          <t>Rondella zn 8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>
      <c r="A294" t="inlineStr">
        <is>
          <t>kit quadri centralina meteo</t>
        </is>
      </c>
      <c r="C294" s="13" t="n">
        <v>19</v>
      </c>
      <c r="D294" t="inlineStr">
        <is>
          <t>10DAZAM8</t>
        </is>
      </c>
      <c r="E294" t="inlineStr">
        <is>
          <t>Dado M8 autobloccante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area</t>
        </is>
      </c>
      <c r="C295" s="13" t="n">
        <v>1</v>
      </c>
      <c r="D295" t="inlineStr">
        <is>
          <t>TTS.PC.3011</t>
        </is>
      </c>
      <c r="E295" t="inlineStr">
        <is>
          <t>Angolare 40x40x4 lungo 869 mm. superiore</t>
        </is>
      </c>
      <c r="F295" t="inlineStr">
        <is>
          <t>Carpenteria metallica</t>
        </is>
      </c>
      <c r="G295" s="13" t="n">
        <v>1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area</t>
        </is>
      </c>
      <c r="C296" s="13" t="n">
        <v>2</v>
      </c>
      <c r="D296" t="inlineStr">
        <is>
          <t>TTS.PC.3012</t>
        </is>
      </c>
      <c r="E296" t="inlineStr">
        <is>
          <t>Angolare 40x40x4 lungo 869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>
      <c r="A297" t="inlineStr">
        <is>
          <t>kit quadri area</t>
        </is>
      </c>
      <c r="C297" s="13" t="n">
        <v>3</v>
      </c>
      <c r="D297" t="inlineStr">
        <is>
          <t>10BZM8X25</t>
        </is>
      </c>
      <c r="E297" t="inlineStr">
        <is>
          <t>Bullone testa esagonale zn M6X30</t>
        </is>
      </c>
      <c r="F297" t="inlineStr">
        <is>
          <t>Bulloneria e minuteria</t>
        </is>
      </c>
      <c r="G297" s="13" t="n">
        <v>2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>
      <c r="A298" t="inlineStr">
        <is>
          <t>kit quadri area</t>
        </is>
      </c>
      <c r="C298" s="13" t="n">
        <v>4</v>
      </c>
      <c r="D298" t="inlineStr">
        <is>
          <t>10ROND8</t>
        </is>
      </c>
      <c r="E298" t="inlineStr">
        <is>
          <t>Rondella zn 6</t>
        </is>
      </c>
      <c r="F298" t="inlineStr">
        <is>
          <t>Bulloneria e minuteria</t>
        </is>
      </c>
      <c r="G298" s="13" t="n">
        <v>2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>
      <c r="A299" t="inlineStr">
        <is>
          <t>kit quadri area</t>
        </is>
      </c>
      <c r="C299" s="13" t="n">
        <v>5</v>
      </c>
      <c r="D299" t="inlineStr">
        <is>
          <t>10ROND8</t>
        </is>
      </c>
      <c r="E299" t="inlineStr">
        <is>
          <t>Rondella zn 6</t>
        </is>
      </c>
      <c r="F299" t="inlineStr">
        <is>
          <t>Bulloneria e minuteria</t>
        </is>
      </c>
      <c r="G299" s="13" t="n">
        <v>2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>
      <c r="A300" t="inlineStr">
        <is>
          <t>kit quadri area</t>
        </is>
      </c>
      <c r="C300" s="13" t="n">
        <v>6</v>
      </c>
      <c r="D300" t="inlineStr">
        <is>
          <t>10DAZAM8</t>
        </is>
      </c>
      <c r="E300" t="inlineStr">
        <is>
          <t>Dado M6 autobloccante</t>
        </is>
      </c>
      <c r="F300" t="inlineStr">
        <is>
          <t>Bulloneria e minuteria</t>
        </is>
      </c>
      <c r="G300" s="13" t="n">
        <v>2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>
      <c r="A301" t="inlineStr">
        <is>
          <t>kit quadri area</t>
        </is>
      </c>
      <c r="C301" s="13" t="n">
        <v>7</v>
      </c>
      <c r="D301" t="inlineStr">
        <is>
          <t>10BZM8X25</t>
        </is>
      </c>
      <c r="E301" t="inlineStr">
        <is>
          <t>Bullone testa esagonale zn M6X30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>
      <c r="A302" t="inlineStr">
        <is>
          <t>kit quadri area</t>
        </is>
      </c>
      <c r="C302" s="13" t="n">
        <v>8</v>
      </c>
      <c r="D302" t="inlineStr">
        <is>
          <t>10ROND8</t>
        </is>
      </c>
      <c r="E302" t="inlineStr">
        <is>
          <t>Rondella zn 6</t>
        </is>
      </c>
      <c r="F302" t="inlineStr">
        <is>
          <t>Bulloneria e minuteria</t>
        </is>
      </c>
      <c r="G302" s="13" t="n">
        <v>2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>
      <c r="A303" t="inlineStr">
        <is>
          <t>kit quadri area</t>
        </is>
      </c>
      <c r="C303" s="13" t="n">
        <v>9</v>
      </c>
      <c r="D303" t="inlineStr">
        <is>
          <t>10ROND8</t>
        </is>
      </c>
      <c r="E303" t="inlineStr">
        <is>
          <t>Rondella zn 6</t>
        </is>
      </c>
      <c r="F303" t="inlineStr">
        <is>
          <t>Bulloneria e minuteria</t>
        </is>
      </c>
      <c r="G303" s="13" t="n">
        <v>2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>
      <c r="A304" t="inlineStr">
        <is>
          <t>kit quadri area</t>
        </is>
      </c>
      <c r="C304" s="13" t="n">
        <v>10</v>
      </c>
      <c r="D304" t="inlineStr">
        <is>
          <t>10DAZAM8</t>
        </is>
      </c>
      <c r="E304" t="inlineStr">
        <is>
          <t>Dado M6 autobloccante</t>
        </is>
      </c>
      <c r="F304" t="inlineStr">
        <is>
          <t>Bulloneria e minuteria</t>
        </is>
      </c>
      <c r="G304" s="13" t="n">
        <v>2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12">
        <f>IF(AND(ISNUMBER(G304),ISNUMBER(Q304)),G304*Q304,"")</f>
        <v/>
      </c>
    </row>
    <row r="305">
      <c r="A305" t="inlineStr">
        <is>
          <t>kit quadri area</t>
        </is>
      </c>
      <c r="C305" s="13" t="n">
        <v>11</v>
      </c>
      <c r="D305" t="inlineStr">
        <is>
          <t>TTS.PC.3013</t>
        </is>
      </c>
      <c r="E305" t="inlineStr">
        <is>
          <t>Palo MAX lungo mt.2,150</t>
        </is>
      </c>
      <c r="F305" t="inlineStr">
        <is>
          <t>Carpenteria metallica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n"/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area</t>
        </is>
      </c>
      <c r="C306" s="13" t="n">
        <v>12</v>
      </c>
      <c r="D306" t="inlineStr">
        <is>
          <t>TTS.PC.001.IPE140.23.FQA</t>
        </is>
      </c>
      <c r="E306" t="inlineStr">
        <is>
          <t>Pilastro cuscinetto trave ipe140 x mt. 2,30 con foratura alloggiamento quadro area</t>
        </is>
      </c>
      <c r="F306" t="inlineStr">
        <is>
          <t>Carpenteria metallica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inlineStr">
        <is>
          <t>X</t>
        </is>
      </c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area</t>
        </is>
      </c>
      <c r="C307" s="13" t="n">
        <v>12</v>
      </c>
      <c r="D307" t="inlineStr">
        <is>
          <t>TTS.PC.001.IPEA140.23.FQA</t>
        </is>
      </c>
      <c r="E307" t="inlineStr">
        <is>
          <t>Pilastro cuscinetto trave ipea140 x mt. 2,30 con foratura alloggiamento quadro area (alleggerita)</t>
        </is>
      </c>
      <c r="F307" t="inlineStr">
        <is>
          <t>Carpenteria metallica</t>
        </is>
      </c>
      <c r="G307" s="13" t="n">
        <v>0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>
      <c r="A308" t="inlineStr">
        <is>
          <t>kit quadri inverter</t>
        </is>
      </c>
      <c r="C308" s="13" t="n">
        <v>1</v>
      </c>
      <c r="D308" t="inlineStr">
        <is>
          <t>10BZM8X20</t>
        </is>
      </c>
      <c r="E308" t="inlineStr">
        <is>
          <t>Bullone testa esagonale zn M8X20</t>
        </is>
      </c>
      <c r="F308" t="inlineStr">
        <is>
          <t>Bulloneria e minuteria</t>
        </is>
      </c>
      <c r="G308" s="13" t="n">
        <v>2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>
      <c r="A309" t="inlineStr">
        <is>
          <t>kit quadri inverter</t>
        </is>
      </c>
      <c r="C309" s="13" t="n">
        <v>2</v>
      </c>
      <c r="D309" t="inlineStr">
        <is>
          <t>10ROND8</t>
        </is>
      </c>
      <c r="E309" t="inlineStr">
        <is>
          <t>Rondella zn 8</t>
        </is>
      </c>
      <c r="F309" t="inlineStr">
        <is>
          <t>Bulloneria e minuteria</t>
        </is>
      </c>
      <c r="G309" s="13" t="n">
        <v>2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inverter</t>
        </is>
      </c>
      <c r="C310" s="13" t="n">
        <v>3</v>
      </c>
      <c r="D310" t="inlineStr">
        <is>
          <t>TTS.PC.2011.1076</t>
        </is>
      </c>
      <c r="E310" t="inlineStr">
        <is>
          <t>Angolare 40x40x4 lungo 1076 mm. supporto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inverter</t>
        </is>
      </c>
      <c r="C311" s="13" t="n">
        <v>4</v>
      </c>
      <c r="D311" t="inlineStr">
        <is>
          <t>TTS.PC.2013</t>
        </is>
      </c>
      <c r="E311" t="inlineStr">
        <is>
          <t>Palo MAX lungo mt.2,040</t>
        </is>
      </c>
      <c r="F311" t="inlineStr">
        <is>
          <t>Carpenteria metallica</t>
        </is>
      </c>
      <c r="G311" s="13" t="n">
        <v>1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>
      <c r="A312" t="inlineStr">
        <is>
          <t>kit quadri inverter</t>
        </is>
      </c>
      <c r="C312" s="13" t="n">
        <v>5</v>
      </c>
      <c r="D312" t="inlineStr">
        <is>
          <t>10ROND8</t>
        </is>
      </c>
      <c r="E312" t="inlineStr">
        <is>
          <t>Rondella zn 8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>
      <c r="A313" t="inlineStr">
        <is>
          <t>kit quadri inverter</t>
        </is>
      </c>
      <c r="C313" s="13" t="n">
        <v>6</v>
      </c>
      <c r="D313" t="inlineStr">
        <is>
          <t>10DAZAM8</t>
        </is>
      </c>
      <c r="E313" t="inlineStr">
        <is>
          <t>Dado M8 autobloccante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>
      <c r="A314" t="inlineStr">
        <is>
          <t>kit quadri inverter</t>
        </is>
      </c>
      <c r="C314" s="13" t="n">
        <v>7</v>
      </c>
      <c r="D314" t="inlineStr">
        <is>
          <t>10BZM8X30</t>
        </is>
      </c>
      <c r="E314" t="inlineStr">
        <is>
          <t>Bullone testa esagonale zn M8X30</t>
        </is>
      </c>
      <c r="F314" t="inlineStr">
        <is>
          <t>Bulloneria e minuteria</t>
        </is>
      </c>
      <c r="G314" s="13" t="n">
        <v>4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>
      <c r="A315" t="inlineStr">
        <is>
          <t>kit quadri inverter</t>
        </is>
      </c>
      <c r="C315" s="13" t="n">
        <v>8</v>
      </c>
      <c r="D315" t="inlineStr">
        <is>
          <t>10ROND8</t>
        </is>
      </c>
      <c r="E315" t="inlineStr">
        <is>
          <t>Rondella zn 8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inverter</t>
        </is>
      </c>
      <c r="C316" s="13" t="n">
        <v>9</v>
      </c>
      <c r="D316" t="inlineStr">
        <is>
          <t>TTS.PC.2012.1076</t>
        </is>
      </c>
      <c r="E316" t="inlineStr">
        <is>
          <t>Angolare 40x40x4 lungo1076 mm. supporto superiore</t>
        </is>
      </c>
      <c r="F316" t="inlineStr">
        <is>
          <t>Carpenteria metallica</t>
        </is>
      </c>
      <c r="G316" s="13" t="n">
        <v>1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inverter</t>
        </is>
      </c>
      <c r="C317" s="13" t="n">
        <v>10</v>
      </c>
      <c r="D317" t="inlineStr">
        <is>
          <t>TTS.PC.001.IPE140.23.FI</t>
        </is>
      </c>
      <c r="E317" t="inlineStr">
        <is>
          <t>Pilastro cuscinetto trave ipe140 x mt. 2,30 con foratura alloggiamento inverter</t>
        </is>
      </c>
      <c r="F317" t="inlineStr">
        <is>
          <t>Carpenteria metallica</t>
        </is>
      </c>
      <c r="G317" s="13" t="n">
        <v>1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inverter</t>
        </is>
      </c>
      <c r="C318" s="13" t="n">
        <v>10</v>
      </c>
      <c r="D318" t="inlineStr">
        <is>
          <t>TTS.PC.001.IPEA140.23.FI</t>
        </is>
      </c>
      <c r="E318" t="inlineStr">
        <is>
          <t>Pilastro cuscinetto trave ipea140 x mt. 2,30 con foratura alloggiamento inverter (alleggerita)</t>
        </is>
      </c>
      <c r="F318" t="inlineStr">
        <is>
          <t>Carpenteria metallica</t>
        </is>
      </c>
      <c r="G318" s="13" t="n">
        <v>0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>
      <c r="A319" t="inlineStr">
        <is>
          <t>kit quadri inverter</t>
        </is>
      </c>
      <c r="C319" s="13" t="n">
        <v>11</v>
      </c>
      <c r="D319" t="inlineStr">
        <is>
          <t>10ROND8</t>
        </is>
      </c>
      <c r="E319" t="inlineStr">
        <is>
          <t>Rondella zn 8</t>
        </is>
      </c>
      <c r="F319" t="inlineStr">
        <is>
          <t>Bulloneria e minuteria</t>
        </is>
      </c>
      <c r="G319" s="13" t="n">
        <v>4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>
      <c r="A320" t="inlineStr">
        <is>
          <t>kit quadri inverter</t>
        </is>
      </c>
      <c r="C320" s="13" t="n">
        <v>12</v>
      </c>
      <c r="D320" t="inlineStr">
        <is>
          <t>10DAZAM8</t>
        </is>
      </c>
      <c r="E320" t="inlineStr">
        <is>
          <t>Dado M8 autobloccante</t>
        </is>
      </c>
      <c r="F320" t="inlineStr">
        <is>
          <t>Bulloneria e minuteria</t>
        </is>
      </c>
      <c r="G320" s="13" t="n">
        <v>4</v>
      </c>
      <c r="H320" s="13" t="n"/>
      <c r="I320" s="13" t="n"/>
      <c r="J320" s="13" t="n"/>
      <c r="K320" s="13" t="n"/>
      <c r="L320" s="13" t="n"/>
      <c r="M320" s="13" t="n"/>
      <c r="N320" s="13" t="n"/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sensori meteo</t>
        </is>
      </c>
      <c r="B321" t="inlineStr">
        <is>
          <t>sensori meteo, al solito da stabilire con peppe</t>
        </is>
      </c>
      <c r="C321" s="13" t="n">
        <v>1</v>
      </c>
      <c r="D321" t="inlineStr">
        <is>
          <t>TTS.SM.001</t>
        </is>
      </c>
      <c r="E321" t="inlineStr">
        <is>
          <t>Piatto 50X5X230 supporto sensori</t>
        </is>
      </c>
      <c r="F321" t="inlineStr">
        <is>
          <t>Carpenteria metallica</t>
        </is>
      </c>
      <c r="G321" s="13" t="n">
        <v>1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>
      <c r="A322" t="inlineStr">
        <is>
          <t>sensori meteo</t>
        </is>
      </c>
      <c r="B322" t="inlineStr">
        <is>
          <t>sensori meteo, al solito da stabilire con peppe</t>
        </is>
      </c>
      <c r="C322" s="13" t="n">
        <v>2</v>
      </c>
      <c r="D322" t="inlineStr">
        <is>
          <t>15T-PIRANOMETRO</t>
        </is>
      </c>
      <c r="E322" t="inlineStr">
        <is>
          <t>Piranometro</t>
        </is>
      </c>
      <c r="F322" t="inlineStr">
        <is>
          <t>Sensoristica e strumentazione</t>
        </is>
      </c>
      <c r="G322" s="13" t="n">
        <v>1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>
      <c r="A323" t="inlineStr">
        <is>
          <t>sensori meteo</t>
        </is>
      </c>
      <c r="B323" t="inlineStr">
        <is>
          <t>sensori meteo, al solito da stabilire con peppe</t>
        </is>
      </c>
      <c r="C323" s="13" t="n">
        <v>3</v>
      </c>
      <c r="D323" t="inlineStr">
        <is>
          <t>15T-TERMARIA</t>
        </is>
      </c>
      <c r="E323" t="inlineStr">
        <is>
          <t>Termometro Aria_ mSTA.l</t>
        </is>
      </c>
      <c r="F323" t="inlineStr">
        <is>
          <t>Sensoristica e strumentazione</t>
        </is>
      </c>
      <c r="G323" s="13" t="n">
        <v>1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>
      <c r="A324" t="inlineStr">
        <is>
          <t>sensori meteo</t>
        </is>
      </c>
      <c r="B324" t="inlineStr">
        <is>
          <t>sensori meteo, al solito da stabilire con peppe</t>
        </is>
      </c>
      <c r="C324" s="13" t="n">
        <v>4</v>
      </c>
      <c r="D324" t="inlineStr">
        <is>
          <t>10ROND6</t>
        </is>
      </c>
      <c r="E324" t="inlineStr">
        <is>
          <t>Rondella zn 6</t>
        </is>
      </c>
      <c r="F324" t="inlineStr">
        <is>
          <t>Bulloneria e minuteria</t>
        </is>
      </c>
      <c r="G324" s="13" t="n">
        <v>2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>
      <c r="A325" t="inlineStr">
        <is>
          <t>sensori meteo</t>
        </is>
      </c>
      <c r="B325" t="inlineStr">
        <is>
          <t>sensori meteo, al solito da stabilire con peppe</t>
        </is>
      </c>
      <c r="C325" s="13" t="n">
        <v>5</v>
      </c>
      <c r="D325" t="inlineStr">
        <is>
          <t>10BZM6X30</t>
        </is>
      </c>
      <c r="E325" t="inlineStr">
        <is>
          <t>Bullone testa esagonale zn M6X30</t>
        </is>
      </c>
      <c r="F325" t="inlineStr">
        <is>
          <t>Bulloneria e minuteria</t>
        </is>
      </c>
      <c r="G325" s="13" t="n">
        <v>2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>
      <c r="A326" t="inlineStr">
        <is>
          <t>sensori meteo</t>
        </is>
      </c>
      <c r="B326" t="inlineStr">
        <is>
          <t>sensori meteo, al solito da stabilire con peppe</t>
        </is>
      </c>
      <c r="C326" s="13" t="n">
        <v>4</v>
      </c>
      <c r="D326" t="inlineStr">
        <is>
          <t>10ROND6</t>
        </is>
      </c>
      <c r="E326" t="inlineStr">
        <is>
          <t>Rondella zn 6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>
      <c r="A327" t="inlineStr">
        <is>
          <t>sensori meteo</t>
        </is>
      </c>
      <c r="B327" t="inlineStr">
        <is>
          <t>sensori meteo, al solito da stabilire con peppe</t>
        </is>
      </c>
      <c r="C327" s="13" t="n">
        <v>6</v>
      </c>
      <c r="D327" t="inlineStr">
        <is>
          <t>10DAZAM6</t>
        </is>
      </c>
      <c r="E327" t="inlineStr">
        <is>
          <t>Dado M6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>
      <c r="A328" t="inlineStr">
        <is>
          <t>sensori meteo</t>
        </is>
      </c>
      <c r="B328" t="inlineStr">
        <is>
          <t>kit sensore temperatura pannello</t>
        </is>
      </c>
      <c r="C328" s="13" t="n">
        <v>1</v>
      </c>
      <c r="D328" t="inlineStr">
        <is>
          <t>15T-TERMCONTP10</t>
        </is>
      </c>
      <c r="E328" t="inlineStr">
        <is>
          <t>Termometro a contatto P100_STC-i</t>
        </is>
      </c>
      <c r="F328" t="inlineStr">
        <is>
          <t>Sensoristica e strumentazione</t>
        </is>
      </c>
      <c r="G328" s="13" t="n">
        <v>1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>
      <c r="A329" t="inlineStr">
        <is>
          <t>sensori meteo</t>
        </is>
      </c>
      <c r="B329" t="inlineStr">
        <is>
          <t>kit sensore temperatura pannello</t>
        </is>
      </c>
      <c r="C329" s="13" t="n">
        <v>2</v>
      </c>
      <c r="E329" t="inlineStr">
        <is>
          <t>Pannello fotovoltaico</t>
        </is>
      </c>
      <c r="F329" t="inlineStr">
        <is>
          <t>Moduli fotovoltaici</t>
        </is>
      </c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sensori meteo</t>
        </is>
      </c>
      <c r="B330" t="inlineStr">
        <is>
          <t>kit sensore temperatura pannello</t>
        </is>
      </c>
      <c r="C330" s="13" t="n">
        <v>3</v>
      </c>
      <c r="D330" t="inlineStr">
        <is>
          <t>TTS.SM.002</t>
        </is>
      </c>
      <c r="E330" t="inlineStr">
        <is>
          <t>Piatto 30X3X193 leva sensore temperatura pannello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sensori meteo</t>
        </is>
      </c>
      <c r="B331" t="inlineStr">
        <is>
          <t>kit sensore temperatura pannello</t>
        </is>
      </c>
      <c r="C331" s="13" t="n">
        <v>4</v>
      </c>
      <c r="E331" t="inlineStr">
        <is>
          <t>Omega alloggiamento kit sensore termometro a contatto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>
      <c r="A332" t="inlineStr">
        <is>
          <t>sensori meteo</t>
        </is>
      </c>
      <c r="B332" t="inlineStr">
        <is>
          <t>kit sensore temperatura pannello</t>
        </is>
      </c>
      <c r="C332" s="13" t="n">
        <v>5</v>
      </c>
      <c r="D332" t="inlineStr">
        <is>
          <t>10ROND5</t>
        </is>
      </c>
      <c r="E332" t="inlineStr">
        <is>
          <t>Rondella ZN da 5</t>
        </is>
      </c>
      <c r="F332" t="inlineStr">
        <is>
          <t>Bulloneria e minuteria</t>
        </is>
      </c>
      <c r="G332" s="13" t="n">
        <v>2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>
      <c r="A333" t="inlineStr">
        <is>
          <t>sensori meteo</t>
        </is>
      </c>
      <c r="B333" t="inlineStr">
        <is>
          <t>kit sensore temperatura pannello</t>
        </is>
      </c>
      <c r="C333" s="13" t="n">
        <v>6</v>
      </c>
      <c r="D333" t="inlineStr">
        <is>
          <t>10BZM5X20</t>
        </is>
      </c>
      <c r="E333" t="inlineStr">
        <is>
          <t>Bullone testa esagonale zn M5x20</t>
        </is>
      </c>
      <c r="F333" t="inlineStr">
        <is>
          <t>Bulloneria e minuteria</t>
        </is>
      </c>
      <c r="G333" s="13" t="n">
        <v>2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>
      <c r="A334" t="inlineStr">
        <is>
          <t>sensori meteo</t>
        </is>
      </c>
      <c r="B334" t="inlineStr">
        <is>
          <t>kit sensore temperatura pannello</t>
        </is>
      </c>
      <c r="C334" s="13" t="n">
        <v>7</v>
      </c>
      <c r="D334" t="inlineStr">
        <is>
          <t>10ROND5</t>
        </is>
      </c>
      <c r="E334" t="inlineStr">
        <is>
          <t>Rondella ZN da 5</t>
        </is>
      </c>
      <c r="F334" t="inlineStr">
        <is>
          <t>Bulloneria e minuteria</t>
        </is>
      </c>
      <c r="G334" s="13" t="n">
        <v>2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kit sensore temperatura pannello</t>
        </is>
      </c>
      <c r="C335" s="13" t="n">
        <v>8</v>
      </c>
      <c r="D335" t="inlineStr">
        <is>
          <t>10DAZAM5</t>
        </is>
      </c>
      <c r="E335" t="inlineStr">
        <is>
          <t>Dado zincato autobloc. M5</t>
        </is>
      </c>
      <c r="F335" t="inlineStr">
        <is>
          <t>Bulloneria e minuteria</t>
        </is>
      </c>
      <c r="G335" s="13" t="n">
        <v>2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kit sensore temperatura pannello</t>
        </is>
      </c>
      <c r="C336" s="13" t="n">
        <v>9</v>
      </c>
      <c r="D336" t="inlineStr">
        <is>
          <t>10BZM5X20</t>
        </is>
      </c>
      <c r="E336" t="inlineStr">
        <is>
          <t>Bullone testa esagonale zn M5x20</t>
        </is>
      </c>
      <c r="F336" t="inlineStr">
        <is>
          <t>Bulloneria e minuteria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kit sensore temperatura pannello</t>
        </is>
      </c>
      <c r="C337" s="13" t="n">
        <v>10</v>
      </c>
      <c r="D337" t="inlineStr">
        <is>
          <t>10DAZAM5</t>
        </is>
      </c>
      <c r="E337" t="inlineStr">
        <is>
          <t>Dado zincato autobloc. M5</t>
        </is>
      </c>
      <c r="F337" t="inlineStr">
        <is>
          <t>Bulloneria e minuteria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kit sensore temperatura pannello</t>
        </is>
      </c>
      <c r="C338" s="13" t="n">
        <v>11</v>
      </c>
      <c r="D338" t="inlineStr">
        <is>
          <t>10ROND5</t>
        </is>
      </c>
      <c r="E338" t="inlineStr">
        <is>
          <t>Rondella ZN da 5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kit sensore temperatura pannello</t>
        </is>
      </c>
      <c r="C339" s="13" t="n">
        <v>12</v>
      </c>
      <c r="D339" t="inlineStr">
        <is>
          <t>10BZM5X20</t>
        </is>
      </c>
      <c r="E339" t="inlineStr">
        <is>
          <t>Bullone testa esagonale zn M5x20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kit sensore temperatura pannello</t>
        </is>
      </c>
      <c r="C340" s="13" t="n">
        <v>13</v>
      </c>
      <c r="D340" t="inlineStr">
        <is>
          <t>10ROND5</t>
        </is>
      </c>
      <c r="E340" t="inlineStr">
        <is>
          <t>Rondella ZN da 5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kit sensore temperatura pannello</t>
        </is>
      </c>
      <c r="C341" s="13" t="n">
        <v>14</v>
      </c>
      <c r="D341" t="inlineStr">
        <is>
          <t>10DAZAM5</t>
        </is>
      </c>
      <c r="E341" t="inlineStr">
        <is>
          <t>Dado zincato autobloc. M5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da stabilre con peppe quantità e ubicazione</t>
        </is>
      </c>
      <c r="C342" s="13" t="n">
        <v>1</v>
      </c>
      <c r="D342" t="inlineStr">
        <is>
          <t>TTS.SM.003</t>
        </is>
      </c>
      <c r="E342" t="inlineStr">
        <is>
          <t>Asta supporto anemometro</t>
        </is>
      </c>
      <c r="F342" t="inlineStr">
        <is>
          <t>Carpenteria metallica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da stabilre con peppe quantità e ubicazione</t>
        </is>
      </c>
      <c r="C343" s="13" t="n">
        <v>2</v>
      </c>
      <c r="D343" t="inlineStr">
        <is>
          <t>15T-SENSVELVEN</t>
        </is>
      </c>
      <c r="E343" t="inlineStr">
        <is>
          <t>Anemometro</t>
        </is>
      </c>
      <c r="F343" t="inlineStr">
        <is>
          <t>Sensoristica e strumentazione</t>
        </is>
      </c>
      <c r="G343" s="13" t="n">
        <v>1</v>
      </c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2 tappi per ogni tracker</t>
        </is>
      </c>
      <c r="C344" s="13" t="n">
        <v>1</v>
      </c>
      <c r="D344" t="inlineStr">
        <is>
          <t>06TAP120X120</t>
        </is>
      </c>
      <c r="E344" t="inlineStr">
        <is>
          <t>Tappo profilato 120x120</t>
        </is>
      </c>
      <c r="F344" t="inlineStr">
        <is>
          <t>Bulloneria e minuteria</t>
        </is>
      </c>
      <c r="G344" s="13" t="n">
        <v>2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5"/>
    <row r="346">
      <c r="E346" s="6" t="inlineStr">
        <is>
          <t>TOTALE (escl. righe 'già caricato altrove')</t>
        </is>
      </c>
      <c r="R346" s="7">
        <f>SUMIFS(R2:R344,N2:N344,"")</f>
        <v/>
      </c>
    </row>
  </sheetData>
  <autoFilter ref="A1:R3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198</v>
      </c>
    </row>
    <row r="4">
      <c r="A4" s="6" t="inlineStr">
        <is>
          <t>Righe di distinta totali (tutti i kit)</t>
        </is>
      </c>
      <c r="B4" t="n">
        <v>343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155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  <row r="26">
      <c r="A26" t="inlineStr">
        <is>
      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      </is>
      </c>
    </row>
    <row r="27">
      <c r="A27" t="inlineStr">
        <is>
      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2026-08-31T12:14:15Z</dcterms:modified>
  <cp:lastModifiedBy>stella  terranova</cp:lastModifiedBy>
</cp:coreProperties>
</file>