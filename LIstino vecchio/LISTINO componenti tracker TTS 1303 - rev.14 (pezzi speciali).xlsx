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LISTINO" sheetId="2" state="visible" r:id="rId2"/>
    <sheet name="DISTINTA COMPLETA" sheetId="3" state="visible" r:id="rId3"/>
    <sheet name="RIEPILOGO" sheetId="4" state="visible" r:id="rId4"/>
  </sheets>
  <definedNames>
    <definedName name="_xlnm._FilterDatabase" localSheetId="1" hidden="1">'LISTINO'!$A$4:$I$208</definedName>
    <definedName name="_xlnm._FilterDatabase" localSheetId="2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con peso al metro, % zincatura, €/kg acquisto e €/kg zincatura. Blocco 'PEZZI SPECIALI' (in fondo): piastre di giunzione, supporti, angolari, omega e aste, un profilo per voce con peso in kg del pezzo. In tutti i casi: Peso elemento (kg) include la maggiorazione zincatura; Costo acquisto (€) = peso al netto × €/kg acquisto (indipendente dalla zincatura); Costo zincatura (€) = peso al netto × (1 + magg. %) × €/kg zincatura, solo se la maggiorazione è presente.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  <row r="139">
      <c r="C139" s="13" t="n"/>
      <c r="D139" s="19" t="n"/>
      <c r="E139" s="20" t="n"/>
      <c r="F139" s="12" t="n"/>
      <c r="G139" s="12" t="n"/>
    </row>
    <row r="140">
      <c r="C140" s="13" t="n"/>
      <c r="D140" s="19" t="n"/>
      <c r="E140" s="20" t="n"/>
      <c r="F140" s="12" t="n"/>
      <c r="G140" s="12" t="n"/>
    </row>
    <row r="141">
      <c r="A141" s="15" t="inlineStr">
        <is>
          <t>PEZZI SPECIALI — parametri (piastre di giunzione, supporti, angolari, omega, aste): un profilo per voce, compilare peso pezzo, % zincatura e €/kg</t>
        </is>
      </c>
      <c r="C141" s="13" t="n"/>
      <c r="D141" s="19" t="n"/>
      <c r="E141" s="20" t="n"/>
      <c r="F141" s="12" t="n"/>
      <c r="G141" s="12" t="n"/>
    </row>
    <row r="142">
      <c r="B142" s="10" t="inlineStr">
        <is>
          <t>Voce</t>
        </is>
      </c>
      <c r="C142" s="10" t="inlineStr">
        <is>
          <t>Peso pezzo (kg)</t>
        </is>
      </c>
      <c r="D142" s="10" t="inlineStr">
        <is>
          <t>Magg. zincatura %</t>
        </is>
      </c>
      <c r="E142" s="10" t="inlineStr">
        <is>
          <t>Peso finale (kg)</t>
        </is>
      </c>
      <c r="F142" s="10" t="inlineStr">
        <is>
          <t>Costo acquisto (€/kg)</t>
        </is>
      </c>
      <c r="G142" s="10" t="inlineStr">
        <is>
          <t>Costo zincatura (€/kg)</t>
        </is>
      </c>
    </row>
    <row r="143">
      <c r="B143" t="inlineStr">
        <is>
          <t>TTS.PF.002.IPE140</t>
        </is>
      </c>
      <c r="C143" s="18" t="n">
        <v>0.62</v>
      </c>
      <c r="D143" s="17" t="n"/>
      <c r="E143" s="18">
        <f>IF(ISNUMBER($C143),$C143*(1+IF(ISNUMBER($D143),$D143,0)),"")</f>
        <v/>
      </c>
      <c r="F143" s="21" t="n"/>
      <c r="G143" s="21" t="n"/>
    </row>
    <row r="144">
      <c r="B144" t="inlineStr">
        <is>
          <t>TTS.PF.003.IPE140</t>
        </is>
      </c>
      <c r="C144" s="18" t="n">
        <v>0.79</v>
      </c>
      <c r="D144" s="17" t="n"/>
      <c r="E144" s="18">
        <f>IF(ISNUMBER($C144),$C144*(1+IF(ISNUMBER($D144),$D144,0)),"")</f>
        <v/>
      </c>
      <c r="F144" s="21" t="n"/>
      <c r="G144" s="21" t="n"/>
    </row>
    <row r="145">
      <c r="B145" t="inlineStr">
        <is>
          <t>TTS.PF.004.IPE140</t>
        </is>
      </c>
      <c r="C145" s="18" t="n">
        <v>0.28</v>
      </c>
      <c r="D145" s="17" t="n"/>
      <c r="E145" s="18">
        <f>IF(ISNUMBER($C145),$C145*(1+IF(ISNUMBER($D145),$D145,0)),"")</f>
        <v/>
      </c>
      <c r="F145" s="21" t="n"/>
      <c r="G145" s="21" t="n"/>
    </row>
    <row r="146">
      <c r="B146" t="inlineStr">
        <is>
          <t>TTS.AR.3011</t>
        </is>
      </c>
      <c r="C146" s="18" t="n"/>
      <c r="D146" s="17" t="n"/>
      <c r="E146" s="18">
        <f>IF(ISNUMBER($C146),$C146*(1+IF(ISNUMBER($D146),$D146,0)),"")</f>
        <v/>
      </c>
      <c r="F146" s="21" t="n"/>
      <c r="G146" s="21" t="n"/>
    </row>
    <row r="147">
      <c r="B147" t="inlineStr">
        <is>
          <t>TTS.AR.3012</t>
        </is>
      </c>
      <c r="C147" s="18" t="n"/>
      <c r="D147" s="17" t="n"/>
      <c r="E147" s="18">
        <f>IF(ISNUMBER($C147),$C147*(1+IF(ISNUMBER($D147),$D147,0)),"")</f>
        <v/>
      </c>
      <c r="F147" s="21" t="n"/>
      <c r="G147" s="21" t="n"/>
    </row>
    <row r="148">
      <c r="B148" t="inlineStr">
        <is>
          <t>TTS.AR.3013</t>
        </is>
      </c>
      <c r="C148" s="18" t="n"/>
      <c r="D148" s="17" t="n"/>
      <c r="E148" s="18">
        <f>IF(ISNUMBER($C148),$C148*(1+IF(ISNUMBER($D148),$D148,0)),"")</f>
        <v/>
      </c>
      <c r="F148" s="21" t="n"/>
      <c r="G148" s="21" t="n"/>
    </row>
    <row r="149">
      <c r="B149" t="inlineStr">
        <is>
          <t>TTS.AR.3014</t>
        </is>
      </c>
      <c r="C149" s="18" t="n"/>
      <c r="D149" s="17" t="n"/>
      <c r="E149" s="18">
        <f>IF(ISNUMBER($C149),$C149*(1+IF(ISNUMBER($D149),$D149,0)),"")</f>
        <v/>
      </c>
      <c r="F149" s="21" t="n"/>
      <c r="G149" s="21" t="n"/>
    </row>
    <row r="150">
      <c r="B150" t="inlineStr">
        <is>
          <t>TTS.AR.3014.18</t>
        </is>
      </c>
      <c r="C150" s="18" t="n"/>
      <c r="D150" s="17" t="n"/>
      <c r="E150" s="18">
        <f>IF(ISNUMBER($C150),$C150*(1+IF(ISNUMBER($D150),$D150,0)),"")</f>
        <v/>
      </c>
      <c r="F150" s="21" t="n"/>
      <c r="G150" s="21" t="n"/>
    </row>
    <row r="151">
      <c r="B151" t="inlineStr">
        <is>
          <t>TTS.AR.4011</t>
        </is>
      </c>
      <c r="C151" s="18" t="n"/>
      <c r="D151" s="17" t="n"/>
      <c r="E151" s="18">
        <f>IF(ISNUMBER($C151),$C151*(1+IF(ISNUMBER($D151),$D151,0)),"")</f>
        <v/>
      </c>
      <c r="F151" s="21" t="n"/>
      <c r="G151" s="21" t="n"/>
    </row>
    <row r="152">
      <c r="B152" t="inlineStr">
        <is>
          <t>TTS.AR.4012</t>
        </is>
      </c>
      <c r="C152" s="18" t="n"/>
      <c r="D152" s="17" t="n"/>
      <c r="E152" s="18">
        <f>IF(ISNUMBER($C152),$C152*(1+IF(ISNUMBER($D152),$D152,0)),"")</f>
        <v/>
      </c>
      <c r="F152" s="21" t="n"/>
      <c r="G152" s="21" t="n"/>
    </row>
    <row r="153">
      <c r="B153" t="inlineStr">
        <is>
          <t>TTS.AR.5011</t>
        </is>
      </c>
      <c r="C153" s="18" t="n"/>
      <c r="D153" s="17" t="n"/>
      <c r="E153" s="18">
        <f>IF(ISNUMBER($C153),$C153*(1+IF(ISNUMBER($D153),$D153,0)),"")</f>
        <v/>
      </c>
      <c r="F153" s="21" t="n"/>
      <c r="G153" s="21" t="n"/>
    </row>
    <row r="154">
      <c r="B154" t="inlineStr">
        <is>
          <t>TTS.AR.5012</t>
        </is>
      </c>
      <c r="C154" s="18" t="n"/>
      <c r="D154" s="17" t="n"/>
      <c r="E154" s="18">
        <f>IF(ISNUMBER($C154),$C154*(1+IF(ISNUMBER($D154),$D154,0)),"")</f>
        <v/>
      </c>
      <c r="F154" s="21" t="n"/>
      <c r="G154" s="21" t="n"/>
    </row>
    <row r="155">
      <c r="B155" t="inlineStr">
        <is>
          <t>TTS.PC.002.IPE140</t>
        </is>
      </c>
      <c r="C155" s="18" t="n"/>
      <c r="D155" s="17" t="n"/>
      <c r="E155" s="18">
        <f>IF(ISNUMBER($C155),$C155*(1+IF(ISNUMBER($D155),$D155,0)),"")</f>
        <v/>
      </c>
      <c r="F155" s="21" t="n"/>
      <c r="G155" s="21" t="n"/>
    </row>
    <row r="156">
      <c r="B156" t="inlineStr">
        <is>
          <t>TTS.PC.002.IPEA140</t>
        </is>
      </c>
      <c r="C156" s="18" t="n"/>
      <c r="D156" s="17" t="n"/>
      <c r="E156" s="18">
        <f>IF(ISNUMBER($C156),$C156*(1+IF(ISNUMBER($D156),$D156,0)),"")</f>
        <v/>
      </c>
      <c r="F156" s="21" t="n"/>
      <c r="G156" s="21" t="n"/>
    </row>
    <row r="157">
      <c r="B157" t="inlineStr">
        <is>
          <t>TTS.PC.003.IPE140</t>
        </is>
      </c>
      <c r="C157" s="18" t="n"/>
      <c r="D157" s="17" t="n"/>
      <c r="E157" s="18">
        <f>IF(ISNUMBER($C157),$C157*(1+IF(ISNUMBER($D157),$D157,0)),"")</f>
        <v/>
      </c>
      <c r="F157" s="21" t="n"/>
      <c r="G157" s="21" t="n"/>
    </row>
    <row r="158">
      <c r="B158" t="inlineStr">
        <is>
          <t>TTS.PC.003.IPEA140</t>
        </is>
      </c>
      <c r="C158" s="18" t="n"/>
      <c r="D158" s="17" t="n"/>
      <c r="E158" s="18">
        <f>IF(ISNUMBER($C158),$C158*(1+IF(ISNUMBER($D158),$D158,0)),"")</f>
        <v/>
      </c>
      <c r="F158" s="21" t="n"/>
      <c r="G158" s="21" t="n"/>
    </row>
    <row r="159">
      <c r="B159" t="inlineStr">
        <is>
          <t>TTS.PC.2011.1076</t>
        </is>
      </c>
      <c r="C159" s="18" t="n"/>
      <c r="D159" s="17" t="n"/>
      <c r="E159" s="18">
        <f>IF(ISNUMBER($C159),$C159*(1+IF(ISNUMBER($D159),$D159,0)),"")</f>
        <v/>
      </c>
      <c r="F159" s="21" t="n"/>
      <c r="G159" s="21" t="n"/>
    </row>
    <row r="160">
      <c r="B160" t="inlineStr">
        <is>
          <t>TTS.PC.2012.1076</t>
        </is>
      </c>
      <c r="C160" s="18" t="n"/>
      <c r="D160" s="17" t="n"/>
      <c r="E160" s="18">
        <f>IF(ISNUMBER($C160),$C160*(1+IF(ISNUMBER($D160),$D160,0)),"")</f>
        <v/>
      </c>
      <c r="F160" s="21" t="n"/>
      <c r="G160" s="21" t="n"/>
    </row>
    <row r="161">
      <c r="B161" t="inlineStr">
        <is>
          <t>TTS.PC.2013</t>
        </is>
      </c>
      <c r="C161" s="18" t="n"/>
      <c r="D161" s="17" t="n"/>
      <c r="E161" s="18">
        <f>IF(ISNUMBER($C161),$C161*(1+IF(ISNUMBER($D161),$D161,0)),"")</f>
        <v/>
      </c>
      <c r="F161" s="21" t="n"/>
      <c r="G161" s="21" t="n"/>
    </row>
    <row r="162">
      <c r="B162" t="inlineStr">
        <is>
          <t>TTS.PC.3011</t>
        </is>
      </c>
      <c r="C162" s="18" t="n"/>
      <c r="D162" s="17" t="n"/>
      <c r="E162" s="18">
        <f>IF(ISNUMBER($C162),$C162*(1+IF(ISNUMBER($D162),$D162,0)),"")</f>
        <v/>
      </c>
      <c r="F162" s="21" t="n"/>
      <c r="G162" s="21" t="n"/>
    </row>
    <row r="163">
      <c r="B163" t="inlineStr">
        <is>
          <t>TTS.PC.3012</t>
        </is>
      </c>
      <c r="C163" s="18" t="n"/>
      <c r="D163" s="17" t="n"/>
      <c r="E163" s="18">
        <f>IF(ISNUMBER($C163),$C163*(1+IF(ISNUMBER($D163),$D163,0)),"")</f>
        <v/>
      </c>
      <c r="F163" s="21" t="n"/>
      <c r="G163" s="21" t="n"/>
    </row>
    <row r="164">
      <c r="B164" t="inlineStr">
        <is>
          <t>TTS.PC.3013</t>
        </is>
      </c>
      <c r="C164" s="18" t="n"/>
      <c r="D164" s="17" t="n"/>
      <c r="E164" s="18">
        <f>IF(ISNUMBER($C164),$C164*(1+IF(ISNUMBER($D164),$D164,0)),"")</f>
        <v/>
      </c>
      <c r="F164" s="21" t="n"/>
      <c r="G164" s="21" t="n"/>
    </row>
    <row r="165">
      <c r="B165" t="inlineStr">
        <is>
          <t>TTS.PM.002.IPE140</t>
        </is>
      </c>
      <c r="C165" s="18" t="n"/>
      <c r="D165" s="17" t="n"/>
      <c r="E165" s="18">
        <f>IF(ISNUMBER($C165),$C165*(1+IF(ISNUMBER($D165),$D165,0)),"")</f>
        <v/>
      </c>
      <c r="F165" s="21" t="n"/>
      <c r="G165" s="21" t="n"/>
    </row>
    <row r="166">
      <c r="B166" t="inlineStr">
        <is>
          <t>TTS.PM.002.IPEA140</t>
        </is>
      </c>
      <c r="C166" s="18" t="n"/>
      <c r="D166" s="17" t="n"/>
      <c r="E166" s="18">
        <f>IF(ISNUMBER($C166),$C166*(1+IF(ISNUMBER($D166),$D166,0)),"")</f>
        <v/>
      </c>
      <c r="F166" s="21" t="n"/>
      <c r="G166" s="21" t="n"/>
    </row>
    <row r="167">
      <c r="B167" t="inlineStr">
        <is>
          <t>TTS.PM.2011</t>
        </is>
      </c>
      <c r="C167" s="18" t="n"/>
      <c r="D167" s="17" t="n"/>
      <c r="E167" s="18">
        <f>IF(ISNUMBER($C167),$C167*(1+IF(ISNUMBER($D167),$D167,0)),"")</f>
        <v/>
      </c>
      <c r="F167" s="21" t="n"/>
      <c r="G167" s="21" t="n"/>
    </row>
    <row r="168">
      <c r="B168" t="inlineStr">
        <is>
          <t>TTS.PM.2012</t>
        </is>
      </c>
      <c r="C168" s="18" t="n"/>
      <c r="D168" s="17" t="n"/>
      <c r="E168" s="18">
        <f>IF(ISNUMBER($C168),$C168*(1+IF(ISNUMBER($D168),$D168,0)),"")</f>
        <v/>
      </c>
      <c r="F168" s="21" t="n"/>
      <c r="G168" s="21" t="n"/>
    </row>
    <row r="169">
      <c r="B169" t="inlineStr">
        <is>
          <t>TTS.SM.001</t>
        </is>
      </c>
      <c r="C169" s="18" t="n"/>
      <c r="D169" s="17" t="n"/>
      <c r="E169" s="18">
        <f>IF(ISNUMBER($C169),$C169*(1+IF(ISNUMBER($D169),$D169,0)),"")</f>
        <v/>
      </c>
      <c r="F169" s="21" t="n"/>
      <c r="G169" s="21" t="n"/>
    </row>
    <row r="170">
      <c r="B170" t="inlineStr">
        <is>
          <t>TTS.SM.002</t>
        </is>
      </c>
      <c r="C170" s="18" t="n"/>
      <c r="D170" s="17" t="n"/>
      <c r="E170" s="18">
        <f>IF(ISNUMBER($C170),$C170*(1+IF(ISNUMBER($D170),$D170,0)),"")</f>
        <v/>
      </c>
      <c r="F170" s="21" t="n"/>
      <c r="G170" s="21" t="n"/>
    </row>
    <row r="171">
      <c r="B171" t="inlineStr">
        <is>
          <t>TTS.SM.003</t>
        </is>
      </c>
      <c r="C171" s="18" t="n"/>
      <c r="D171" s="17" t="n"/>
      <c r="E171" s="18">
        <f>IF(ISNUMBER($C171),$C171*(1+IF(ISNUMBER($D171),$D171,0)),"")</f>
        <v/>
      </c>
      <c r="F171" s="21" t="n"/>
      <c r="G171" s="21" t="n"/>
    </row>
    <row r="173">
      <c r="A173" s="15" t="inlineStr">
        <is>
          <t>PEZZI SPECIALI — elenco (peso e costi calcolati dai parametri qui sopra)</t>
        </is>
      </c>
    </row>
    <row r="174">
      <c r="A174" s="10" t="inlineStr">
        <is>
          <t>Codice</t>
        </is>
      </c>
      <c r="B174" s="10" t="inlineStr">
        <is>
          <t>Descrizione</t>
        </is>
      </c>
      <c r="C174" s="10" t="inlineStr">
        <is>
          <t>Profilo</t>
        </is>
      </c>
      <c r="D174" s="10" t="inlineStr">
        <is>
          <t>Lunghezza (m)</t>
        </is>
      </c>
      <c r="E174" s="10" t="inlineStr">
        <is>
          <t>Peso elemento (kg)</t>
        </is>
      </c>
      <c r="F174" s="10" t="inlineStr">
        <is>
          <t>Costo acquisto (€)</t>
        </is>
      </c>
      <c r="G174" s="10" t="inlineStr">
        <is>
          <t>Costo zincatura (€)</t>
        </is>
      </c>
    </row>
    <row r="175">
      <c r="A175" t="inlineStr">
        <is>
          <t>TTS.PF.002.IPE140</t>
        </is>
      </c>
      <c r="B175" t="inlineStr">
        <is>
          <t>Piastra giunzione montanti centrali 200x100x4 (8 fori Ø 11)</t>
        </is>
      </c>
      <c r="C175" s="13" t="inlineStr">
        <is>
          <t>TTS.PF.002.IPE140</t>
        </is>
      </c>
      <c r="D175" s="19" t="n"/>
      <c r="E175" s="20">
        <f>IF(ISNUMBER(VLOOKUP($C175,$B$143:$G$171,4,FALSE)),VLOOKUP($C175,$B$143:$G$171,4,FALSE),"")</f>
        <v/>
      </c>
      <c r="F175" s="12">
        <f>IF(AND(ISNUMBER(VLOOKUP($C175,$B$143:$G$171,2,FALSE)),ISNUMBER(VLOOKUP($C175,$B$143:$G$171,5,FALSE))),VLOOKUP($C175,$B$143:$G$171,2,FALSE)*VLOOKUP($C175,$B$143:$G$171,5,FALSE),"")</f>
        <v/>
      </c>
      <c r="G175" s="12">
        <f>IF(AND(ISNUMBER(VLOOKUP($C175,$B$143:$G$171,2,FALSE)),ISNUMBER(VLOOKUP($C175,$B$143:$G$171,3,FALSE)),VLOOKUP($C175,$B$143:$G$171,3,FALSE)&gt;0,ISNUMBER(VLOOKUP($C175,$B$143:$G$171,6,FALSE))),VLOOKUP($C175,$B$143:$G$171,2,FALSE)*(1+VLOOKUP($C175,$B$143:$G$171,3,FALSE))*VLOOKUP($C175,$B$143:$G$171,6,FALSE),"")</f>
        <v/>
      </c>
    </row>
    <row r="176">
      <c r="A176" t="inlineStr">
        <is>
          <t>TTS.PF.003.IPE140</t>
        </is>
      </c>
      <c r="B176" t="inlineStr">
        <is>
          <t>Piastra giunzione montanti esterna 240x70x6 (12 fori Ø 11)</t>
        </is>
      </c>
      <c r="C176" s="13" t="inlineStr">
        <is>
          <t>TTS.PF.003.IPE140</t>
        </is>
      </c>
      <c r="D176" s="19" t="n"/>
      <c r="E176" s="20">
        <f>IF(ISNUMBER(VLOOKUP($C176,$B$143:$G$171,4,FALSE)),VLOOKUP($C176,$B$143:$G$171,4,FALSE),"")</f>
        <v/>
      </c>
      <c r="F176" s="12">
        <f>IF(AND(ISNUMBER(VLOOKUP($C176,$B$143:$G$171,2,FALSE)),ISNUMBER(VLOOKUP($C176,$B$143:$G$171,5,FALSE))),VLOOKUP($C176,$B$143:$G$171,2,FALSE)*VLOOKUP($C176,$B$143:$G$171,5,FALSE),"")</f>
        <v/>
      </c>
      <c r="G176" s="12">
        <f>IF(AND(ISNUMBER(VLOOKUP($C176,$B$143:$G$171,2,FALSE)),ISNUMBER(VLOOKUP($C176,$B$143:$G$171,3,FALSE)),VLOOKUP($C176,$B$143:$G$171,3,FALSE)&gt;0,ISNUMBER(VLOOKUP($C176,$B$143:$G$171,6,FALSE))),VLOOKUP($C176,$B$143:$G$171,2,FALSE)*(1+VLOOKUP($C176,$B$143:$G$171,3,FALSE))*VLOOKUP($C176,$B$143:$G$171,6,FALSE),"")</f>
        <v/>
      </c>
    </row>
    <row r="177">
      <c r="A177" t="inlineStr">
        <is>
          <t>TTS.PF.004.IPE140</t>
        </is>
      </c>
      <c r="B177" t="inlineStr">
        <is>
          <t>Piastra giunzione montanti interna 240x25x6 (6 fori Ø 11)</t>
        </is>
      </c>
      <c r="C177" s="13" t="inlineStr">
        <is>
          <t>TTS.PF.004.IPE140</t>
        </is>
      </c>
      <c r="D177" s="19" t="n"/>
      <c r="E177" s="20">
        <f>IF(ISNUMBER(VLOOKUP($C177,$B$143:$G$171,4,FALSE)),VLOOKUP($C177,$B$143:$G$171,4,FALSE),"")</f>
        <v/>
      </c>
      <c r="F177" s="12">
        <f>IF(AND(ISNUMBER(VLOOKUP($C177,$B$143:$G$171,2,FALSE)),ISNUMBER(VLOOKUP($C177,$B$143:$G$171,5,FALSE))),VLOOKUP($C177,$B$143:$G$171,2,FALSE)*VLOOKUP($C177,$B$143:$G$171,5,FALSE),"")</f>
        <v/>
      </c>
      <c r="G177" s="12">
        <f>IF(AND(ISNUMBER(VLOOKUP($C177,$B$143:$G$171,2,FALSE)),ISNUMBER(VLOOKUP($C177,$B$143:$G$171,3,FALSE)),VLOOKUP($C177,$B$143:$G$171,3,FALSE)&gt;0,ISNUMBER(VLOOKUP($C177,$B$143:$G$171,6,FALSE))),VLOOKUP($C177,$B$143:$G$171,2,FALSE)*(1+VLOOKUP($C177,$B$143:$G$171,3,FALSE))*VLOOKUP($C177,$B$143:$G$171,6,FALSE),"")</f>
        <v/>
      </c>
    </row>
    <row r="178">
      <c r="A178" t="inlineStr">
        <is>
          <t>TTS.AR.3011</t>
        </is>
      </c>
      <c r="B178" t="inlineStr">
        <is>
          <t>Supporto a L superiore omega</t>
        </is>
      </c>
      <c r="C178" s="13" t="inlineStr">
        <is>
          <t>TTS.AR.3011</t>
        </is>
      </c>
      <c r="D178" s="19" t="n"/>
      <c r="E178" s="20">
        <f>IF(ISNUMBER(VLOOKUP($C178,$B$143:$G$171,4,FALSE)),VLOOKUP($C178,$B$143:$G$171,4,FALSE),"")</f>
        <v/>
      </c>
      <c r="F178" s="12">
        <f>IF(AND(ISNUMBER(VLOOKUP($C178,$B$143:$G$171,2,FALSE)),ISNUMBER(VLOOKUP($C178,$B$143:$G$171,5,FALSE))),VLOOKUP($C178,$B$143:$G$171,2,FALSE)*VLOOKUP($C178,$B$143:$G$171,5,FALSE),"")</f>
        <v/>
      </c>
      <c r="G178" s="12">
        <f>IF(AND(ISNUMBER(VLOOKUP($C178,$B$143:$G$171,2,FALSE)),ISNUMBER(VLOOKUP($C178,$B$143:$G$171,3,FALSE)),VLOOKUP($C178,$B$143:$G$171,3,FALSE)&gt;0,ISNUMBER(VLOOKUP($C178,$B$143:$G$171,6,FALSE))),VLOOKUP($C178,$B$143:$G$171,2,FALSE)*(1+VLOOKUP($C178,$B$143:$G$171,3,FALSE))*VLOOKUP($C178,$B$143:$G$171,6,FALSE),"")</f>
        <v/>
      </c>
    </row>
    <row r="179">
      <c r="A179" t="inlineStr">
        <is>
          <t>TTS.AR.3012</t>
        </is>
      </c>
      <c r="B179" t="inlineStr">
        <is>
          <t>Supporto a V inferiore omega</t>
        </is>
      </c>
      <c r="C179" s="13" t="inlineStr">
        <is>
          <t>TTS.AR.3012</t>
        </is>
      </c>
      <c r="D179" s="19" t="n"/>
      <c r="E179" s="20">
        <f>IF(ISNUMBER(VLOOKUP($C179,$B$143:$G$171,4,FALSE)),VLOOKUP($C179,$B$143:$G$171,4,FALSE),"")</f>
        <v/>
      </c>
      <c r="F179" s="12">
        <f>IF(AND(ISNUMBER(VLOOKUP($C179,$B$143:$G$171,2,FALSE)),ISNUMBER(VLOOKUP($C179,$B$143:$G$171,5,FALSE))),VLOOKUP($C179,$B$143:$G$171,2,FALSE)*VLOOKUP($C179,$B$143:$G$171,5,FALSE),"")</f>
        <v/>
      </c>
      <c r="G179" s="12">
        <f>IF(AND(ISNUMBER(VLOOKUP($C179,$B$143:$G$171,2,FALSE)),ISNUMBER(VLOOKUP($C179,$B$143:$G$171,3,FALSE)),VLOOKUP($C179,$B$143:$G$171,3,FALSE)&gt;0,ISNUMBER(VLOOKUP($C179,$B$143:$G$171,6,FALSE))),VLOOKUP($C179,$B$143:$G$171,2,FALSE)*(1+VLOOKUP($C179,$B$143:$G$171,3,FALSE))*VLOOKUP($C179,$B$143:$G$171,6,FALSE),"")</f>
        <v/>
      </c>
    </row>
    <row r="180">
      <c r="A180" t="inlineStr">
        <is>
          <t>TTS.AR.3013</t>
        </is>
      </c>
      <c r="B180" t="inlineStr">
        <is>
          <t>Gaffa sotto omega</t>
        </is>
      </c>
      <c r="C180" s="13" t="inlineStr">
        <is>
          <t>TTS.AR.3013</t>
        </is>
      </c>
      <c r="D180" s="19" t="n"/>
      <c r="E180" s="20">
        <f>IF(ISNUMBER(VLOOKUP($C180,$B$143:$G$171,4,FALSE)),VLOOKUP($C180,$B$143:$G$171,4,FALSE),"")</f>
        <v/>
      </c>
      <c r="F180" s="12">
        <f>IF(AND(ISNUMBER(VLOOKUP($C180,$B$143:$G$171,2,FALSE)),ISNUMBER(VLOOKUP($C180,$B$143:$G$171,5,FALSE))),VLOOKUP($C180,$B$143:$G$171,2,FALSE)*VLOOKUP($C180,$B$143:$G$171,5,FALSE),"")</f>
        <v/>
      </c>
      <c r="G180" s="12">
        <f>IF(AND(ISNUMBER(VLOOKUP($C180,$B$143:$G$171,2,FALSE)),ISNUMBER(VLOOKUP($C180,$B$143:$G$171,3,FALSE)),VLOOKUP($C180,$B$143:$G$171,3,FALSE)&gt;0,ISNUMBER(VLOOKUP($C180,$B$143:$G$171,6,FALSE))),VLOOKUP($C180,$B$143:$G$171,2,FALSE)*(1+VLOOKUP($C180,$B$143:$G$171,3,FALSE))*VLOOKUP($C180,$B$143:$G$171,6,FALSE),"")</f>
        <v/>
      </c>
    </row>
    <row r="181">
      <c r="A181" t="inlineStr">
        <is>
          <t>TTS.AR.3014</t>
        </is>
      </c>
      <c r="B181" t="inlineStr">
        <is>
          <t>Omega supporto pannello</t>
        </is>
      </c>
      <c r="C181" s="13" t="inlineStr">
        <is>
          <t>TTS.AR.3014</t>
        </is>
      </c>
      <c r="D181" s="19" t="n"/>
      <c r="E181" s="20">
        <f>IF(ISNUMBER(VLOOKUP($C181,$B$143:$G$171,4,FALSE)),VLOOKUP($C181,$B$143:$G$171,4,FALSE),"")</f>
        <v/>
      </c>
      <c r="F181" s="12">
        <f>IF(AND(ISNUMBER(VLOOKUP($C181,$B$143:$G$171,2,FALSE)),ISNUMBER(VLOOKUP($C181,$B$143:$G$171,5,FALSE))),VLOOKUP($C181,$B$143:$G$171,2,FALSE)*VLOOKUP($C181,$B$143:$G$171,5,FALSE),"")</f>
        <v/>
      </c>
      <c r="G181" s="12">
        <f>IF(AND(ISNUMBER(VLOOKUP($C181,$B$143:$G$171,2,FALSE)),ISNUMBER(VLOOKUP($C181,$B$143:$G$171,3,FALSE)),VLOOKUP($C181,$B$143:$G$171,3,FALSE)&gt;0,ISNUMBER(VLOOKUP($C181,$B$143:$G$171,6,FALSE))),VLOOKUP($C181,$B$143:$G$171,2,FALSE)*(1+VLOOKUP($C181,$B$143:$G$171,3,FALSE))*VLOOKUP($C181,$B$143:$G$171,6,FALSE),"")</f>
        <v/>
      </c>
    </row>
    <row r="182">
      <c r="A182" t="inlineStr">
        <is>
          <t>TTS.AR.3014.18</t>
        </is>
      </c>
      <c r="B182" t="inlineStr">
        <is>
          <t>Omega supporto pannello mm1,8</t>
        </is>
      </c>
      <c r="C182" s="13" t="inlineStr">
        <is>
          <t>TTS.AR.3014.18</t>
        </is>
      </c>
      <c r="D182" s="19" t="n"/>
      <c r="E182" s="20">
        <f>IF(ISNUMBER(VLOOKUP($C182,$B$143:$G$171,4,FALSE)),VLOOKUP($C182,$B$143:$G$171,4,FALSE),"")</f>
        <v/>
      </c>
      <c r="F182" s="12">
        <f>IF(AND(ISNUMBER(VLOOKUP($C182,$B$143:$G$171,2,FALSE)),ISNUMBER(VLOOKUP($C182,$B$143:$G$171,5,FALSE))),VLOOKUP($C182,$B$143:$G$171,2,FALSE)*VLOOKUP($C182,$B$143:$G$171,5,FALSE),"")</f>
        <v/>
      </c>
      <c r="G182" s="12">
        <f>IF(AND(ISNUMBER(VLOOKUP($C182,$B$143:$G$171,2,FALSE)),ISNUMBER(VLOOKUP($C182,$B$143:$G$171,3,FALSE)),VLOOKUP($C182,$B$143:$G$171,3,FALSE)&gt;0,ISNUMBER(VLOOKUP($C182,$B$143:$G$171,6,FALSE))),VLOOKUP($C182,$B$143:$G$171,2,FALSE)*(1+VLOOKUP($C182,$B$143:$G$171,3,FALSE))*VLOOKUP($C182,$B$143:$G$171,6,FALSE),"")</f>
        <v/>
      </c>
    </row>
    <row r="183">
      <c r="A183" t="inlineStr">
        <is>
          <t>TTS.AR.4011</t>
        </is>
      </c>
      <c r="B183" t="inlineStr">
        <is>
          <t>Supporto superiore inclinometro</t>
        </is>
      </c>
      <c r="C183" s="13" t="inlineStr">
        <is>
          <t>TTS.AR.4011</t>
        </is>
      </c>
      <c r="D183" s="19" t="n"/>
      <c r="E183" s="20">
        <f>IF(ISNUMBER(VLOOKUP($C183,$B$143:$G$171,4,FALSE)),VLOOKUP($C183,$B$143:$G$171,4,FALSE),"")</f>
        <v/>
      </c>
      <c r="F183" s="12">
        <f>IF(AND(ISNUMBER(VLOOKUP($C183,$B$143:$G$171,2,FALSE)),ISNUMBER(VLOOKUP($C183,$B$143:$G$171,5,FALSE))),VLOOKUP($C183,$B$143:$G$171,2,FALSE)*VLOOKUP($C183,$B$143:$G$171,5,FALSE),"")</f>
        <v/>
      </c>
      <c r="G183" s="12">
        <f>IF(AND(ISNUMBER(VLOOKUP($C183,$B$143:$G$171,2,FALSE)),ISNUMBER(VLOOKUP($C183,$B$143:$G$171,3,FALSE)),VLOOKUP($C183,$B$143:$G$171,3,FALSE)&gt;0,ISNUMBER(VLOOKUP($C183,$B$143:$G$171,6,FALSE))),VLOOKUP($C183,$B$143:$G$171,2,FALSE)*(1+VLOOKUP($C183,$B$143:$G$171,3,FALSE))*VLOOKUP($C183,$B$143:$G$171,6,FALSE),"")</f>
        <v/>
      </c>
    </row>
    <row r="184">
      <c r="A184" t="inlineStr">
        <is>
          <t>TTS.AR.4012</t>
        </is>
      </c>
      <c r="B184" t="inlineStr">
        <is>
          <t>Supporto inferiore inclinometro</t>
        </is>
      </c>
      <c r="C184" s="13" t="inlineStr">
        <is>
          <t>TTS.AR.4012</t>
        </is>
      </c>
      <c r="D184" s="19" t="n"/>
      <c r="E184" s="20">
        <f>IF(ISNUMBER(VLOOKUP($C184,$B$143:$G$171,4,FALSE)),VLOOKUP($C184,$B$143:$G$171,4,FALSE),"")</f>
        <v/>
      </c>
      <c r="F184" s="12">
        <f>IF(AND(ISNUMBER(VLOOKUP($C184,$B$143:$G$171,2,FALSE)),ISNUMBER(VLOOKUP($C184,$B$143:$G$171,5,FALSE))),VLOOKUP($C184,$B$143:$G$171,2,FALSE)*VLOOKUP($C184,$B$143:$G$171,5,FALSE),"")</f>
        <v/>
      </c>
      <c r="G184" s="12">
        <f>IF(AND(ISNUMBER(VLOOKUP($C184,$B$143:$G$171,2,FALSE)),ISNUMBER(VLOOKUP($C184,$B$143:$G$171,3,FALSE)),VLOOKUP($C184,$B$143:$G$171,3,FALSE)&gt;0,ISNUMBER(VLOOKUP($C184,$B$143:$G$171,6,FALSE))),VLOOKUP($C184,$B$143:$G$171,2,FALSE)*(1+VLOOKUP($C184,$B$143:$G$171,3,FALSE))*VLOOKUP($C184,$B$143:$G$171,6,FALSE),"")</f>
        <v/>
      </c>
    </row>
    <row r="185">
      <c r="A185" t="inlineStr">
        <is>
          <t>TTS.AR.5011</t>
        </is>
      </c>
      <c r="B185" t="inlineStr">
        <is>
          <t>Piastra ad L supporto fine corsa</t>
        </is>
      </c>
      <c r="C185" s="13" t="inlineStr">
        <is>
          <t>TTS.AR.5011</t>
        </is>
      </c>
      <c r="D185" s="19" t="n"/>
      <c r="E185" s="20">
        <f>IF(ISNUMBER(VLOOKUP($C185,$B$143:$G$171,4,FALSE)),VLOOKUP($C185,$B$143:$G$171,4,FALSE),"")</f>
        <v/>
      </c>
      <c r="F185" s="12">
        <f>IF(AND(ISNUMBER(VLOOKUP($C185,$B$143:$G$171,2,FALSE)),ISNUMBER(VLOOKUP($C185,$B$143:$G$171,5,FALSE))),VLOOKUP($C185,$B$143:$G$171,2,FALSE)*VLOOKUP($C185,$B$143:$G$171,5,FALSE),"")</f>
        <v/>
      </c>
      <c r="G185" s="12">
        <f>IF(AND(ISNUMBER(VLOOKUP($C185,$B$143:$G$171,2,FALSE)),ISNUMBER(VLOOKUP($C185,$B$143:$G$171,3,FALSE)),VLOOKUP($C185,$B$143:$G$171,3,FALSE)&gt;0,ISNUMBER(VLOOKUP($C185,$B$143:$G$171,6,FALSE))),VLOOKUP($C185,$B$143:$G$171,2,FALSE)*(1+VLOOKUP($C185,$B$143:$G$171,3,FALSE))*VLOOKUP($C185,$B$143:$G$171,6,FALSE),"")</f>
        <v/>
      </c>
    </row>
    <row r="186">
      <c r="A186" t="inlineStr">
        <is>
          <t>TTS.AR.5012</t>
        </is>
      </c>
      <c r="B186" t="inlineStr">
        <is>
          <t>Leva battente sensore fine corsa</t>
        </is>
      </c>
      <c r="C186" s="13" t="inlineStr">
        <is>
          <t>TTS.AR.5012</t>
        </is>
      </c>
      <c r="D186" s="19" t="n"/>
      <c r="E186" s="20">
        <f>IF(ISNUMBER(VLOOKUP($C186,$B$143:$G$171,4,FALSE)),VLOOKUP($C186,$B$143:$G$171,4,FALSE),"")</f>
        <v/>
      </c>
      <c r="F186" s="12">
        <f>IF(AND(ISNUMBER(VLOOKUP($C186,$B$143:$G$171,2,FALSE)),ISNUMBER(VLOOKUP($C186,$B$143:$G$171,5,FALSE))),VLOOKUP($C186,$B$143:$G$171,2,FALSE)*VLOOKUP($C186,$B$143:$G$171,5,FALSE),"")</f>
        <v/>
      </c>
      <c r="G186" s="12">
        <f>IF(AND(ISNUMBER(VLOOKUP($C186,$B$143:$G$171,2,FALSE)),ISNUMBER(VLOOKUP($C186,$B$143:$G$171,3,FALSE)),VLOOKUP($C186,$B$143:$G$171,3,FALSE)&gt;0,ISNUMBER(VLOOKUP($C186,$B$143:$G$171,6,FALSE))),VLOOKUP($C186,$B$143:$G$171,2,FALSE)*(1+VLOOKUP($C186,$B$143:$G$171,3,FALSE))*VLOOKUP($C186,$B$143:$G$171,6,FALSE),"")</f>
        <v/>
      </c>
    </row>
    <row r="187">
      <c r="A187" t="inlineStr">
        <is>
          <t>TTS.PC.002.IPE140</t>
        </is>
      </c>
      <c r="B187" t="inlineStr">
        <is>
          <t>Supporto laterale testa cuscinetto</t>
        </is>
      </c>
      <c r="C187" s="13" t="inlineStr">
        <is>
          <t>TTS.PC.002.IPE140</t>
        </is>
      </c>
      <c r="D187" s="19" t="n"/>
      <c r="E187" s="20">
        <f>IF(ISNUMBER(VLOOKUP($C187,$B$143:$G$171,4,FALSE)),VLOOKUP($C187,$B$143:$G$171,4,FALSE),"")</f>
        <v/>
      </c>
      <c r="F187" s="12">
        <f>IF(AND(ISNUMBER(VLOOKUP($C187,$B$143:$G$171,2,FALSE)),ISNUMBER(VLOOKUP($C187,$B$143:$G$171,5,FALSE))),VLOOKUP($C187,$B$143:$G$171,2,FALSE)*VLOOKUP($C187,$B$143:$G$171,5,FALSE),"")</f>
        <v/>
      </c>
      <c r="G187" s="12">
        <f>IF(AND(ISNUMBER(VLOOKUP($C187,$B$143:$G$171,2,FALSE)),ISNUMBER(VLOOKUP($C187,$B$143:$G$171,3,FALSE)),VLOOKUP($C187,$B$143:$G$171,3,FALSE)&gt;0,ISNUMBER(VLOOKUP($C187,$B$143:$G$171,6,FALSE))),VLOOKUP($C187,$B$143:$G$171,2,FALSE)*(1+VLOOKUP($C187,$B$143:$G$171,3,FALSE))*VLOOKUP($C187,$B$143:$G$171,6,FALSE),"")</f>
        <v/>
      </c>
    </row>
    <row r="188">
      <c r="A188" t="inlineStr">
        <is>
          <t>TTS.PC.002.IPEA140</t>
        </is>
      </c>
      <c r="B188" t="inlineStr">
        <is>
          <t>Supporto laterale testa cuscinetto (alleggerita)</t>
        </is>
      </c>
      <c r="C188" s="13" t="inlineStr">
        <is>
          <t>TTS.PC.002.IPEA140</t>
        </is>
      </c>
      <c r="D188" s="19" t="n"/>
      <c r="E188" s="20">
        <f>IF(ISNUMBER(VLOOKUP($C188,$B$143:$G$171,4,FALSE)),VLOOKUP($C188,$B$143:$G$171,4,FALSE),"")</f>
        <v/>
      </c>
      <c r="F188" s="12">
        <f>IF(AND(ISNUMBER(VLOOKUP($C188,$B$143:$G$171,2,FALSE)),ISNUMBER(VLOOKUP($C188,$B$143:$G$171,5,FALSE))),VLOOKUP($C188,$B$143:$G$171,2,FALSE)*VLOOKUP($C188,$B$143:$G$171,5,FALSE),"")</f>
        <v/>
      </c>
      <c r="G188" s="12">
        <f>IF(AND(ISNUMBER(VLOOKUP($C188,$B$143:$G$171,2,FALSE)),ISNUMBER(VLOOKUP($C188,$B$143:$G$171,3,FALSE)),VLOOKUP($C188,$B$143:$G$171,3,FALSE)&gt;0,ISNUMBER(VLOOKUP($C188,$B$143:$G$171,6,FALSE))),VLOOKUP($C188,$B$143:$G$171,2,FALSE)*(1+VLOOKUP($C188,$B$143:$G$171,3,FALSE))*VLOOKUP($C188,$B$143:$G$171,6,FALSE),"")</f>
        <v/>
      </c>
    </row>
    <row r="189">
      <c r="A189" t="inlineStr">
        <is>
          <t>TTS.PC.003.IPE140</t>
        </is>
      </c>
      <c r="B189" t="inlineStr">
        <is>
          <t>Supporto testa cuscinetto</t>
        </is>
      </c>
      <c r="C189" s="13" t="inlineStr">
        <is>
          <t>TTS.PC.003.IPE140</t>
        </is>
      </c>
      <c r="D189" s="19" t="n"/>
      <c r="E189" s="20">
        <f>IF(ISNUMBER(VLOOKUP($C189,$B$143:$G$171,4,FALSE)),VLOOKUP($C189,$B$143:$G$171,4,FALSE),"")</f>
        <v/>
      </c>
      <c r="F189" s="12">
        <f>IF(AND(ISNUMBER(VLOOKUP($C189,$B$143:$G$171,2,FALSE)),ISNUMBER(VLOOKUP($C189,$B$143:$G$171,5,FALSE))),VLOOKUP($C189,$B$143:$G$171,2,FALSE)*VLOOKUP($C189,$B$143:$G$171,5,FALSE),"")</f>
        <v/>
      </c>
      <c r="G189" s="12">
        <f>IF(AND(ISNUMBER(VLOOKUP($C189,$B$143:$G$171,2,FALSE)),ISNUMBER(VLOOKUP($C189,$B$143:$G$171,3,FALSE)),VLOOKUP($C189,$B$143:$G$171,3,FALSE)&gt;0,ISNUMBER(VLOOKUP($C189,$B$143:$G$171,6,FALSE))),VLOOKUP($C189,$B$143:$G$171,2,FALSE)*(1+VLOOKUP($C189,$B$143:$G$171,3,FALSE))*VLOOKUP($C189,$B$143:$G$171,6,FALSE),"")</f>
        <v/>
      </c>
    </row>
    <row r="190">
      <c r="A190" t="inlineStr">
        <is>
          <t>TTS.PC.003.IPEA140</t>
        </is>
      </c>
      <c r="B190" t="inlineStr">
        <is>
          <t>Supporto testa cuscinetto (alleggerita)</t>
        </is>
      </c>
      <c r="C190" s="13" t="inlineStr">
        <is>
          <t>TTS.PC.003.IPEA140</t>
        </is>
      </c>
      <c r="D190" s="19" t="n"/>
      <c r="E190" s="20">
        <f>IF(ISNUMBER(VLOOKUP($C190,$B$143:$G$171,4,FALSE)),VLOOKUP($C190,$B$143:$G$171,4,FALSE),"")</f>
        <v/>
      </c>
      <c r="F190" s="12">
        <f>IF(AND(ISNUMBER(VLOOKUP($C190,$B$143:$G$171,2,FALSE)),ISNUMBER(VLOOKUP($C190,$B$143:$G$171,5,FALSE))),VLOOKUP($C190,$B$143:$G$171,2,FALSE)*VLOOKUP($C190,$B$143:$G$171,5,FALSE),"")</f>
        <v/>
      </c>
      <c r="G190" s="12">
        <f>IF(AND(ISNUMBER(VLOOKUP($C190,$B$143:$G$171,2,FALSE)),ISNUMBER(VLOOKUP($C190,$B$143:$G$171,3,FALSE)),VLOOKUP($C190,$B$143:$G$171,3,FALSE)&gt;0,ISNUMBER(VLOOKUP($C190,$B$143:$G$171,6,FALSE))),VLOOKUP($C190,$B$143:$G$171,2,FALSE)*(1+VLOOKUP($C190,$B$143:$G$171,3,FALSE))*VLOOKUP($C190,$B$143:$G$171,6,FALSE),"")</f>
        <v/>
      </c>
    </row>
    <row r="191">
      <c r="A191" t="inlineStr">
        <is>
          <t>TTS.PC.2011.1076</t>
        </is>
      </c>
      <c r="B191" t="inlineStr">
        <is>
          <t>Angolare 40x40x4 lungo 1076 mm. supporto inferiore</t>
        </is>
      </c>
      <c r="C191" s="13" t="inlineStr">
        <is>
          <t>TTS.PC.2011.1076</t>
        </is>
      </c>
      <c r="D191" s="19" t="n"/>
      <c r="E191" s="20">
        <f>IF(ISNUMBER(VLOOKUP($C191,$B$143:$G$171,4,FALSE)),VLOOKUP($C191,$B$143:$G$171,4,FALSE),"")</f>
        <v/>
      </c>
      <c r="F191" s="12">
        <f>IF(AND(ISNUMBER(VLOOKUP($C191,$B$143:$G$171,2,FALSE)),ISNUMBER(VLOOKUP($C191,$B$143:$G$171,5,FALSE))),VLOOKUP($C191,$B$143:$G$171,2,FALSE)*VLOOKUP($C191,$B$143:$G$171,5,FALSE),"")</f>
        <v/>
      </c>
      <c r="G191" s="12">
        <f>IF(AND(ISNUMBER(VLOOKUP($C191,$B$143:$G$171,2,FALSE)),ISNUMBER(VLOOKUP($C191,$B$143:$G$171,3,FALSE)),VLOOKUP($C191,$B$143:$G$171,3,FALSE)&gt;0,ISNUMBER(VLOOKUP($C191,$B$143:$G$171,6,FALSE))),VLOOKUP($C191,$B$143:$G$171,2,FALSE)*(1+VLOOKUP($C191,$B$143:$G$171,3,FALSE))*VLOOKUP($C191,$B$143:$G$171,6,FALSE),"")</f>
        <v/>
      </c>
    </row>
    <row r="192">
      <c r="A192" t="inlineStr">
        <is>
          <t>TTS.PC.2012.1076</t>
        </is>
      </c>
      <c r="B192" t="inlineStr">
        <is>
          <t>Angolare 40x40x4 lungo1076 mm. supporto superiore</t>
        </is>
      </c>
      <c r="C192" s="13" t="inlineStr">
        <is>
          <t>TTS.PC.2012.1076</t>
        </is>
      </c>
      <c r="D192" s="19" t="n"/>
      <c r="E192" s="20">
        <f>IF(ISNUMBER(VLOOKUP($C192,$B$143:$G$171,4,FALSE)),VLOOKUP($C192,$B$143:$G$171,4,FALSE),"")</f>
        <v/>
      </c>
      <c r="F192" s="12">
        <f>IF(AND(ISNUMBER(VLOOKUP($C192,$B$143:$G$171,2,FALSE)),ISNUMBER(VLOOKUP($C192,$B$143:$G$171,5,FALSE))),VLOOKUP($C192,$B$143:$G$171,2,FALSE)*VLOOKUP($C192,$B$143:$G$171,5,FALSE),"")</f>
        <v/>
      </c>
      <c r="G192" s="12">
        <f>IF(AND(ISNUMBER(VLOOKUP($C192,$B$143:$G$171,2,FALSE)),ISNUMBER(VLOOKUP($C192,$B$143:$G$171,3,FALSE)),VLOOKUP($C192,$B$143:$G$171,3,FALSE)&gt;0,ISNUMBER(VLOOKUP($C192,$B$143:$G$171,6,FALSE))),VLOOKUP($C192,$B$143:$G$171,2,FALSE)*(1+VLOOKUP($C192,$B$143:$G$171,3,FALSE))*VLOOKUP($C192,$B$143:$G$171,6,FALSE),"")</f>
        <v/>
      </c>
    </row>
    <row r="193">
      <c r="A193" t="inlineStr">
        <is>
          <t>TTS.PC.2013</t>
        </is>
      </c>
      <c r="B193" t="inlineStr">
        <is>
          <t>Palo MAX lungo mt.2,040</t>
        </is>
      </c>
      <c r="C193" s="13" t="inlineStr">
        <is>
          <t>TTS.PC.2013</t>
        </is>
      </c>
      <c r="D193" s="19" t="n"/>
      <c r="E193" s="20">
        <f>IF(ISNUMBER(VLOOKUP($C193,$B$143:$G$171,4,FALSE)),VLOOKUP($C193,$B$143:$G$171,4,FALSE),"")</f>
        <v/>
      </c>
      <c r="F193" s="12">
        <f>IF(AND(ISNUMBER(VLOOKUP($C193,$B$143:$G$171,2,FALSE)),ISNUMBER(VLOOKUP($C193,$B$143:$G$171,5,FALSE))),VLOOKUP($C193,$B$143:$G$171,2,FALSE)*VLOOKUP($C193,$B$143:$G$171,5,FALSE),"")</f>
        <v/>
      </c>
      <c r="G193" s="12">
        <f>IF(AND(ISNUMBER(VLOOKUP($C193,$B$143:$G$171,2,FALSE)),ISNUMBER(VLOOKUP($C193,$B$143:$G$171,3,FALSE)),VLOOKUP($C193,$B$143:$G$171,3,FALSE)&gt;0,ISNUMBER(VLOOKUP($C193,$B$143:$G$171,6,FALSE))),VLOOKUP($C193,$B$143:$G$171,2,FALSE)*(1+VLOOKUP($C193,$B$143:$G$171,3,FALSE))*VLOOKUP($C193,$B$143:$G$171,6,FALSE),"")</f>
        <v/>
      </c>
    </row>
    <row r="194">
      <c r="A194" t="inlineStr">
        <is>
          <t>TTS.PC.3011</t>
        </is>
      </c>
      <c r="B194" t="inlineStr">
        <is>
          <t>Angolare 40x40x4 lungo 869 mm. superiore</t>
        </is>
      </c>
      <c r="C194" s="13" t="inlineStr">
        <is>
          <t>TTS.PC.3011</t>
        </is>
      </c>
      <c r="D194" s="19" t="n"/>
      <c r="E194" s="20">
        <f>IF(ISNUMBER(VLOOKUP($C194,$B$143:$G$171,4,FALSE)),VLOOKUP($C194,$B$143:$G$171,4,FALSE),"")</f>
        <v/>
      </c>
      <c r="F194" s="12">
        <f>IF(AND(ISNUMBER(VLOOKUP($C194,$B$143:$G$171,2,FALSE)),ISNUMBER(VLOOKUP($C194,$B$143:$G$171,5,FALSE))),VLOOKUP($C194,$B$143:$G$171,2,FALSE)*VLOOKUP($C194,$B$143:$G$171,5,FALSE),"")</f>
        <v/>
      </c>
      <c r="G194" s="12">
        <f>IF(AND(ISNUMBER(VLOOKUP($C194,$B$143:$G$171,2,FALSE)),ISNUMBER(VLOOKUP($C194,$B$143:$G$171,3,FALSE)),VLOOKUP($C194,$B$143:$G$171,3,FALSE)&gt;0,ISNUMBER(VLOOKUP($C194,$B$143:$G$171,6,FALSE))),VLOOKUP($C194,$B$143:$G$171,2,FALSE)*(1+VLOOKUP($C194,$B$143:$G$171,3,FALSE))*VLOOKUP($C194,$B$143:$G$171,6,FALSE),"")</f>
        <v/>
      </c>
    </row>
    <row r="195">
      <c r="A195" t="inlineStr">
        <is>
          <t>TTS.PC.3012</t>
        </is>
      </c>
      <c r="B195" t="inlineStr">
        <is>
          <t>Angolare 40x40x4 lungo 869 mm. inferiore</t>
        </is>
      </c>
      <c r="C195" s="13" t="inlineStr">
        <is>
          <t>TTS.PC.3012</t>
        </is>
      </c>
      <c r="D195" s="19" t="n"/>
      <c r="E195" s="20">
        <f>IF(ISNUMBER(VLOOKUP($C195,$B$143:$G$171,4,FALSE)),VLOOKUP($C195,$B$143:$G$171,4,FALSE),"")</f>
        <v/>
      </c>
      <c r="F195" s="12">
        <f>IF(AND(ISNUMBER(VLOOKUP($C195,$B$143:$G$171,2,FALSE)),ISNUMBER(VLOOKUP($C195,$B$143:$G$171,5,FALSE))),VLOOKUP($C195,$B$143:$G$171,2,FALSE)*VLOOKUP($C195,$B$143:$G$171,5,FALSE),"")</f>
        <v/>
      </c>
      <c r="G195" s="12">
        <f>IF(AND(ISNUMBER(VLOOKUP($C195,$B$143:$G$171,2,FALSE)),ISNUMBER(VLOOKUP($C195,$B$143:$G$171,3,FALSE)),VLOOKUP($C195,$B$143:$G$171,3,FALSE)&gt;0,ISNUMBER(VLOOKUP($C195,$B$143:$G$171,6,FALSE))),VLOOKUP($C195,$B$143:$G$171,2,FALSE)*(1+VLOOKUP($C195,$B$143:$G$171,3,FALSE))*VLOOKUP($C195,$B$143:$G$171,6,FALSE),"")</f>
        <v/>
      </c>
    </row>
    <row r="196">
      <c r="A196" t="inlineStr">
        <is>
          <t>TTS.PC.3013</t>
        </is>
      </c>
      <c r="B196" t="inlineStr">
        <is>
          <t>Palo MAX lungo mt.2,150</t>
        </is>
      </c>
      <c r="C196" s="13" t="inlineStr">
        <is>
          <t>TTS.PC.3013</t>
        </is>
      </c>
      <c r="D196" s="19" t="n"/>
      <c r="E196" s="20">
        <f>IF(ISNUMBER(VLOOKUP($C196,$B$143:$G$171,4,FALSE)),VLOOKUP($C196,$B$143:$G$171,4,FALSE),"")</f>
        <v/>
      </c>
      <c r="F196" s="12">
        <f>IF(AND(ISNUMBER(VLOOKUP($C196,$B$143:$G$171,2,FALSE)),ISNUMBER(VLOOKUP($C196,$B$143:$G$171,5,FALSE))),VLOOKUP($C196,$B$143:$G$171,2,FALSE)*VLOOKUP($C196,$B$143:$G$171,5,FALSE),"")</f>
        <v/>
      </c>
      <c r="G196" s="12">
        <f>IF(AND(ISNUMBER(VLOOKUP($C196,$B$143:$G$171,2,FALSE)),ISNUMBER(VLOOKUP($C196,$B$143:$G$171,3,FALSE)),VLOOKUP($C196,$B$143:$G$171,3,FALSE)&gt;0,ISNUMBER(VLOOKUP($C196,$B$143:$G$171,6,FALSE))),VLOOKUP($C196,$B$143:$G$171,2,FALSE)*(1+VLOOKUP($C196,$B$143:$G$171,3,FALSE))*VLOOKUP($C196,$B$143:$G$171,6,FALSE),"")</f>
        <v/>
      </c>
    </row>
    <row r="197">
      <c r="A197" t="inlineStr">
        <is>
          <t>TTS.PM.002.IPE140</t>
        </is>
      </c>
      <c r="B197" t="inlineStr">
        <is>
          <t>Supporto laterale testa riduttore</t>
        </is>
      </c>
      <c r="C197" s="13" t="inlineStr">
        <is>
          <t>TTS.PM.002.IPE140</t>
        </is>
      </c>
      <c r="D197" s="19" t="n"/>
      <c r="E197" s="20">
        <f>IF(ISNUMBER(VLOOKUP($C197,$B$143:$G$171,4,FALSE)),VLOOKUP($C197,$B$143:$G$171,4,FALSE),"")</f>
        <v/>
      </c>
      <c r="F197" s="12">
        <f>IF(AND(ISNUMBER(VLOOKUP($C197,$B$143:$G$171,2,FALSE)),ISNUMBER(VLOOKUP($C197,$B$143:$G$171,5,FALSE))),VLOOKUP($C197,$B$143:$G$171,2,FALSE)*VLOOKUP($C197,$B$143:$G$171,5,FALSE),"")</f>
        <v/>
      </c>
      <c r="G197" s="12">
        <f>IF(AND(ISNUMBER(VLOOKUP($C197,$B$143:$G$171,2,FALSE)),ISNUMBER(VLOOKUP($C197,$B$143:$G$171,3,FALSE)),VLOOKUP($C197,$B$143:$G$171,3,FALSE)&gt;0,ISNUMBER(VLOOKUP($C197,$B$143:$G$171,6,FALSE))),VLOOKUP($C197,$B$143:$G$171,2,FALSE)*(1+VLOOKUP($C197,$B$143:$G$171,3,FALSE))*VLOOKUP($C197,$B$143:$G$171,6,FALSE),"")</f>
        <v/>
      </c>
    </row>
    <row r="198">
      <c r="A198" t="inlineStr">
        <is>
          <t>TTS.PM.002.IPEA140</t>
        </is>
      </c>
      <c r="B198" t="inlineStr">
        <is>
          <t>Supporto laterale testa riduttore (alleggerita)</t>
        </is>
      </c>
      <c r="C198" s="13" t="inlineStr">
        <is>
          <t>TTS.PM.002.IPEA140</t>
        </is>
      </c>
      <c r="D198" s="19" t="n"/>
      <c r="E198" s="20">
        <f>IF(ISNUMBER(VLOOKUP($C198,$B$143:$G$171,4,FALSE)),VLOOKUP($C198,$B$143:$G$171,4,FALSE),"")</f>
        <v/>
      </c>
      <c r="F198" s="12">
        <f>IF(AND(ISNUMBER(VLOOKUP($C198,$B$143:$G$171,2,FALSE)),ISNUMBER(VLOOKUP($C198,$B$143:$G$171,5,FALSE))),VLOOKUP($C198,$B$143:$G$171,2,FALSE)*VLOOKUP($C198,$B$143:$G$171,5,FALSE),"")</f>
        <v/>
      </c>
      <c r="G198" s="12">
        <f>IF(AND(ISNUMBER(VLOOKUP($C198,$B$143:$G$171,2,FALSE)),ISNUMBER(VLOOKUP($C198,$B$143:$G$171,3,FALSE)),VLOOKUP($C198,$B$143:$G$171,3,FALSE)&gt;0,ISNUMBER(VLOOKUP($C198,$B$143:$G$171,6,FALSE))),VLOOKUP($C198,$B$143:$G$171,2,FALSE)*(1+VLOOKUP($C198,$B$143:$G$171,3,FALSE))*VLOOKUP($C198,$B$143:$G$171,6,FALSE),"")</f>
        <v/>
      </c>
    </row>
    <row r="199">
      <c r="A199" t="inlineStr">
        <is>
          <t>TTS.PM.2011</t>
        </is>
      </c>
      <c r="B199" t="inlineStr">
        <is>
          <t>Angolare 30x30x4 lungo 370 mm. superiore</t>
        </is>
      </c>
      <c r="C199" s="13" t="inlineStr">
        <is>
          <t>TTS.PM.2011</t>
        </is>
      </c>
      <c r="D199" s="19" t="n"/>
      <c r="E199" s="20">
        <f>IF(ISNUMBER(VLOOKUP($C199,$B$143:$G$171,4,FALSE)),VLOOKUP($C199,$B$143:$G$171,4,FALSE),"")</f>
        <v/>
      </c>
      <c r="F199" s="12">
        <f>IF(AND(ISNUMBER(VLOOKUP($C199,$B$143:$G$171,2,FALSE)),ISNUMBER(VLOOKUP($C199,$B$143:$G$171,5,FALSE))),VLOOKUP($C199,$B$143:$G$171,2,FALSE)*VLOOKUP($C199,$B$143:$G$171,5,FALSE),"")</f>
        <v/>
      </c>
      <c r="G199" s="12">
        <f>IF(AND(ISNUMBER(VLOOKUP($C199,$B$143:$G$171,2,FALSE)),ISNUMBER(VLOOKUP($C199,$B$143:$G$171,3,FALSE)),VLOOKUP($C199,$B$143:$G$171,3,FALSE)&gt;0,ISNUMBER(VLOOKUP($C199,$B$143:$G$171,6,FALSE))),VLOOKUP($C199,$B$143:$G$171,2,FALSE)*(1+VLOOKUP($C199,$B$143:$G$171,3,FALSE))*VLOOKUP($C199,$B$143:$G$171,6,FALSE),"")</f>
        <v/>
      </c>
    </row>
    <row r="200">
      <c r="A200" t="inlineStr">
        <is>
          <t>TTS.PM.2012</t>
        </is>
      </c>
      <c r="B200" t="inlineStr">
        <is>
          <t>Angolare 30x30x4 lungo 370 mm. inferiore</t>
        </is>
      </c>
      <c r="C200" s="13" t="inlineStr">
        <is>
          <t>TTS.PM.2012</t>
        </is>
      </c>
      <c r="D200" s="19" t="n"/>
      <c r="E200" s="20">
        <f>IF(ISNUMBER(VLOOKUP($C200,$B$143:$G$171,4,FALSE)),VLOOKUP($C200,$B$143:$G$171,4,FALSE),"")</f>
        <v/>
      </c>
      <c r="F200" s="12">
        <f>IF(AND(ISNUMBER(VLOOKUP($C200,$B$143:$G$171,2,FALSE)),ISNUMBER(VLOOKUP($C200,$B$143:$G$171,5,FALSE))),VLOOKUP($C200,$B$143:$G$171,2,FALSE)*VLOOKUP($C200,$B$143:$G$171,5,FALSE),"")</f>
        <v/>
      </c>
      <c r="G200" s="12">
        <f>IF(AND(ISNUMBER(VLOOKUP($C200,$B$143:$G$171,2,FALSE)),ISNUMBER(VLOOKUP($C200,$B$143:$G$171,3,FALSE)),VLOOKUP($C200,$B$143:$G$171,3,FALSE)&gt;0,ISNUMBER(VLOOKUP($C200,$B$143:$G$171,6,FALSE))),VLOOKUP($C200,$B$143:$G$171,2,FALSE)*(1+VLOOKUP($C200,$B$143:$G$171,3,FALSE))*VLOOKUP($C200,$B$143:$G$171,6,FALSE),"")</f>
        <v/>
      </c>
    </row>
    <row r="201">
      <c r="A201" t="inlineStr">
        <is>
          <t>TTS.SM.001</t>
        </is>
      </c>
      <c r="B201" t="inlineStr">
        <is>
          <t>Piatto 50X5X230 supporto sensori</t>
        </is>
      </c>
      <c r="C201" s="13" t="inlineStr">
        <is>
          <t>TTS.SM.001</t>
        </is>
      </c>
      <c r="D201" s="19" t="n"/>
      <c r="E201" s="20">
        <f>IF(ISNUMBER(VLOOKUP($C201,$B$143:$G$171,4,FALSE)),VLOOKUP($C201,$B$143:$G$171,4,FALSE),"")</f>
        <v/>
      </c>
      <c r="F201" s="12">
        <f>IF(AND(ISNUMBER(VLOOKUP($C201,$B$143:$G$171,2,FALSE)),ISNUMBER(VLOOKUP($C201,$B$143:$G$171,5,FALSE))),VLOOKUP($C201,$B$143:$G$171,2,FALSE)*VLOOKUP($C201,$B$143:$G$171,5,FALSE),"")</f>
        <v/>
      </c>
      <c r="G201" s="12">
        <f>IF(AND(ISNUMBER(VLOOKUP($C201,$B$143:$G$171,2,FALSE)),ISNUMBER(VLOOKUP($C201,$B$143:$G$171,3,FALSE)),VLOOKUP($C201,$B$143:$G$171,3,FALSE)&gt;0,ISNUMBER(VLOOKUP($C201,$B$143:$G$171,6,FALSE))),VLOOKUP($C201,$B$143:$G$171,2,FALSE)*(1+VLOOKUP($C201,$B$143:$G$171,3,FALSE))*VLOOKUP($C201,$B$143:$G$171,6,FALSE),"")</f>
        <v/>
      </c>
    </row>
    <row r="202">
      <c r="A202" t="inlineStr">
        <is>
          <t>TTS.SM.002</t>
        </is>
      </c>
      <c r="B202" t="inlineStr">
        <is>
          <t>Piatto 30X3X193 leva sensore temperatura pannello</t>
        </is>
      </c>
      <c r="C202" s="13" t="inlineStr">
        <is>
          <t>TTS.SM.002</t>
        </is>
      </c>
      <c r="D202" s="19" t="n"/>
      <c r="E202" s="20">
        <f>IF(ISNUMBER(VLOOKUP($C202,$B$143:$G$171,4,FALSE)),VLOOKUP($C202,$B$143:$G$171,4,FALSE),"")</f>
        <v/>
      </c>
      <c r="F202" s="12">
        <f>IF(AND(ISNUMBER(VLOOKUP($C202,$B$143:$G$171,2,FALSE)),ISNUMBER(VLOOKUP($C202,$B$143:$G$171,5,FALSE))),VLOOKUP($C202,$B$143:$G$171,2,FALSE)*VLOOKUP($C202,$B$143:$G$171,5,FALSE),"")</f>
        <v/>
      </c>
      <c r="G202" s="12">
        <f>IF(AND(ISNUMBER(VLOOKUP($C202,$B$143:$G$171,2,FALSE)),ISNUMBER(VLOOKUP($C202,$B$143:$G$171,3,FALSE)),VLOOKUP($C202,$B$143:$G$171,3,FALSE)&gt;0,ISNUMBER(VLOOKUP($C202,$B$143:$G$171,6,FALSE))),VLOOKUP($C202,$B$143:$G$171,2,FALSE)*(1+VLOOKUP($C202,$B$143:$G$171,3,FALSE))*VLOOKUP($C202,$B$143:$G$171,6,FALSE),"")</f>
        <v/>
      </c>
    </row>
    <row r="203">
      <c r="A203" t="inlineStr">
        <is>
          <t>TTS.SM.003</t>
        </is>
      </c>
      <c r="B203" t="inlineStr">
        <is>
          <t>Asta supporto anemometro</t>
        </is>
      </c>
      <c r="C203" s="13" t="inlineStr">
        <is>
          <t>TTS.SM.003</t>
        </is>
      </c>
      <c r="D203" s="19" t="n"/>
      <c r="E203" s="20">
        <f>IF(ISNUMBER(VLOOKUP($C203,$B$143:$G$171,4,FALSE)),VLOOKUP($C203,$B$143:$G$171,4,FALSE),"")</f>
        <v/>
      </c>
      <c r="F203" s="12">
        <f>IF(AND(ISNUMBER(VLOOKUP($C203,$B$143:$G$171,2,FALSE)),ISNUMBER(VLOOKUP($C203,$B$143:$G$171,5,FALSE))),VLOOKUP($C203,$B$143:$G$171,2,FALSE)*VLOOKUP($C203,$B$143:$G$171,5,FALSE),"")</f>
        <v/>
      </c>
      <c r="G203" s="12">
        <f>IF(AND(ISNUMBER(VLOOKUP($C203,$B$143:$G$171,2,FALSE)),ISNUMBER(VLOOKUP($C203,$B$143:$G$171,3,FALSE)),VLOOKUP($C203,$B$143:$G$171,3,FALSE)&gt;0,ISNUMBER(VLOOKUP($C203,$B$143:$G$171,6,FALSE))),VLOOKUP($C203,$B$143:$G$171,2,FALSE)*(1+VLOOKUP($C203,$B$143:$G$171,3,FALSE))*VLOOKUP($C203,$B$143:$G$171,6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STRUTTURA'!$A$13:$E$413,5,FALSE),"")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STRUTTURA'!$A$13:$E$413,5,FALSE),"")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STRUTTURA'!$A$13:$E$413,5,FALSE),"")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STRUTTURA'!$A$13:$E$413,5,FALSE),"")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STRUTTURA'!$A$13:$E$413,5,FALSE),"")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STRUTTURA'!$A$13:$E$413,5,FALSE),"")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STRUTTURA'!$A$13:$E$413,5,FALSE),"")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STRUTTURA'!$A$13:$E$413,5,FALSE),"")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STRUTTURA'!$A$13:$E$413,5,FALSE),"")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STRUTTURA'!$A$13:$E$413,5,FALSE),"")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STRUTTURA'!$A$13:$E$413,5,FALSE),"")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STRUTTURA'!$A$13:$E$413,5,FALSE),"")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STRUTTURA'!$A$13:$E$413,5,FALSE),"")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STRUTTURA'!$A$13:$E$413,5,FALSE),"")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STRUTTURA'!$A$13:$E$413,5,FALSE),"")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STRUTTURA'!$A$13:$E$413,5,FALSE),"")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STRUTTURA'!$A$13:$E$413,5,FALSE),"")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STRUTTURA'!$A$13:$E$413,5,FALSE),"")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STRUTTURA'!$A$13:$E$413,5,FALSE),"")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STRUTTURA'!$A$13:$E$413,5,FALSE),"")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STRUTTURA'!$A$13:$E$413,5,FALSE),"")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STRUTTURA'!$A$13:$E$413,5,FALSE),"")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STRUTTURA'!$A$13:$E$413,5,FALSE),"")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STRUTTURA'!$A$13:$E$413,5,FALSE),"")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STRUTTURA'!$A$13:$E$413,5,FALSE),"")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STRUTTURA'!$A$13:$E$413,5,FALSE),"")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STRUTTURA'!$A$13:$E$413,5,FALSE),"")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STRUTTURA'!$A$13:$E$413,5,FALSE),"")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STRUTTURA'!$A$13:$E$413,5,FALSE),"")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 t="n"/>
      <c r="G166" s="12" t="n"/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 t="n"/>
      <c r="G167" s="12" t="n"/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 t="n"/>
      <c r="G168" s="12" t="n"/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 t="n"/>
      <c r="G169" s="12" t="n"/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 t="n"/>
      <c r="G170" s="12" t="n"/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 t="n"/>
      <c r="G171" s="12" t="n"/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 t="n"/>
      <c r="G172" s="12" t="n"/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 t="n"/>
      <c r="G173" s="12" t="n"/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 t="n"/>
      <c r="G174" s="12" t="n"/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 t="n"/>
      <c r="G175" s="12" t="n"/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 t="n"/>
      <c r="G176" s="12" t="n"/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 t="n"/>
      <c r="G177" s="12" t="n"/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 t="n"/>
      <c r="G178" s="12" t="n"/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 t="n"/>
      <c r="G179" s="12" t="n"/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 t="n"/>
      <c r="G180" s="12" t="n"/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 t="n"/>
      <c r="G181" s="12" t="n"/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 t="n"/>
      <c r="G182" s="12" t="n"/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 t="n"/>
      <c r="G183" s="12" t="n"/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 t="n"/>
      <c r="G184" s="12" t="n"/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 t="n"/>
      <c r="G185" s="12" t="n"/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 t="n"/>
      <c r="G186" s="12" t="n"/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 t="n"/>
      <c r="G187" s="12" t="n"/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 t="n"/>
      <c r="G188" s="12" t="n"/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 t="n"/>
      <c r="G189" s="12" t="n"/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 t="n"/>
      <c r="G190" s="12" t="n"/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 t="n"/>
      <c r="G191" s="12" t="n"/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 t="n"/>
      <c r="G192" s="12" t="n"/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 t="n"/>
      <c r="G193" s="12" t="n"/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 t="n"/>
      <c r="G194" s="12" t="n"/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 t="n"/>
      <c r="G195" s="12" t="n"/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 t="n"/>
      <c r="G196" s="12" t="n"/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tutta la carpenteria strutturale. Blocco 'Profili' = travi IPE/IPEA e assi di rotazione (kg/m). Blocco 'PEZZI SPECIALI' in fondo = piastre di giunzione montanti, supporti testa cuscinetto/riduttore, angolari, omega, pali MAX, aste sensori: un profilo per voce con peso in kg del pezzo (parametri + elenco con VLOOKUP). Per ogni voce si compila peso, % zincatura, €/kg acquisto e €/kg zincatura. Costo acquisto (€) = peso al netto × €/kg acquisto (indipendente dalla zincatura); Costo zincatura (€) = peso al netto × (1 + magg. %) × €/kg zincatura, solo se la maggiorazione è presente. Nel LISTINO il 'Peso elemento' di travi, assi, piastre e pezzi speciali arriva da qui; gli altri pesi restano manuali. Escluso il pezzo senza codice 'Omega alloggiamento kit sensore termometro a contatto' (LISTINO riga 165).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2026-08-31T08:42:03Z</dcterms:modified>
  <cp:lastModifiedBy>stella  terranova</cp:lastModifiedBy>
</cp:coreProperties>
</file>