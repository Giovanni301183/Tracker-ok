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stazioneDell\Desktop\Tracker ok\"/>
    </mc:Choice>
  </mc:AlternateContent>
  <xr:revisionPtr revIDLastSave="0" documentId="13_ncr:1_{26E43B5A-F25A-4A90-BF9F-A61991C3E3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A STRUTTURA" sheetId="1" r:id="rId1"/>
    <sheet name="SCHEDA PEZZI SPECIALI" sheetId="2" r:id="rId2"/>
    <sheet name="SCHEDA BULLONERIA" sheetId="3" r:id="rId3"/>
    <sheet name="SCHEDA ELETTROMECCANICA" sheetId="4" r:id="rId4"/>
    <sheet name="LISTINO" sheetId="5" r:id="rId5"/>
    <sheet name="DISTINTA COMPLETA" sheetId="6" r:id="rId6"/>
    <sheet name="RIEPILOGO" sheetId="7" r:id="rId7"/>
  </sheets>
  <definedNames>
    <definedName name="_xlnm._FilterDatabase" localSheetId="5" hidden="1">'DISTINTA COMPLETA'!$A$1:$R$344</definedName>
    <definedName name="_xlnm._FilterDatabase" localSheetId="4" hidden="1">LISTINO!$A$4:$I$202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42" i="6" l="1"/>
  <c r="Q342" i="6"/>
  <c r="Q331" i="6"/>
  <c r="R331" i="6" s="1"/>
  <c r="Q330" i="6"/>
  <c r="R330" i="6" s="1"/>
  <c r="Q329" i="6"/>
  <c r="R329" i="6" s="1"/>
  <c r="Q321" i="6"/>
  <c r="R321" i="6" s="1"/>
  <c r="Q318" i="6"/>
  <c r="R318" i="6" s="1"/>
  <c r="Q317" i="6"/>
  <c r="R317" i="6" s="1"/>
  <c r="Q316" i="6"/>
  <c r="R316" i="6" s="1"/>
  <c r="Q311" i="6"/>
  <c r="R311" i="6" s="1"/>
  <c r="Q310" i="6"/>
  <c r="R310" i="6" s="1"/>
  <c r="Q307" i="6"/>
  <c r="R307" i="6" s="1"/>
  <c r="Q306" i="6"/>
  <c r="R306" i="6" s="1"/>
  <c r="Q305" i="6"/>
  <c r="R305" i="6" s="1"/>
  <c r="Q296" i="6"/>
  <c r="R296" i="6" s="1"/>
  <c r="Q295" i="6"/>
  <c r="R295" i="6" s="1"/>
  <c r="Q290" i="6"/>
  <c r="R290" i="6" s="1"/>
  <c r="Q282" i="6"/>
  <c r="R282" i="6" s="1"/>
  <c r="Q277" i="6"/>
  <c r="R277" i="6" s="1"/>
  <c r="Q276" i="6"/>
  <c r="R276" i="6" s="1"/>
  <c r="Q275" i="6"/>
  <c r="R275" i="6" s="1"/>
  <c r="Q269" i="6"/>
  <c r="R269" i="6" s="1"/>
  <c r="Q264" i="6"/>
  <c r="R264" i="6" s="1"/>
  <c r="Q263" i="6"/>
  <c r="R263" i="6" s="1"/>
  <c r="Q256" i="6"/>
  <c r="R256" i="6" s="1"/>
  <c r="Q253" i="6"/>
  <c r="R253" i="6" s="1"/>
  <c r="Q252" i="6"/>
  <c r="R252" i="6" s="1"/>
  <c r="Q243" i="6"/>
  <c r="R243" i="6" s="1"/>
  <c r="Q236" i="6"/>
  <c r="R236" i="6" s="1"/>
  <c r="Q231" i="6"/>
  <c r="R231" i="6" s="1"/>
  <c r="Q227" i="6"/>
  <c r="R227" i="6" s="1"/>
  <c r="Q226" i="6"/>
  <c r="R226" i="6" s="1"/>
  <c r="Q223" i="6"/>
  <c r="R223" i="6" s="1"/>
  <c r="Q216" i="6"/>
  <c r="R216" i="6" s="1"/>
  <c r="Q215" i="6"/>
  <c r="R215" i="6" s="1"/>
  <c r="Q205" i="6"/>
  <c r="R205" i="6" s="1"/>
  <c r="Q204" i="6"/>
  <c r="R204" i="6" s="1"/>
  <c r="Q203" i="6"/>
  <c r="R203" i="6" s="1"/>
  <c r="Q202" i="6"/>
  <c r="R202" i="6" s="1"/>
  <c r="Q201" i="6"/>
  <c r="R201" i="6" s="1"/>
  <c r="Q200" i="6"/>
  <c r="R200" i="6" s="1"/>
  <c r="Q199" i="6"/>
  <c r="R199" i="6" s="1"/>
  <c r="Q198" i="6"/>
  <c r="R198" i="6" s="1"/>
  <c r="Q189" i="6"/>
  <c r="R189" i="6" s="1"/>
  <c r="Q188" i="6"/>
  <c r="R188" i="6" s="1"/>
  <c r="Q187" i="6"/>
  <c r="R187" i="6" s="1"/>
  <c r="Q186" i="6"/>
  <c r="R186" i="6" s="1"/>
  <c r="Q185" i="6"/>
  <c r="R185" i="6" s="1"/>
  <c r="Q184" i="6"/>
  <c r="R184" i="6" s="1"/>
  <c r="Q182" i="6"/>
  <c r="R182" i="6" s="1"/>
  <c r="Q175" i="6"/>
  <c r="R175" i="6" s="1"/>
  <c r="Q174" i="6"/>
  <c r="R174" i="6" s="1"/>
  <c r="Q173" i="6"/>
  <c r="R173" i="6" s="1"/>
  <c r="Q172" i="6"/>
  <c r="R172" i="6" s="1"/>
  <c r="Q171" i="6"/>
  <c r="R171" i="6" s="1"/>
  <c r="Q162" i="6"/>
  <c r="R162" i="6" s="1"/>
  <c r="Q161" i="6"/>
  <c r="R161" i="6" s="1"/>
  <c r="Q160" i="6"/>
  <c r="R160" i="6" s="1"/>
  <c r="Q159" i="6"/>
  <c r="R159" i="6" s="1"/>
  <c r="Q150" i="6"/>
  <c r="R150" i="6" s="1"/>
  <c r="Q149" i="6"/>
  <c r="R149" i="6" s="1"/>
  <c r="Q148" i="6"/>
  <c r="R148" i="6" s="1"/>
  <c r="Q147" i="6"/>
  <c r="R147" i="6" s="1"/>
  <c r="Q146" i="6"/>
  <c r="R146" i="6" s="1"/>
  <c r="Q145" i="6"/>
  <c r="R145" i="6" s="1"/>
  <c r="Q144" i="6"/>
  <c r="R144" i="6" s="1"/>
  <c r="Q139" i="6"/>
  <c r="R139" i="6" s="1"/>
  <c r="Q134" i="6"/>
  <c r="R134" i="6" s="1"/>
  <c r="Q133" i="6"/>
  <c r="R133" i="6" s="1"/>
  <c r="Q128" i="6"/>
  <c r="R128" i="6" s="1"/>
  <c r="Q127" i="6"/>
  <c r="R127" i="6" s="1"/>
  <c r="Q124" i="6"/>
  <c r="R124" i="6" s="1"/>
  <c r="Q122" i="6"/>
  <c r="R122" i="6" s="1"/>
  <c r="Q121" i="6"/>
  <c r="R121" i="6" s="1"/>
  <c r="Q120" i="6"/>
  <c r="R120" i="6" s="1"/>
  <c r="Q119" i="6"/>
  <c r="R119" i="6" s="1"/>
  <c r="Q118" i="6"/>
  <c r="R118" i="6" s="1"/>
  <c r="R117" i="6"/>
  <c r="Q117" i="6"/>
  <c r="Q116" i="6"/>
  <c r="R116" i="6" s="1"/>
  <c r="Q115" i="6"/>
  <c r="R115" i="6" s="1"/>
  <c r="Q114" i="6"/>
  <c r="R114" i="6" s="1"/>
  <c r="Q113" i="6"/>
  <c r="R113" i="6" s="1"/>
  <c r="Q112" i="6"/>
  <c r="R112" i="6" s="1"/>
  <c r="Q111" i="6"/>
  <c r="R111" i="6" s="1"/>
  <c r="Q110" i="6"/>
  <c r="R110" i="6" s="1"/>
  <c r="Q109" i="6"/>
  <c r="R109" i="6" s="1"/>
  <c r="Q108" i="6"/>
  <c r="R108" i="6" s="1"/>
  <c r="Q107" i="6"/>
  <c r="R107" i="6" s="1"/>
  <c r="Q106" i="6"/>
  <c r="R106" i="6" s="1"/>
  <c r="Q105" i="6"/>
  <c r="R105" i="6" s="1"/>
  <c r="Q104" i="6"/>
  <c r="R104" i="6" s="1"/>
  <c r="Q103" i="6"/>
  <c r="R103" i="6" s="1"/>
  <c r="Q102" i="6"/>
  <c r="R102" i="6" s="1"/>
  <c r="Q101" i="6"/>
  <c r="R101" i="6" s="1"/>
  <c r="Q100" i="6"/>
  <c r="R100" i="6" s="1"/>
  <c r="Q99" i="6"/>
  <c r="R99" i="6" s="1"/>
  <c r="Q98" i="6"/>
  <c r="R98" i="6" s="1"/>
  <c r="Q97" i="6"/>
  <c r="R97" i="6" s="1"/>
  <c r="Q96" i="6"/>
  <c r="R96" i="6" s="1"/>
  <c r="Q95" i="6"/>
  <c r="R95" i="6" s="1"/>
  <c r="Q94" i="6"/>
  <c r="R94" i="6" s="1"/>
  <c r="Q93" i="6"/>
  <c r="R93" i="6" s="1"/>
  <c r="Q92" i="6"/>
  <c r="R92" i="6" s="1"/>
  <c r="Q91" i="6"/>
  <c r="R91" i="6" s="1"/>
  <c r="Q90" i="6"/>
  <c r="R90" i="6" s="1"/>
  <c r="Q89" i="6"/>
  <c r="R89" i="6" s="1"/>
  <c r="Q88" i="6"/>
  <c r="R88" i="6" s="1"/>
  <c r="Q87" i="6"/>
  <c r="R87" i="6" s="1"/>
  <c r="Q86" i="6"/>
  <c r="R86" i="6" s="1"/>
  <c r="Q85" i="6"/>
  <c r="R85" i="6" s="1"/>
  <c r="Q84" i="6"/>
  <c r="R84" i="6" s="1"/>
  <c r="Q83" i="6"/>
  <c r="R83" i="6" s="1"/>
  <c r="Q80" i="6"/>
  <c r="R80" i="6" s="1"/>
  <c r="Q73" i="6"/>
  <c r="R73" i="6" s="1"/>
  <c r="Q68" i="6"/>
  <c r="R68" i="6" s="1"/>
  <c r="Q67" i="6"/>
  <c r="R67" i="6" s="1"/>
  <c r="Q62" i="6"/>
  <c r="R62" i="6" s="1"/>
  <c r="Q61" i="6"/>
  <c r="R61" i="6" s="1"/>
  <c r="Q60" i="6"/>
  <c r="R60" i="6" s="1"/>
  <c r="Q59" i="6"/>
  <c r="R59" i="6" s="1"/>
  <c r="Q58" i="6"/>
  <c r="R58" i="6" s="1"/>
  <c r="Q57" i="6"/>
  <c r="R57" i="6" s="1"/>
  <c r="Q56" i="6"/>
  <c r="R56" i="6" s="1"/>
  <c r="Q55" i="6"/>
  <c r="R55" i="6" s="1"/>
  <c r="Q54" i="6"/>
  <c r="R54" i="6" s="1"/>
  <c r="Q53" i="6"/>
  <c r="R53" i="6" s="1"/>
  <c r="Q52" i="6"/>
  <c r="R52" i="6" s="1"/>
  <c r="Q51" i="6"/>
  <c r="R51" i="6" s="1"/>
  <c r="Q50" i="6"/>
  <c r="R50" i="6" s="1"/>
  <c r="Q49" i="6"/>
  <c r="R49" i="6" s="1"/>
  <c r="Q48" i="6"/>
  <c r="R48" i="6" s="1"/>
  <c r="Q47" i="6"/>
  <c r="R47" i="6" s="1"/>
  <c r="Q46" i="6"/>
  <c r="R46" i="6" s="1"/>
  <c r="Q45" i="6"/>
  <c r="R45" i="6" s="1"/>
  <c r="Q44" i="6"/>
  <c r="R44" i="6" s="1"/>
  <c r="Q43" i="6"/>
  <c r="R43" i="6" s="1"/>
  <c r="Q42" i="6"/>
  <c r="R42" i="6" s="1"/>
  <c r="Q41" i="6"/>
  <c r="R41" i="6" s="1"/>
  <c r="Q40" i="6"/>
  <c r="R40" i="6" s="1"/>
  <c r="Q39" i="6"/>
  <c r="R39" i="6" s="1"/>
  <c r="Q38" i="6"/>
  <c r="R38" i="6" s="1"/>
  <c r="Q37" i="6"/>
  <c r="R37" i="6" s="1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Q24" i="6"/>
  <c r="R24" i="6" s="1"/>
  <c r="Q23" i="6"/>
  <c r="R23" i="6" s="1"/>
  <c r="Q22" i="6"/>
  <c r="R22" i="6" s="1"/>
  <c r="Q21" i="6"/>
  <c r="R21" i="6" s="1"/>
  <c r="Q20" i="6"/>
  <c r="R20" i="6" s="1"/>
  <c r="Q19" i="6"/>
  <c r="R19" i="6" s="1"/>
  <c r="Q18" i="6"/>
  <c r="R18" i="6" s="1"/>
  <c r="Q17" i="6"/>
  <c r="R17" i="6" s="1"/>
  <c r="Q16" i="6"/>
  <c r="R16" i="6" s="1"/>
  <c r="Q15" i="6"/>
  <c r="R15" i="6" s="1"/>
  <c r="Q14" i="6"/>
  <c r="R14" i="6" s="1"/>
  <c r="Q13" i="6"/>
  <c r="R13" i="6" s="1"/>
  <c r="Q12" i="6"/>
  <c r="R12" i="6" s="1"/>
  <c r="Q11" i="6"/>
  <c r="R11" i="6" s="1"/>
  <c r="Q10" i="6"/>
  <c r="R10" i="6" s="1"/>
  <c r="Q9" i="6"/>
  <c r="R9" i="6" s="1"/>
  <c r="Q8" i="6"/>
  <c r="R8" i="6" s="1"/>
  <c r="Q7" i="6"/>
  <c r="R7" i="6" s="1"/>
  <c r="Q6" i="6"/>
  <c r="R6" i="6" s="1"/>
  <c r="Q5" i="6"/>
  <c r="R5" i="6" s="1"/>
  <c r="Q4" i="6"/>
  <c r="R4" i="6" s="1"/>
  <c r="Q3" i="6"/>
  <c r="R3" i="6" s="1"/>
  <c r="Q2" i="6"/>
  <c r="R2" i="6" s="1"/>
  <c r="G200" i="5"/>
  <c r="Q259" i="6" s="1"/>
  <c r="R259" i="6" s="1"/>
  <c r="F200" i="5"/>
  <c r="G199" i="5"/>
  <c r="Q328" i="6" s="1"/>
  <c r="R328" i="6" s="1"/>
  <c r="F199" i="5"/>
  <c r="G198" i="5"/>
  <c r="Q323" i="6" s="1"/>
  <c r="R323" i="6" s="1"/>
  <c r="F198" i="5"/>
  <c r="G197" i="5"/>
  <c r="Q343" i="6" s="1"/>
  <c r="R343" i="6" s="1"/>
  <c r="F197" i="5"/>
  <c r="G196" i="5"/>
  <c r="Q322" i="6" s="1"/>
  <c r="R322" i="6" s="1"/>
  <c r="F196" i="5"/>
  <c r="G195" i="5"/>
  <c r="Q242" i="6" s="1"/>
  <c r="R242" i="6" s="1"/>
  <c r="F195" i="5"/>
  <c r="G194" i="5"/>
  <c r="F194" i="5"/>
  <c r="G193" i="5"/>
  <c r="Q283" i="6" s="1"/>
  <c r="R283" i="6" s="1"/>
  <c r="F193" i="5"/>
  <c r="G192" i="5"/>
  <c r="F192" i="5"/>
  <c r="G191" i="5"/>
  <c r="Q77" i="6" s="1"/>
  <c r="R77" i="6" s="1"/>
  <c r="F191" i="5"/>
  <c r="G188" i="5"/>
  <c r="F188" i="5"/>
  <c r="G185" i="5"/>
  <c r="G182" i="5"/>
  <c r="Q335" i="6" s="1"/>
  <c r="R335" i="6" s="1"/>
  <c r="G179" i="5"/>
  <c r="F179" i="5"/>
  <c r="G176" i="5"/>
  <c r="Q308" i="6" s="1"/>
  <c r="R308" i="6" s="1"/>
  <c r="G173" i="5"/>
  <c r="Q281" i="6" s="1"/>
  <c r="R281" i="6" s="1"/>
  <c r="G170" i="5"/>
  <c r="Q241" i="6" s="1"/>
  <c r="R241" i="6" s="1"/>
  <c r="F170" i="5"/>
  <c r="G167" i="5"/>
  <c r="Q250" i="6" s="1"/>
  <c r="R250" i="6" s="1"/>
  <c r="G164" i="5"/>
  <c r="Q219" i="6" s="1"/>
  <c r="R219" i="6" s="1"/>
  <c r="G161" i="5"/>
  <c r="Q135" i="6" s="1"/>
  <c r="R135" i="6" s="1"/>
  <c r="F161" i="5"/>
  <c r="F30" i="5"/>
  <c r="F29" i="5"/>
  <c r="F28" i="5"/>
  <c r="F27" i="5"/>
  <c r="D70" i="3"/>
  <c r="G190" i="5" s="1"/>
  <c r="Q260" i="6" s="1"/>
  <c r="R260" i="6" s="1"/>
  <c r="C70" i="3"/>
  <c r="F190" i="5" s="1"/>
  <c r="B70" i="3"/>
  <c r="D69" i="3"/>
  <c r="G189" i="5" s="1"/>
  <c r="Q207" i="6" s="1"/>
  <c r="R207" i="6" s="1"/>
  <c r="C69" i="3"/>
  <c r="F189" i="5" s="1"/>
  <c r="B69" i="3"/>
  <c r="D68" i="3"/>
  <c r="C68" i="3"/>
  <c r="B68" i="3"/>
  <c r="D67" i="3"/>
  <c r="G187" i="5" s="1"/>
  <c r="C67" i="3"/>
  <c r="F187" i="5" s="1"/>
  <c r="B67" i="3"/>
  <c r="D66" i="3"/>
  <c r="G186" i="5" s="1"/>
  <c r="C66" i="3"/>
  <c r="F186" i="5" s="1"/>
  <c r="B66" i="3"/>
  <c r="D65" i="3"/>
  <c r="C65" i="3"/>
  <c r="F185" i="5" s="1"/>
  <c r="B65" i="3"/>
  <c r="D64" i="3"/>
  <c r="G184" i="5" s="1"/>
  <c r="C64" i="3"/>
  <c r="F184" i="5" s="1"/>
  <c r="B64" i="3"/>
  <c r="D63" i="3"/>
  <c r="G183" i="5" s="1"/>
  <c r="C63" i="3"/>
  <c r="F183" i="5" s="1"/>
  <c r="B63" i="3"/>
  <c r="D62" i="3"/>
  <c r="C62" i="3"/>
  <c r="F182" i="5" s="1"/>
  <c r="B62" i="3"/>
  <c r="D61" i="3"/>
  <c r="G181" i="5" s="1"/>
  <c r="C61" i="3"/>
  <c r="F181" i="5" s="1"/>
  <c r="B61" i="3"/>
  <c r="D60" i="3"/>
  <c r="G180" i="5" s="1"/>
  <c r="Q158" i="6" s="1"/>
  <c r="R158" i="6" s="1"/>
  <c r="C60" i="3"/>
  <c r="F180" i="5" s="1"/>
  <c r="B60" i="3"/>
  <c r="D59" i="3"/>
  <c r="C59" i="3"/>
  <c r="B59" i="3"/>
  <c r="D58" i="3"/>
  <c r="G178" i="5" s="1"/>
  <c r="Q314" i="6" s="1"/>
  <c r="R314" i="6" s="1"/>
  <c r="C58" i="3"/>
  <c r="F178" i="5" s="1"/>
  <c r="B58" i="3"/>
  <c r="D57" i="3"/>
  <c r="G177" i="5" s="1"/>
  <c r="C57" i="3"/>
  <c r="F177" i="5" s="1"/>
  <c r="B57" i="3"/>
  <c r="D56" i="3"/>
  <c r="C56" i="3"/>
  <c r="F176" i="5" s="1"/>
  <c r="B56" i="3"/>
  <c r="D55" i="3"/>
  <c r="G175" i="5" s="1"/>
  <c r="C55" i="3"/>
  <c r="F175" i="5" s="1"/>
  <c r="B55" i="3"/>
  <c r="D54" i="3"/>
  <c r="G174" i="5" s="1"/>
  <c r="C54" i="3"/>
  <c r="F174" i="5" s="1"/>
  <c r="B54" i="3"/>
  <c r="D53" i="3"/>
  <c r="C53" i="3"/>
  <c r="F173" i="5" s="1"/>
  <c r="B53" i="3"/>
  <c r="D52" i="3"/>
  <c r="G172" i="5" s="1"/>
  <c r="Q246" i="6" s="1"/>
  <c r="R246" i="6" s="1"/>
  <c r="C52" i="3"/>
  <c r="F172" i="5" s="1"/>
  <c r="B52" i="3"/>
  <c r="D51" i="3"/>
  <c r="G171" i="5" s="1"/>
  <c r="Q222" i="6" s="1"/>
  <c r="R222" i="6" s="1"/>
  <c r="C51" i="3"/>
  <c r="F171" i="5" s="1"/>
  <c r="B51" i="3"/>
  <c r="D50" i="3"/>
  <c r="C50" i="3"/>
  <c r="B50" i="3"/>
  <c r="D49" i="3"/>
  <c r="G169" i="5" s="1"/>
  <c r="C49" i="3"/>
  <c r="F169" i="5" s="1"/>
  <c r="B49" i="3"/>
  <c r="D48" i="3"/>
  <c r="G168" i="5" s="1"/>
  <c r="Q78" i="6" s="1"/>
  <c r="R78" i="6" s="1"/>
  <c r="C48" i="3"/>
  <c r="F168" i="5" s="1"/>
  <c r="B48" i="3"/>
  <c r="D47" i="3"/>
  <c r="C47" i="3"/>
  <c r="F167" i="5" s="1"/>
  <c r="B47" i="3"/>
  <c r="D46" i="3"/>
  <c r="G166" i="5" s="1"/>
  <c r="C46" i="3"/>
  <c r="F166" i="5" s="1"/>
  <c r="B46" i="3"/>
  <c r="D45" i="3"/>
  <c r="G165" i="5" s="1"/>
  <c r="C45" i="3"/>
  <c r="F165" i="5" s="1"/>
  <c r="B45" i="3"/>
  <c r="D44" i="3"/>
  <c r="C44" i="3"/>
  <c r="F164" i="5" s="1"/>
  <c r="B44" i="3"/>
  <c r="D43" i="3"/>
  <c r="G163" i="5" s="1"/>
  <c r="Q140" i="6" s="1"/>
  <c r="R140" i="6" s="1"/>
  <c r="C43" i="3"/>
  <c r="F163" i="5" s="1"/>
  <c r="B43" i="3"/>
  <c r="D42" i="3"/>
  <c r="G162" i="5" s="1"/>
  <c r="Q63" i="6" s="1"/>
  <c r="R63" i="6" s="1"/>
  <c r="C42" i="3"/>
  <c r="F162" i="5" s="1"/>
  <c r="B42" i="3"/>
  <c r="D41" i="3"/>
  <c r="C41" i="3"/>
  <c r="B41" i="3"/>
  <c r="D40" i="3"/>
  <c r="G160" i="5" s="1"/>
  <c r="Q344" i="6" s="1"/>
  <c r="R344" i="6" s="1"/>
  <c r="C40" i="3"/>
  <c r="F160" i="5" s="1"/>
  <c r="B40" i="3"/>
  <c r="G143" i="1"/>
  <c r="F143" i="1"/>
  <c r="G142" i="1"/>
  <c r="F142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E130" i="1"/>
  <c r="F18" i="5" s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E118" i="1"/>
  <c r="F6" i="5" s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E106" i="1"/>
  <c r="F129" i="5" s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E75" i="1"/>
  <c r="F106" i="5" s="1"/>
  <c r="G74" i="1"/>
  <c r="F74" i="1"/>
  <c r="G73" i="1"/>
  <c r="F73" i="1"/>
  <c r="E73" i="1"/>
  <c r="F102" i="5" s="1"/>
  <c r="G72" i="1"/>
  <c r="F72" i="1"/>
  <c r="G71" i="1"/>
  <c r="F71" i="1"/>
  <c r="E71" i="1"/>
  <c r="F98" i="5" s="1"/>
  <c r="G70" i="1"/>
  <c r="F70" i="1"/>
  <c r="G69" i="1"/>
  <c r="F69" i="1"/>
  <c r="E69" i="1"/>
  <c r="F96" i="5" s="1"/>
  <c r="G68" i="1"/>
  <c r="F68" i="1"/>
  <c r="G67" i="1"/>
  <c r="F67" i="1"/>
  <c r="E67" i="1"/>
  <c r="F92" i="5" s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E53" i="1"/>
  <c r="F72" i="5" s="1"/>
  <c r="G52" i="1"/>
  <c r="F52" i="1"/>
  <c r="G51" i="1"/>
  <c r="F51" i="1"/>
  <c r="E51" i="1"/>
  <c r="F68" i="5" s="1"/>
  <c r="G50" i="1"/>
  <c r="F50" i="1"/>
  <c r="G49" i="1"/>
  <c r="F49" i="1"/>
  <c r="E49" i="1"/>
  <c r="F64" i="5" s="1"/>
  <c r="G48" i="1"/>
  <c r="F48" i="1"/>
  <c r="G47" i="1"/>
  <c r="F47" i="1"/>
  <c r="E47" i="1"/>
  <c r="F60" i="5" s="1"/>
  <c r="G46" i="1"/>
  <c r="F46" i="1"/>
  <c r="G45" i="1"/>
  <c r="F45" i="1"/>
  <c r="E45" i="1"/>
  <c r="F56" i="5" s="1"/>
  <c r="G44" i="1"/>
  <c r="F44" i="1"/>
  <c r="G43" i="1"/>
  <c r="F43" i="1"/>
  <c r="E43" i="1"/>
  <c r="F52" i="5" s="1"/>
  <c r="G42" i="1"/>
  <c r="F42" i="1"/>
  <c r="G41" i="1"/>
  <c r="F41" i="1"/>
  <c r="E41" i="1"/>
  <c r="F48" i="5" s="1"/>
  <c r="G40" i="1"/>
  <c r="F40" i="1"/>
  <c r="G39" i="1"/>
  <c r="F39" i="1"/>
  <c r="E39" i="1"/>
  <c r="F44" i="5" s="1"/>
  <c r="G38" i="1"/>
  <c r="F38" i="1"/>
  <c r="G37" i="1"/>
  <c r="F37" i="1"/>
  <c r="E37" i="1"/>
  <c r="F40" i="5" s="1"/>
  <c r="G36" i="1"/>
  <c r="F36" i="1"/>
  <c r="G35" i="1"/>
  <c r="F35" i="1"/>
  <c r="E35" i="1"/>
  <c r="F76" i="5" s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D10" i="1"/>
  <c r="E143" i="1" s="1"/>
  <c r="F32" i="5" s="1"/>
  <c r="D9" i="1"/>
  <c r="E142" i="1" s="1"/>
  <c r="F31" i="5" s="1"/>
  <c r="D8" i="1"/>
  <c r="E136" i="1" s="1"/>
  <c r="F24" i="5" s="1"/>
  <c r="D7" i="1"/>
  <c r="D6" i="1"/>
  <c r="E108" i="1" s="1"/>
  <c r="F133" i="5" s="1"/>
  <c r="D5" i="1"/>
  <c r="E92" i="1" s="1"/>
  <c r="F140" i="5" s="1"/>
  <c r="F60" i="2"/>
  <c r="E60" i="2"/>
  <c r="B60" i="2"/>
  <c r="F59" i="2"/>
  <c r="E59" i="2"/>
  <c r="D59" i="2"/>
  <c r="F157" i="5" s="1"/>
  <c r="B59" i="2"/>
  <c r="F58" i="2"/>
  <c r="E58" i="2"/>
  <c r="B58" i="2"/>
  <c r="F57" i="2"/>
  <c r="E57" i="2"/>
  <c r="B57" i="2"/>
  <c r="F56" i="2"/>
  <c r="E56" i="2"/>
  <c r="B56" i="2"/>
  <c r="F55" i="2"/>
  <c r="E55" i="2"/>
  <c r="D55" i="2"/>
  <c r="F153" i="5" s="1"/>
  <c r="B55" i="2"/>
  <c r="F54" i="2"/>
  <c r="E54" i="2"/>
  <c r="B54" i="2"/>
  <c r="F53" i="2"/>
  <c r="E53" i="2"/>
  <c r="D53" i="2"/>
  <c r="F86" i="5" s="1"/>
  <c r="B53" i="2"/>
  <c r="F52" i="2"/>
  <c r="E52" i="2"/>
  <c r="B52" i="2"/>
  <c r="F51" i="2"/>
  <c r="E51" i="2"/>
  <c r="B51" i="2"/>
  <c r="F50" i="2"/>
  <c r="E50" i="2"/>
  <c r="B50" i="2"/>
  <c r="F49" i="2"/>
  <c r="E49" i="2"/>
  <c r="D49" i="2"/>
  <c r="F82" i="5" s="1"/>
  <c r="B49" i="2"/>
  <c r="F48" i="2"/>
  <c r="E48" i="2"/>
  <c r="B48" i="2"/>
  <c r="F47" i="2"/>
  <c r="E47" i="2"/>
  <c r="D47" i="2"/>
  <c r="F80" i="5" s="1"/>
  <c r="B47" i="2"/>
  <c r="F46" i="2"/>
  <c r="E46" i="2"/>
  <c r="B46" i="2"/>
  <c r="F45" i="2"/>
  <c r="E45" i="2"/>
  <c r="B45" i="2"/>
  <c r="F44" i="2"/>
  <c r="E44" i="2"/>
  <c r="B44" i="2"/>
  <c r="F43" i="2"/>
  <c r="E43" i="2"/>
  <c r="D43" i="2"/>
  <c r="F34" i="5" s="1"/>
  <c r="B43" i="2"/>
  <c r="F42" i="2"/>
  <c r="E42" i="2"/>
  <c r="B42" i="2"/>
  <c r="F41" i="2"/>
  <c r="E41" i="2"/>
  <c r="D41" i="2"/>
  <c r="B41" i="2"/>
  <c r="F40" i="2"/>
  <c r="E40" i="2"/>
  <c r="B40" i="2"/>
  <c r="F39" i="2"/>
  <c r="E39" i="2"/>
  <c r="B39" i="2"/>
  <c r="F38" i="2"/>
  <c r="E38" i="2"/>
  <c r="B38" i="2"/>
  <c r="E28" i="2"/>
  <c r="D60" i="2" s="1"/>
  <c r="F158" i="5" s="1"/>
  <c r="E27" i="2"/>
  <c r="E26" i="2"/>
  <c r="D58" i="2" s="1"/>
  <c r="F156" i="5" s="1"/>
  <c r="E25" i="2"/>
  <c r="D57" i="2" s="1"/>
  <c r="F155" i="5" s="1"/>
  <c r="E24" i="2"/>
  <c r="D56" i="2" s="1"/>
  <c r="F154" i="5" s="1"/>
  <c r="E23" i="2"/>
  <c r="E22" i="2"/>
  <c r="D54" i="2" s="1"/>
  <c r="F152" i="5" s="1"/>
  <c r="E21" i="2"/>
  <c r="E20" i="2"/>
  <c r="D52" i="2" s="1"/>
  <c r="F85" i="5" s="1"/>
  <c r="E19" i="2"/>
  <c r="D51" i="2" s="1"/>
  <c r="F84" i="5" s="1"/>
  <c r="E18" i="2"/>
  <c r="D50" i="2" s="1"/>
  <c r="F83" i="5" s="1"/>
  <c r="E17" i="2"/>
  <c r="E16" i="2"/>
  <c r="D48" i="2" s="1"/>
  <c r="F81" i="5" s="1"/>
  <c r="E15" i="2"/>
  <c r="E14" i="2"/>
  <c r="D46" i="2" s="1"/>
  <c r="F79" i="5" s="1"/>
  <c r="E13" i="2"/>
  <c r="D45" i="2" s="1"/>
  <c r="F36" i="5" s="1"/>
  <c r="E12" i="2"/>
  <c r="D44" i="2" s="1"/>
  <c r="F35" i="5" s="1"/>
  <c r="E11" i="2"/>
  <c r="E10" i="2"/>
  <c r="D42" i="2" s="1"/>
  <c r="F33" i="5" s="1"/>
  <c r="E9" i="2"/>
  <c r="E8" i="2"/>
  <c r="D40" i="2" s="1"/>
  <c r="F111" i="5" s="1"/>
  <c r="E7" i="2"/>
  <c r="D39" i="2" s="1"/>
  <c r="F110" i="5" s="1"/>
  <c r="E6" i="2"/>
  <c r="D38" i="2" s="1"/>
  <c r="F109" i="5" s="1"/>
  <c r="E15" i="1" l="1"/>
  <c r="F77" i="5" s="1"/>
  <c r="E19" i="1"/>
  <c r="F45" i="5" s="1"/>
  <c r="E21" i="1"/>
  <c r="F49" i="5" s="1"/>
  <c r="E29" i="1"/>
  <c r="F65" i="5" s="1"/>
  <c r="E31" i="1"/>
  <c r="F69" i="5" s="1"/>
  <c r="E33" i="1"/>
  <c r="F73" i="5" s="1"/>
  <c r="E98" i="1"/>
  <c r="F151" i="5" s="1"/>
  <c r="E110" i="1"/>
  <c r="F137" i="5" s="1"/>
  <c r="E122" i="1"/>
  <c r="F10" i="5" s="1"/>
  <c r="E134" i="1"/>
  <c r="F22" i="5" s="1"/>
  <c r="Q66" i="6"/>
  <c r="R66" i="6" s="1"/>
  <c r="E27" i="1"/>
  <c r="F61" i="5" s="1"/>
  <c r="E81" i="1"/>
  <c r="F118" i="5" s="1"/>
  <c r="E87" i="1"/>
  <c r="F130" i="5" s="1"/>
  <c r="E96" i="1"/>
  <c r="F148" i="5" s="1"/>
  <c r="E120" i="1"/>
  <c r="F8" i="5" s="1"/>
  <c r="E132" i="1"/>
  <c r="F20" i="5" s="1"/>
  <c r="Q181" i="6"/>
  <c r="R181" i="6" s="1"/>
  <c r="Q156" i="6"/>
  <c r="R156" i="6" s="1"/>
  <c r="Q136" i="6"/>
  <c r="R136" i="6" s="1"/>
  <c r="Q125" i="6"/>
  <c r="R125" i="6" s="1"/>
  <c r="Q229" i="6"/>
  <c r="R229" i="6" s="1"/>
  <c r="Q195" i="6"/>
  <c r="R195" i="6" s="1"/>
  <c r="Q131" i="6"/>
  <c r="R131" i="6" s="1"/>
  <c r="Q130" i="6"/>
  <c r="R130" i="6" s="1"/>
  <c r="Q70" i="6"/>
  <c r="R70" i="6" s="1"/>
  <c r="Q211" i="6"/>
  <c r="R211" i="6" s="1"/>
  <c r="Q157" i="6"/>
  <c r="R157" i="6" s="1"/>
  <c r="Q137" i="6"/>
  <c r="R137" i="6" s="1"/>
  <c r="Q220" i="6"/>
  <c r="R220" i="6" s="1"/>
  <c r="Q196" i="6"/>
  <c r="R196" i="6" s="1"/>
  <c r="Q75" i="6"/>
  <c r="R75" i="6" s="1"/>
  <c r="Q71" i="6"/>
  <c r="R71" i="6" s="1"/>
  <c r="Q64" i="6"/>
  <c r="R64" i="6" s="1"/>
  <c r="Q177" i="6"/>
  <c r="R177" i="6" s="1"/>
  <c r="E13" i="1"/>
  <c r="F37" i="5" s="1"/>
  <c r="E17" i="1"/>
  <c r="F41" i="5" s="1"/>
  <c r="E25" i="1"/>
  <c r="F57" i="5" s="1"/>
  <c r="E79" i="1"/>
  <c r="F114" i="5" s="1"/>
  <c r="E94" i="1"/>
  <c r="F144" i="5" s="1"/>
  <c r="E115" i="1"/>
  <c r="F147" i="5" s="1"/>
  <c r="E113" i="1"/>
  <c r="F143" i="5" s="1"/>
  <c r="E111" i="1"/>
  <c r="F139" i="5" s="1"/>
  <c r="E109" i="1"/>
  <c r="F135" i="5" s="1"/>
  <c r="E107" i="1"/>
  <c r="F131" i="5" s="1"/>
  <c r="E105" i="1"/>
  <c r="F127" i="5" s="1"/>
  <c r="E103" i="1"/>
  <c r="F123" i="5" s="1"/>
  <c r="E101" i="1"/>
  <c r="F119" i="5" s="1"/>
  <c r="E99" i="1"/>
  <c r="F115" i="5" s="1"/>
  <c r="E97" i="1"/>
  <c r="F113" i="5" s="1"/>
  <c r="E104" i="1"/>
  <c r="F125" i="5" s="1"/>
  <c r="E116" i="1"/>
  <c r="F149" i="5" s="1"/>
  <c r="E128" i="1"/>
  <c r="F16" i="5" s="1"/>
  <c r="Q240" i="6"/>
  <c r="R240" i="6" s="1"/>
  <c r="Q235" i="6"/>
  <c r="R235" i="6" s="1"/>
  <c r="Q326" i="6"/>
  <c r="R326" i="6" s="1"/>
  <c r="Q247" i="6"/>
  <c r="R247" i="6" s="1"/>
  <c r="Q279" i="6"/>
  <c r="R279" i="6" s="1"/>
  <c r="Q224" i="6"/>
  <c r="R224" i="6" s="1"/>
  <c r="Q324" i="6"/>
  <c r="R324" i="6" s="1"/>
  <c r="Q266" i="6"/>
  <c r="R266" i="6" s="1"/>
  <c r="Q280" i="6"/>
  <c r="R280" i="6" s="1"/>
  <c r="Q248" i="6"/>
  <c r="R248" i="6" s="1"/>
  <c r="Q267" i="6"/>
  <c r="R267" i="6" s="1"/>
  <c r="Q230" i="6"/>
  <c r="R230" i="6" s="1"/>
  <c r="Q168" i="6"/>
  <c r="R168" i="6" s="1"/>
  <c r="Q232" i="6"/>
  <c r="R232" i="6" s="1"/>
  <c r="E95" i="1"/>
  <c r="F146" i="5" s="1"/>
  <c r="E93" i="1"/>
  <c r="F142" i="5" s="1"/>
  <c r="E91" i="1"/>
  <c r="F138" i="5" s="1"/>
  <c r="E89" i="1"/>
  <c r="F134" i="5" s="1"/>
  <c r="E23" i="1"/>
  <c r="F53" i="5" s="1"/>
  <c r="E55" i="1"/>
  <c r="F89" i="5" s="1"/>
  <c r="E59" i="1"/>
  <c r="F87" i="5" s="1"/>
  <c r="E63" i="1"/>
  <c r="F103" i="5" s="1"/>
  <c r="E77" i="1"/>
  <c r="F112" i="5" s="1"/>
  <c r="E83" i="1"/>
  <c r="F122" i="5" s="1"/>
  <c r="E85" i="1"/>
  <c r="F126" i="5" s="1"/>
  <c r="Q265" i="6"/>
  <c r="R265" i="6" s="1"/>
  <c r="Q325" i="6"/>
  <c r="R325" i="6" s="1"/>
  <c r="Q170" i="6"/>
  <c r="R170" i="6" s="1"/>
  <c r="Q138" i="6"/>
  <c r="R138" i="6" s="1"/>
  <c r="Q197" i="6"/>
  <c r="R197" i="6" s="1"/>
  <c r="Q183" i="6"/>
  <c r="R183" i="6" s="1"/>
  <c r="Q126" i="6"/>
  <c r="R126" i="6" s="1"/>
  <c r="Q213" i="6"/>
  <c r="R213" i="6" s="1"/>
  <c r="Q72" i="6"/>
  <c r="R72" i="6" s="1"/>
  <c r="Q132" i="6"/>
  <c r="R132" i="6" s="1"/>
  <c r="Q251" i="6"/>
  <c r="R251" i="6" s="1"/>
  <c r="Q141" i="6"/>
  <c r="R141" i="6" s="1"/>
  <c r="Q81" i="6"/>
  <c r="R81" i="6" s="1"/>
  <c r="Q79" i="6"/>
  <c r="R79" i="6" s="1"/>
  <c r="Q142" i="6"/>
  <c r="R142" i="6" s="1"/>
  <c r="Q76" i="6"/>
  <c r="R76" i="6" s="1"/>
  <c r="E137" i="1"/>
  <c r="F25" i="5" s="1"/>
  <c r="E135" i="1"/>
  <c r="F23" i="5" s="1"/>
  <c r="E133" i="1"/>
  <c r="F21" i="5" s="1"/>
  <c r="E131" i="1"/>
  <c r="F19" i="5" s="1"/>
  <c r="E129" i="1"/>
  <c r="F17" i="5" s="1"/>
  <c r="E127" i="1"/>
  <c r="F15" i="5" s="1"/>
  <c r="E125" i="1"/>
  <c r="F13" i="5" s="1"/>
  <c r="E123" i="1"/>
  <c r="F11" i="5" s="1"/>
  <c r="E121" i="1"/>
  <c r="F9" i="5" s="1"/>
  <c r="E119" i="1"/>
  <c r="F7" i="5" s="1"/>
  <c r="E117" i="1"/>
  <c r="F5" i="5" s="1"/>
  <c r="E90" i="1"/>
  <c r="F136" i="5" s="1"/>
  <c r="E102" i="1"/>
  <c r="F121" i="5" s="1"/>
  <c r="E114" i="1"/>
  <c r="F145" i="5" s="1"/>
  <c r="E126" i="1"/>
  <c r="F14" i="5" s="1"/>
  <c r="E138" i="1"/>
  <c r="F26" i="5" s="1"/>
  <c r="Q69" i="6"/>
  <c r="R69" i="6" s="1"/>
  <c r="Q169" i="6"/>
  <c r="R169" i="6" s="1"/>
  <c r="E57" i="1"/>
  <c r="F93" i="5" s="1"/>
  <c r="E61" i="1"/>
  <c r="F99" i="5" s="1"/>
  <c r="E65" i="1"/>
  <c r="F107" i="5" s="1"/>
  <c r="Q129" i="6"/>
  <c r="R129" i="6" s="1"/>
  <c r="Q74" i="6"/>
  <c r="R74" i="6" s="1"/>
  <c r="Q123" i="6"/>
  <c r="R123" i="6" s="1"/>
  <c r="Q294" i="6"/>
  <c r="R294" i="6" s="1"/>
  <c r="Q258" i="6"/>
  <c r="R258" i="6" s="1"/>
  <c r="Q304" i="6"/>
  <c r="R304" i="6" s="1"/>
  <c r="Q300" i="6"/>
  <c r="R300" i="6" s="1"/>
  <c r="Q320" i="6"/>
  <c r="R320" i="6" s="1"/>
  <c r="Q313" i="6"/>
  <c r="R313" i="6" s="1"/>
  <c r="Q287" i="6"/>
  <c r="R287" i="6" s="1"/>
  <c r="Q179" i="6"/>
  <c r="R179" i="6" s="1"/>
  <c r="Q154" i="6"/>
  <c r="R154" i="6" s="1"/>
  <c r="Q209" i="6"/>
  <c r="R209" i="6" s="1"/>
  <c r="Q218" i="6"/>
  <c r="R218" i="6" s="1"/>
  <c r="Q193" i="6"/>
  <c r="R193" i="6" s="1"/>
  <c r="Q274" i="6"/>
  <c r="R274" i="6" s="1"/>
  <c r="Q221" i="6"/>
  <c r="R221" i="6" s="1"/>
  <c r="Q166" i="6"/>
  <c r="R166" i="6" s="1"/>
  <c r="E14" i="1"/>
  <c r="F75" i="5" s="1"/>
  <c r="E16" i="1"/>
  <c r="F39" i="5" s="1"/>
  <c r="E18" i="1"/>
  <c r="F43" i="5" s="1"/>
  <c r="E20" i="1"/>
  <c r="F47" i="5" s="1"/>
  <c r="E22" i="1"/>
  <c r="F51" i="5" s="1"/>
  <c r="E24" i="1"/>
  <c r="F55" i="5" s="1"/>
  <c r="E26" i="1"/>
  <c r="F59" i="5" s="1"/>
  <c r="E28" i="1"/>
  <c r="F63" i="5" s="1"/>
  <c r="E30" i="1"/>
  <c r="F67" i="5" s="1"/>
  <c r="E32" i="1"/>
  <c r="F71" i="5" s="1"/>
  <c r="E34" i="1"/>
  <c r="F38" i="5" s="1"/>
  <c r="E36" i="1"/>
  <c r="F78" i="5" s="1"/>
  <c r="E38" i="1"/>
  <c r="F42" i="5" s="1"/>
  <c r="E40" i="1"/>
  <c r="F46" i="5" s="1"/>
  <c r="E42" i="1"/>
  <c r="F50" i="5" s="1"/>
  <c r="E44" i="1"/>
  <c r="F54" i="5" s="1"/>
  <c r="E46" i="1"/>
  <c r="F58" i="5" s="1"/>
  <c r="E48" i="1"/>
  <c r="F62" i="5" s="1"/>
  <c r="E50" i="1"/>
  <c r="F66" i="5" s="1"/>
  <c r="E52" i="1"/>
  <c r="F70" i="5" s="1"/>
  <c r="E54" i="1"/>
  <c r="F74" i="5" s="1"/>
  <c r="E56" i="1"/>
  <c r="F91" i="5" s="1"/>
  <c r="E58" i="1"/>
  <c r="F95" i="5" s="1"/>
  <c r="E60" i="1"/>
  <c r="F97" i="5" s="1"/>
  <c r="E62" i="1"/>
  <c r="F101" i="5" s="1"/>
  <c r="E64" i="1"/>
  <c r="F105" i="5" s="1"/>
  <c r="E66" i="1"/>
  <c r="F90" i="5" s="1"/>
  <c r="E68" i="1"/>
  <c r="F94" i="5" s="1"/>
  <c r="E70" i="1"/>
  <c r="F88" i="5" s="1"/>
  <c r="E72" i="1"/>
  <c r="F100" i="5" s="1"/>
  <c r="E74" i="1"/>
  <c r="F104" i="5" s="1"/>
  <c r="E76" i="1"/>
  <c r="F108" i="5" s="1"/>
  <c r="E78" i="1"/>
  <c r="F150" i="5" s="1"/>
  <c r="E80" i="1"/>
  <c r="F116" i="5" s="1"/>
  <c r="E82" i="1"/>
  <c r="F120" i="5" s="1"/>
  <c r="E84" i="1"/>
  <c r="F124" i="5" s="1"/>
  <c r="E86" i="1"/>
  <c r="F128" i="5" s="1"/>
  <c r="E88" i="1"/>
  <c r="F132" i="5" s="1"/>
  <c r="E100" i="1"/>
  <c r="F117" i="5" s="1"/>
  <c r="E112" i="1"/>
  <c r="F141" i="5" s="1"/>
  <c r="E124" i="1"/>
  <c r="F12" i="5" s="1"/>
  <c r="Q210" i="6"/>
  <c r="R210" i="6" s="1"/>
  <c r="Q180" i="6"/>
  <c r="R180" i="6" s="1"/>
  <c r="Q155" i="6"/>
  <c r="R155" i="6" s="1"/>
  <c r="Q194" i="6"/>
  <c r="R194" i="6" s="1"/>
  <c r="Q167" i="6"/>
  <c r="R167" i="6" s="1"/>
  <c r="Q333" i="6"/>
  <c r="R333" i="6" s="1"/>
  <c r="Q336" i="6"/>
  <c r="R336" i="6" s="1"/>
  <c r="Q339" i="6"/>
  <c r="R339" i="6" s="1"/>
  <c r="Q254" i="6"/>
  <c r="R254" i="6" s="1"/>
  <c r="Q206" i="6"/>
  <c r="R206" i="6" s="1"/>
  <c r="Q163" i="6"/>
  <c r="R163" i="6" s="1"/>
  <c r="Q190" i="6"/>
  <c r="R190" i="6" s="1"/>
  <c r="Q176" i="6"/>
  <c r="R176" i="6" s="1"/>
  <c r="Q151" i="6"/>
  <c r="R151" i="6" s="1"/>
  <c r="Q301" i="6"/>
  <c r="R301" i="6" s="1"/>
  <c r="Q297" i="6"/>
  <c r="R297" i="6" s="1"/>
  <c r="Q271" i="6"/>
  <c r="R271" i="6" s="1"/>
  <c r="Q288" i="6"/>
  <c r="R288" i="6" s="1"/>
  <c r="Q233" i="6"/>
  <c r="R233" i="6" s="1"/>
  <c r="Q214" i="6"/>
  <c r="R214" i="6" s="1"/>
  <c r="Q285" i="6"/>
  <c r="R285" i="6" s="1"/>
  <c r="Q238" i="6"/>
  <c r="R238" i="6" s="1"/>
  <c r="Q143" i="6"/>
  <c r="R143" i="6" s="1"/>
  <c r="Q82" i="6"/>
  <c r="R82" i="6" s="1"/>
  <c r="Q268" i="6"/>
  <c r="R268" i="6" s="1"/>
  <c r="Q278" i="6"/>
  <c r="R278" i="6" s="1"/>
  <c r="Q327" i="6"/>
  <c r="R327" i="6" s="1"/>
  <c r="Q225" i="6"/>
  <c r="R225" i="6" s="1"/>
  <c r="Q249" i="6"/>
  <c r="R249" i="6" s="1"/>
  <c r="Q340" i="6"/>
  <c r="R340" i="6" s="1"/>
  <c r="Q261" i="6"/>
  <c r="R261" i="6" s="1"/>
  <c r="Q332" i="6"/>
  <c r="R332" i="6" s="1"/>
  <c r="Q338" i="6"/>
  <c r="R338" i="6" s="1"/>
  <c r="Q334" i="6"/>
  <c r="R334" i="6" s="1"/>
  <c r="Q244" i="6"/>
  <c r="R244" i="6" s="1"/>
  <c r="Q319" i="6"/>
  <c r="R319" i="6" s="1"/>
  <c r="Q312" i="6"/>
  <c r="R312" i="6" s="1"/>
  <c r="Q272" i="6"/>
  <c r="R272" i="6" s="1"/>
  <c r="Q315" i="6"/>
  <c r="R315" i="6" s="1"/>
  <c r="Q293" i="6"/>
  <c r="R293" i="6" s="1"/>
  <c r="Q286" i="6"/>
  <c r="R286" i="6" s="1"/>
  <c r="Q257" i="6"/>
  <c r="R257" i="6" s="1"/>
  <c r="Q289" i="6"/>
  <c r="R289" i="6" s="1"/>
  <c r="Q228" i="6"/>
  <c r="R228" i="6" s="1"/>
  <c r="Q217" i="6"/>
  <c r="R217" i="6" s="1"/>
  <c r="Q192" i="6"/>
  <c r="R192" i="6" s="1"/>
  <c r="Q152" i="6"/>
  <c r="R152" i="6" s="1"/>
  <c r="Q302" i="6"/>
  <c r="R302" i="6" s="1"/>
  <c r="Q284" i="6"/>
  <c r="R284" i="6" s="1"/>
  <c r="Q309" i="6"/>
  <c r="R309" i="6" s="1"/>
  <c r="Q298" i="6"/>
  <c r="R298" i="6" s="1"/>
  <c r="Q273" i="6"/>
  <c r="R273" i="6" s="1"/>
  <c r="Q255" i="6"/>
  <c r="R255" i="6" s="1"/>
  <c r="Q237" i="6"/>
  <c r="R237" i="6" s="1"/>
  <c r="Q208" i="6"/>
  <c r="R208" i="6" s="1"/>
  <c r="Q165" i="6"/>
  <c r="R165" i="6" s="1"/>
  <c r="Q303" i="6"/>
  <c r="R303" i="6" s="1"/>
  <c r="Q299" i="6"/>
  <c r="R299" i="6" s="1"/>
  <c r="Q239" i="6"/>
  <c r="R239" i="6" s="1"/>
  <c r="Q234" i="6"/>
  <c r="R234" i="6" s="1"/>
  <c r="Q164" i="6"/>
  <c r="R164" i="6" s="1"/>
  <c r="Q178" i="6"/>
  <c r="R178" i="6" s="1"/>
  <c r="Q191" i="6"/>
  <c r="R191" i="6" s="1"/>
  <c r="Q337" i="6"/>
  <c r="R337" i="6" s="1"/>
  <c r="Q341" i="6"/>
  <c r="R341" i="6" s="1"/>
  <c r="Q262" i="6"/>
  <c r="R262" i="6" s="1"/>
  <c r="Q245" i="6"/>
  <c r="R245" i="6" s="1"/>
  <c r="Q270" i="6"/>
  <c r="R270" i="6" s="1"/>
  <c r="Q291" i="6"/>
  <c r="R291" i="6" s="1"/>
  <c r="Q292" i="6"/>
  <c r="R292" i="6" s="1"/>
  <c r="Q65" i="6"/>
  <c r="R65" i="6" s="1"/>
  <c r="Q153" i="6"/>
  <c r="R153" i="6" s="1"/>
  <c r="Q212" i="6"/>
  <c r="R212" i="6" s="1"/>
  <c r="R346" i="6" l="1"/>
</calcChain>
</file>

<file path=xl/sharedStrings.xml><?xml version="1.0" encoding="utf-8"?>
<sst xmlns="http://schemas.openxmlformats.org/spreadsheetml/2006/main" count="3519" uniqueCount="521">
  <si>
    <t>SCHEDA PEZZI SPECIALI — parametri peso e costo di acquisto/zincatura dei pezzi 'a pezzo' di carpenteria metallica (piastre di giunzione, supporti, angolari, omega, pali MAX, aste sensori)</t>
  </si>
  <si>
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</si>
  <si>
    <t>PEZZI SPECIALI — parametri (compilare Descrizione, Peso pezzo, % zincatura e €/kg)</t>
  </si>
  <si>
    <t>Voce</t>
  </si>
  <si>
    <t>Descrizione</t>
  </si>
  <si>
    <t>Peso pezzo (kg)</t>
  </si>
  <si>
    <t>Magg. zincatura %</t>
  </si>
  <si>
    <t>Peso finale (kg)</t>
  </si>
  <si>
    <t>Costo acquisto (€/kg)</t>
  </si>
  <si>
    <t>Costo zincatura (€/kg)</t>
  </si>
  <si>
    <t>TTS.PF.002.IPE140</t>
  </si>
  <si>
    <t>Piastra giunzione montanti centrali 200x100x4 (8 fori Ø 11)</t>
  </si>
  <si>
    <t>TTS.PF.003.IPE140</t>
  </si>
  <si>
    <t>Piastra giunzione montanti esterna 240x70x6 (12 fori Ø 11)</t>
  </si>
  <si>
    <t>TTS.PF.004.IPE140</t>
  </si>
  <si>
    <t>Piastra giunzione montanti interna 240x25x6 (6 fori Ø 11)</t>
  </si>
  <si>
    <t>TTS.AR.2011</t>
  </si>
  <si>
    <t>Gaffa giunzione asse</t>
  </si>
  <si>
    <t>TTS.AR.4011</t>
  </si>
  <si>
    <t>Supporto superiore inclinometro</t>
  </si>
  <si>
    <t>TTS.AR.4012</t>
  </si>
  <si>
    <t>Supporto inferiore inclinometro</t>
  </si>
  <si>
    <t>TTS.AR.5011</t>
  </si>
  <si>
    <t>Piastra ad L supporto fine corsa</t>
  </si>
  <si>
    <t>TTS.AR.5012</t>
  </si>
  <si>
    <t>Leva battente sensore fine corsa</t>
  </si>
  <si>
    <t>TTS.PC.002.IPE140</t>
  </si>
  <si>
    <t>Supporto laterale testa cuscinetto</t>
  </si>
  <si>
    <t>TTS.PC.003.IPE140</t>
  </si>
  <si>
    <t>Supporto testa cuscinetto</t>
  </si>
  <si>
    <t>TTS.PC.2011.1076</t>
  </si>
  <si>
    <t>Angolare 40x40x4 lungo 1076 mm. supporto inferiore</t>
  </si>
  <si>
    <t>TTS.PC.2012.1076</t>
  </si>
  <si>
    <t>Angolare 40x40x4 lungo1076 mm. supporto superiore</t>
  </si>
  <si>
    <t>TTS.PC.2013</t>
  </si>
  <si>
    <t>Palo MAX lungo mt.2,040</t>
  </si>
  <si>
    <t>TTS.PC.3011</t>
  </si>
  <si>
    <t>Angolare 40x40x4 lungo 869 mm. superiore</t>
  </si>
  <si>
    <t>TTS.PC.3012</t>
  </si>
  <si>
    <t>Angolare 40x40x4 lungo 869 mm. inferiore</t>
  </si>
  <si>
    <t>TTS.PC.3013</t>
  </si>
  <si>
    <t>Palo MAX lungo mt.2,150</t>
  </si>
  <si>
    <t>TTS.PM.002.IPE140</t>
  </si>
  <si>
    <t>Supporto laterale testa riduttore</t>
  </si>
  <si>
    <t>TTS.PM.003.IPE140</t>
  </si>
  <si>
    <t>Testa riduttore pilastro motore</t>
  </si>
  <si>
    <t>TTS.PM.2011</t>
  </si>
  <si>
    <t>Angolare 30x30x4 lungo 370 mm. superiore</t>
  </si>
  <si>
    <t>TTS.PM.2012</t>
  </si>
  <si>
    <t>Angolare 30x30x4 lungo 370 mm. inferiore</t>
  </si>
  <si>
    <t>TTS.SM.001</t>
  </si>
  <si>
    <t>Piatto 50X5X230 supporto sensori</t>
  </si>
  <si>
    <t>TTS.SM.002</t>
  </si>
  <si>
    <t>Piatto 30X3X193 leva sensore temperatura pannello</t>
  </si>
  <si>
    <t>TTS.SM.003</t>
  </si>
  <si>
    <t>Asta supporto anemometro</t>
  </si>
  <si>
    <t>PEZZI SPECIALI — elenco (descrizione, peso e costi richiamati dai parametri qui sopra)</t>
  </si>
  <si>
    <t>Codice</t>
  </si>
  <si>
    <t>Peso elemento (kg)</t>
  </si>
  <si>
    <t>Costo acquisto (€)</t>
  </si>
  <si>
    <t>Costo zincatura (€)</t>
  </si>
  <si>
    <t>SCHEDA STRUTTURA — parametri peso e costo di acquisto/zincatura (compilare kg/m, % zincatura, €/kg acquisto e €/kg zincatura)</t>
  </si>
  <si>
    <t>Blocco 'Profili': travi IPE/IPEA e assi di rotazione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pali MAX, aste) sono nel foglio 'SCHEDA PEZZI SPECIALI'. L'omega supporto pannello e le sue staffe (supporto a L/V, gaffa) sono in fondo all'Elenco qui sotto.</t>
  </si>
  <si>
    <t>Profilo</t>
  </si>
  <si>
    <t>Peso teorico (kg/m)</t>
  </si>
  <si>
    <t>Peso finale (kg/m)</t>
  </si>
  <si>
    <t>IPE 140</t>
  </si>
  <si>
    <t>IPEA 140</t>
  </si>
  <si>
    <t>ASSE 120x120x3</t>
  </si>
  <si>
    <t>ASSE 120x120x2,5</t>
  </si>
  <si>
    <t>OMEGA 2,0</t>
  </si>
  <si>
    <t>OMEGA 1,8</t>
  </si>
  <si>
    <t>Lunghezza (m)</t>
  </si>
  <si>
    <t>TTS.PC.001.IPE140.23</t>
  </si>
  <si>
    <t>Pilastro cuscinetto trave IPE 140 mt.2,30</t>
  </si>
  <si>
    <t>TTS.PC.001.IPE140.23.FI</t>
  </si>
  <si>
    <t>Pilastro cuscinetto trave ipe140 x mt. 2,30 con foratura alloggiamento inverter</t>
  </si>
  <si>
    <t>TTS.PC.001.IPE140.23.FQA</t>
  </si>
  <si>
    <t>Pilastro cuscinetto trave ipe140 x mt. 2,30 con foratura alloggiamento quadro area</t>
  </si>
  <si>
    <t>TTS.PC.001.IPE140.28</t>
  </si>
  <si>
    <t>Pilastro cuscinetto trave IPE 140 mt.2,80</t>
  </si>
  <si>
    <t>TTS.PC.001.IPE140.29</t>
  </si>
  <si>
    <t>Pilastro cuscinetto trave IPE 140 mt.2,90</t>
  </si>
  <si>
    <t>TTS.PC.001.IPE140.30</t>
  </si>
  <si>
    <t>Pilastro cuscinetto trave IPE 140 mt.3,00</t>
  </si>
  <si>
    <t>TTS.PC.001.IPE140.31</t>
  </si>
  <si>
    <t>Pilastro cuscinetto trave IPE 140 mt.3,10</t>
  </si>
  <si>
    <t>TTS.PC.001.IPE140.32</t>
  </si>
  <si>
    <t>Pilastro cuscinetto trave IPE 140 mt.3,20</t>
  </si>
  <si>
    <t>TTS.PC.001.IPE140.33</t>
  </si>
  <si>
    <t>Pilastro cuscinetto trave IPE 140 mt.3,30</t>
  </si>
  <si>
    <t>TTS.PC.001.IPE140.34</t>
  </si>
  <si>
    <t>Pilastro cuscinetto trave IPE 140 mt.3,40</t>
  </si>
  <si>
    <t>TTS.PC.001.IPE140.35</t>
  </si>
  <si>
    <t>Pilastro cuscinetto trave IPE 140 mt.3,50</t>
  </si>
  <si>
    <t>TTS.PC.001.IPE140.36</t>
  </si>
  <si>
    <t>Pilastro cuscinetto trave IPE 140 mt.3,60</t>
  </si>
  <si>
    <t>TTS.PC.001.IPE140.37</t>
  </si>
  <si>
    <t>Pilastro cuscinetto trave IPE 140 mt.3,70</t>
  </si>
  <si>
    <t>TTS.PC.001.IPE140.38</t>
  </si>
  <si>
    <t>Pilastro cuscinetto trave IPE 140 mt.3,80</t>
  </si>
  <si>
    <t>TTS.PC.001.IPE140.39</t>
  </si>
  <si>
    <t>Pilastro cuscinetto trave IPE 140 mt.3,90</t>
  </si>
  <si>
    <t>TTS.PC.001.IPE140.40</t>
  </si>
  <si>
    <t>Pilastro cuscinetto trave IPE 140 mt.4,00</t>
  </si>
  <si>
    <t>TTS.PC.001.IPE140.41</t>
  </si>
  <si>
    <t>Pilastro cuscinetto trave IPE 140 mt.4,10</t>
  </si>
  <si>
    <t>TTS.PC.001.IPE140.42</t>
  </si>
  <si>
    <t>Pilastro cuscinetto trave IPE 140 mt.4,20</t>
  </si>
  <si>
    <t>TTS.PC.001.IPE140.43</t>
  </si>
  <si>
    <t>Pilastro cuscinetto trave IPE 140 mt.4,30</t>
  </si>
  <si>
    <t>TTS.PC.001.IPE140.44</t>
  </si>
  <si>
    <t>Pilastro cuscinetto trave IPE 140 mt.4,40</t>
  </si>
  <si>
    <t>TTS.PC.001.IPE140.45</t>
  </si>
  <si>
    <t>Pilastro cuscinetto trave IPE 140 mt.4,50</t>
  </si>
  <si>
    <t>TTS.PC.001.IPEA140.23</t>
  </si>
  <si>
    <t>Pilastro cuscinetto trave IPEA 140 mt.2,30 (alleggerita)</t>
  </si>
  <si>
    <t>TTS.PC.001.IPEA140.23.FI</t>
  </si>
  <si>
    <t>Pilastro cuscinetto trave ipea140 x mt. 2,30 con foratura alloggiamento inverter (alleggerita)</t>
  </si>
  <si>
    <t>TTS.PC.001.IPEA140.23.FQA</t>
  </si>
  <si>
    <t>Pilastro cuscinetto trave ipea140 x mt. 2,30 con foratura alloggiamento quadro area (alleggerita)</t>
  </si>
  <si>
    <t>TTS.PC.001.IPEA140.28</t>
  </si>
  <si>
    <t>Pilastro cuscinetto trave IPEA 140 mt.2,80 (alleggerita)</t>
  </si>
  <si>
    <t>TTS.PC.001.IPEA140.29</t>
  </si>
  <si>
    <t>Pilastro cuscinetto trave IPEA 140 mt.2,90 (alleggerita)</t>
  </si>
  <si>
    <t>TTS.PC.001.IPEA140.30</t>
  </si>
  <si>
    <t>Pilastro cuscinetto trave IPEA 140 mt.3,00 (alleggerita)</t>
  </si>
  <si>
    <t>TTS.PC.001.IPEA140.31</t>
  </si>
  <si>
    <t>Pilastro cuscinetto trave IPEA 140 mt.3,10 (alleggerita)</t>
  </si>
  <si>
    <t>TTS.PC.001.IPEA140.32</t>
  </si>
  <si>
    <t>Pilastro cuscinetto trave IPEA 140 mt.3,20 (alleggerita)</t>
  </si>
  <si>
    <t>TTS.PC.001.IPEA140.33</t>
  </si>
  <si>
    <t>Pilastro cuscinetto trave IPEA 140 mt.3,30 (alleggerita)</t>
  </si>
  <si>
    <t>TTS.PC.001.IPEA140.34</t>
  </si>
  <si>
    <t>Pilastro cuscinetto trave IPEA 140 mt.3,40 (alleggerita)</t>
  </si>
  <si>
    <t>TTS.PC.001.IPEA140.35</t>
  </si>
  <si>
    <t>Pilastro cuscinetto trave IPEA 140 mt.3,50 (alleggerita)</t>
  </si>
  <si>
    <t>TTS.PC.001.IPEA140.36</t>
  </si>
  <si>
    <t>Pilastro cuscinetto trave IPEA 140 mt.3,60 (alleggerita)</t>
  </si>
  <si>
    <t>TTS.PC.001.IPEA140.37</t>
  </si>
  <si>
    <t>Pilastro cuscinetto trave IPEA 140 mt.3,70 (alleggerita)</t>
  </si>
  <si>
    <t>TTS.PC.001.IPEA140.38</t>
  </si>
  <si>
    <t>Pilastro cuscinetto trave IPEA 140 mt.3,80 (alleggerita)</t>
  </si>
  <si>
    <t>TTS.PC.001.IPEA140.39</t>
  </si>
  <si>
    <t>Pilastro cuscinetto trave IPEA 140 mt.3,90 (alleggerita)</t>
  </si>
  <si>
    <t>TTS.PC.001.IPEA140.40</t>
  </si>
  <si>
    <t>Pilastro cuscinetto trave IPEA 140 mt.4,00 (alleggerita)</t>
  </si>
  <si>
    <t>TTS.PC.001.IPEA140.41</t>
  </si>
  <si>
    <t>Pilastro cuscinetto trave IPEA 140 mt.4,10 (alleggerita)</t>
  </si>
  <si>
    <t>TTS.PC.001.IPEA140.42</t>
  </si>
  <si>
    <t>Pilastro cuscinetto trave IPEA 140 mt.4,20 (alleggerita)</t>
  </si>
  <si>
    <t>TTS.PC.001.IPEA140.43</t>
  </si>
  <si>
    <t>Pilastro cuscinetto trave IPEA 140 mt.4,30 (alleggerita)</t>
  </si>
  <si>
    <t>TTS.PC.001.IPEA140.44</t>
  </si>
  <si>
    <t>Pilastro cuscinetto trave IPEA 140 mt.4,40 (alleggerita)</t>
  </si>
  <si>
    <t>TTS.PC.001.IPEA140.45</t>
  </si>
  <si>
    <t>Pilastro cuscinetto trave IPEA 140 mt.4,50 (alleggerita)</t>
  </si>
  <si>
    <t>TTS.PF.001.IPE140.26</t>
  </si>
  <si>
    <t>Pilastro fondazione trave IPE140 mt.2,60</t>
  </si>
  <si>
    <t>TTS.PF.001.IPE140.27</t>
  </si>
  <si>
    <t>Pilastro fondazione trave IPE140 mt.2,70</t>
  </si>
  <si>
    <t>TTS.PF.001.IPE140.28</t>
  </si>
  <si>
    <t>Pilastro fondazione trave IPE140 mt.2,80</t>
  </si>
  <si>
    <t>TTS.PF.001.IPE140.29</t>
  </si>
  <si>
    <t>Pilastro fondazione trave IPE140 mt.2,90</t>
  </si>
  <si>
    <t>TTS.PF.001.IPE140.30</t>
  </si>
  <si>
    <t>Pilastro fondazione trave IPE140 mt.3,00</t>
  </si>
  <si>
    <t>TTS.PF.001.IPE140.31</t>
  </si>
  <si>
    <t>Pilastro fondazione trave IPE140 mt.3,10</t>
  </si>
  <si>
    <t>TTS.PF.001.IPE140.32</t>
  </si>
  <si>
    <t>Pilastro fondazione trave IPE140 mt.3,20</t>
  </si>
  <si>
    <t>TTS.PF.001.IPE140.33</t>
  </si>
  <si>
    <t>Pilastro fondazione trave IPE140 mt.3,30</t>
  </si>
  <si>
    <t>TTS.PF.001.IPE140.34</t>
  </si>
  <si>
    <t>Pilastro fondazione trave IPE140 mt.3,40</t>
  </si>
  <si>
    <t>TTS.PF.001.IPE140.35</t>
  </si>
  <si>
    <t>Pilastro fondazione trave IPE140 mt.3,50</t>
  </si>
  <si>
    <t>TTS.PF.001.IPE140.36</t>
  </si>
  <si>
    <t>Pilastro fondazione trave IPE140 mt.3,60</t>
  </si>
  <si>
    <t>TTS.PF.001.IPEA140.26</t>
  </si>
  <si>
    <t>Pilastro fondazione trave IPEA140 mt.2,60 (alleggerita)</t>
  </si>
  <si>
    <t>TTS.PF.001.IPEA140.27</t>
  </si>
  <si>
    <t>Pilastro fondazione trave IPEA140 mt.2,70 (alleggerita)</t>
  </si>
  <si>
    <t>TTS.PF.001.IPEA140.28</t>
  </si>
  <si>
    <t>Pilastro fondazione trave IPEA140 mt.2,80 (alleggerita)</t>
  </si>
  <si>
    <t>TTS.PF.001.IPEA140.29</t>
  </si>
  <si>
    <t>Pilastro fondazione trave IPEA140 mt.2,90 (alleggerita)</t>
  </si>
  <si>
    <t>TTS.PF.001.IPEA140.30</t>
  </si>
  <si>
    <t>Pilastro fondazione trave IPEA140 mt.3,00 (alleggerita)</t>
  </si>
  <si>
    <t>TTS.PF.001.IPEA140.31</t>
  </si>
  <si>
    <t>Pilastro fondazione trave IPEA140 mt.3,10 (alleggerita)</t>
  </si>
  <si>
    <t>TTS.PF.001.IPEA140.32</t>
  </si>
  <si>
    <t>Pilastro fondazione trave IPEA140 mt.3,20 (alleggerita)</t>
  </si>
  <si>
    <t>TTS.PF.001.IPEA140.33</t>
  </si>
  <si>
    <t>Pilastro fondazione trave IPEA140 mt.3,30 (alleggerita)</t>
  </si>
  <si>
    <t>TTS.PF.001.IPEA140.34</t>
  </si>
  <si>
    <t>Pilastro fondazione trave IPEA140 mt.3,40 (alleggerita)</t>
  </si>
  <si>
    <t>TTS.PF.001.IPEA140.35</t>
  </si>
  <si>
    <t>Pilastro fondazione trave IPEA140 mt.3,50 (alleggerita)</t>
  </si>
  <si>
    <t>TTS.PF.001.IPEA140.36</t>
  </si>
  <si>
    <t>Pilastro fondazione trave IPEA140 mt.3,60 (alleggerita)</t>
  </si>
  <si>
    <t>TTS.PM.001.IPE140.22</t>
  </si>
  <si>
    <t>Pilastro motore trave ipe140 x 2220 con foratura alloggiamento quadro motore (standard)</t>
  </si>
  <si>
    <t>TTS.PM.001.IPE140.22.QC</t>
  </si>
  <si>
    <t>Pilastro motore trave ipe140 x 2220 con foratura alloggiamento quadro motore + quadro centralina meteo + quadro alimentazione centralina meteo</t>
  </si>
  <si>
    <t>TTS.PM.001.IPE140.27</t>
  </si>
  <si>
    <t>Pilastro motore trave ipe140 x 2720 con foratura alloggiamento quadro motore (standard)</t>
  </si>
  <si>
    <t>TTS.PM.001.IPE140.28</t>
  </si>
  <si>
    <t>Pilastro motore trave ipe140 x 2820 con foratura alloggiamento quadro motore (standard)</t>
  </si>
  <si>
    <t>TTS.PM.001.IPE140.29</t>
  </si>
  <si>
    <t>Pilastro motore trave ipe140 x 2920 con foratura alloggiamento quadro motore (standard)</t>
  </si>
  <si>
    <t>TTS.PM.001.IPE140.30</t>
  </si>
  <si>
    <t>Pilastro motore trave ipe140 x 3020 con foratura alloggiamento quadro motore (standard)</t>
  </si>
  <si>
    <t>TTS.PM.001.IPE140.31</t>
  </si>
  <si>
    <t>Pilastro motore trave ipe140 x 3120 con foratura alloggiamento quadro motore (standard)</t>
  </si>
  <si>
    <t>TTS.PM.001.IPE140.32</t>
  </si>
  <si>
    <t>Pilastro motore trave ipe140 x 3220 con foratura alloggiamento quadro motore (standard)</t>
  </si>
  <si>
    <t>TTS.PM.001.IPE140.33</t>
  </si>
  <si>
    <t>Pilastro motore trave ipe140 x 3320 con foratura alloggiamento quadro motore (standard)</t>
  </si>
  <si>
    <t>TTS.PM.001.IPE140.34</t>
  </si>
  <si>
    <t>Pilastro motore trave ipe140 x 3420 con foratura alloggiamento quadro motore (standard)</t>
  </si>
  <si>
    <t>TTS.PM.001.IPE140.35</t>
  </si>
  <si>
    <t>Pilastro motore trave ipe140 x 3520 con foratura alloggiamento quadro motore (standard)</t>
  </si>
  <si>
    <t>TTS.PM.001.IPE140.36</t>
  </si>
  <si>
    <t>Pilastro motore trave ipe140 x 3620 con foratura alloggiamento quadro motore (standard)</t>
  </si>
  <si>
    <t>TTS.PM.001.IPE140.37</t>
  </si>
  <si>
    <t>Pilastro motore trave ipe140 x 3720 con foratura alloggiamento quadro motore (standard)</t>
  </si>
  <si>
    <t>TTS.PM.001.IPE140.38</t>
  </si>
  <si>
    <t>Pilastro motore trave ipe140 x 3820 con foratura alloggiamento quadro motore (standard)</t>
  </si>
  <si>
    <t>TTS.PM.001.IPE140.39</t>
  </si>
  <si>
    <t>Pilastro motore trave ipe140 x 3920 con foratura alloggiamento quadro motore (standard)</t>
  </si>
  <si>
    <t>TTS.PM.001.IPE140.40</t>
  </si>
  <si>
    <t>Pilastro motore trave ipe140 x 4020 con foratura alloggiamento quadro motore (standard)</t>
  </si>
  <si>
    <t>TTS.PM.001.IPE140.41</t>
  </si>
  <si>
    <t>Pilastro motore trave ipe140 x 4120 con foratura alloggiamento quadro motore (standard)</t>
  </si>
  <si>
    <t>TTS.PM.001.IPE140.42</t>
  </si>
  <si>
    <t>Pilastro motore trave ipe140 x 4220 con foratura alloggiamento quadro motore (standard)</t>
  </si>
  <si>
    <t>TTS.PM.001.IPE140.43</t>
  </si>
  <si>
    <t>Pilastro motore trave ipe140 x 4320 con foratura alloggiamento quadro motore (standard)</t>
  </si>
  <si>
    <t>TTS.PM.001.IPE140.44</t>
  </si>
  <si>
    <t>Pilastro motore trave ipe140 x 4420 con foratura alloggiamento quadro motore (standard)</t>
  </si>
  <si>
    <t>TTS.PM.001.IPEA140.22</t>
  </si>
  <si>
    <t>Pilastro motore trave ipea140 x 2220 con foratura alloggiamento quadro motore (alleggerita)</t>
  </si>
  <si>
    <t>TTS.PM.001.IPEA140.22.QC</t>
  </si>
  <si>
    <t>Pilastro motore trave ipea140 x 2220 con foratura alloggiamento quadro motore + quadro centralina meteo + quadro alimentazione centralina meteo (alleggerita)</t>
  </si>
  <si>
    <t>TTS.PM.001.IPEA140.27</t>
  </si>
  <si>
    <t>Pilastro motore trave ipea140 x 2720 con foratura alloggiamento quadro motore (alleggerita)</t>
  </si>
  <si>
    <t>TTS.PM.001.IPEA140.28</t>
  </si>
  <si>
    <t>Pilastro motore trave ipea140 x 2820 con foratura alloggiamento quadro motore (alleggerita)</t>
  </si>
  <si>
    <t>TTS.PM.001.IPEA140.29</t>
  </si>
  <si>
    <t>Pilastro motore trave ipea140 x 2920 con foratura alloggiamento quadro motore (alleggerita)</t>
  </si>
  <si>
    <t>TTS.PM.001.IPEA140.30</t>
  </si>
  <si>
    <t>Pilastro motore trave ipea140 x 3020 con foratura alloggiamento quadro motore (alleggerita)</t>
  </si>
  <si>
    <t>TTS.PM.001.IPEA140.31</t>
  </si>
  <si>
    <t>Pilastro motore trave ipea140 x 3120 con foratura alloggiamento quadro motore (alleggerita)</t>
  </si>
  <si>
    <t>TTS.PM.001.IPEA140.32</t>
  </si>
  <si>
    <t>Pilastro motore trave ipea140 x 3220 con foratura alloggiamento quadro motore (alleggerita)</t>
  </si>
  <si>
    <t>TTS.PM.001.IPEA140.33</t>
  </si>
  <si>
    <t>Pilastro motore trave ipea140 x 3320 con foratura alloggiamento quadro motore (alleggerita)</t>
  </si>
  <si>
    <t>TTS.PM.001.IPEA140.34</t>
  </si>
  <si>
    <t>Pilastro motore trave ipea140 x 3420 con foratura alloggiamento quadro motore (alleggerita)</t>
  </si>
  <si>
    <t>TTS.PM.001.IPEA140.35</t>
  </si>
  <si>
    <t>Pilastro motore trave ipea140 x 3520 con foratura alloggiamento quadro motore (alleggerita)</t>
  </si>
  <si>
    <t>TTS.PM.001.IPEA140.36</t>
  </si>
  <si>
    <t>Pilastro motore trave ipea140 x 3620 con foratura alloggiamento quadro motore (alleggerita)</t>
  </si>
  <si>
    <t>TTS.PM.001.IPEA140.37</t>
  </si>
  <si>
    <t>Pilastro motore trave ipea140 x 3720 con foratura alloggiamento quadro motore (alleggerita)</t>
  </si>
  <si>
    <t>TTS.PM.001.IPEA140.38</t>
  </si>
  <si>
    <t>Pilastro motore trave ipea140 x 3820 con foratura alloggiamento quadro motore (alleggerita)</t>
  </si>
  <si>
    <t>TTS.PM.001.IPEA140.39</t>
  </si>
  <si>
    <t>Pilastro motore trave ipea140 x 3920 con foratura alloggiamento quadro motore (alleggerita)</t>
  </si>
  <si>
    <t>TTS.PM.001.IPEA140.40</t>
  </si>
  <si>
    <t>Pilastro motore trave ipea140 x 4020 con foratura alloggiamento quadro motore (alleggerita)</t>
  </si>
  <si>
    <t>TTS.PM.001.IPEA140.41</t>
  </si>
  <si>
    <t>Pilastro motore trave ipea140 x 4120 con foratura alloggiamento quadro motore (alleggerita)</t>
  </si>
  <si>
    <t>TTS.PM.001.IPEA140.42</t>
  </si>
  <si>
    <t>Pilastro motore trave ipea140 x 4220 con foratura alloggiamento quadro motore (alleggerita)</t>
  </si>
  <si>
    <t>TTS.PM.001.IPEA140.43</t>
  </si>
  <si>
    <t>Pilastro motore trave ipea140 x 4320 con foratura alloggiamento quadro motore (alleggerita)</t>
  </si>
  <si>
    <t>TTS.PM.001.IPEA140.44</t>
  </si>
  <si>
    <t>Pilastro motore trave ipea140 x 4420 con foratura alloggiamento quadro motore (alleggerita)</t>
  </si>
  <si>
    <t>TTS.AR.001.7200</t>
  </si>
  <si>
    <t>Asse lato motore 120x120x3 mm. lunghezza mt.7,20</t>
  </si>
  <si>
    <t>TTS.AR.001.7200.25</t>
  </si>
  <si>
    <t>Asse lato motore 120x120x2,5 mm. lunghezza mt.7,20</t>
  </si>
  <si>
    <t>TTS.AR.001.8250</t>
  </si>
  <si>
    <t>Asse lato motore 120x120x3 mm. lunghezza mt.8,25</t>
  </si>
  <si>
    <t>TTS.AR.001.8250.25</t>
  </si>
  <si>
    <t>Asse lato motore 120x120x2,5 mm. lunghezza mt.8,25</t>
  </si>
  <si>
    <t>TTS.AR.001.8700</t>
  </si>
  <si>
    <t>Asse lato motore 120x120x3 mm. lunghezza mt.8,70</t>
  </si>
  <si>
    <t>TTS.AR.001.8700.25</t>
  </si>
  <si>
    <t>Asse lato motore 120x120x2,5 mm. lunghezza mt.8,70</t>
  </si>
  <si>
    <t>TTS.AR.002.5000</t>
  </si>
  <si>
    <t>Asse esterno 120x120x3 mm. lunghezza mt.5,00</t>
  </si>
  <si>
    <t>TTS.AR.002.5000.25</t>
  </si>
  <si>
    <t>Asse esterno 120x120x2,5 mm. lunghezza mt.5,00</t>
  </si>
  <si>
    <t>TTS.AR.002.6150</t>
  </si>
  <si>
    <t>Asse esterno 120x120x3 mm. lunghezza mt.6,15</t>
  </si>
  <si>
    <t>TTS.AR.002.6150.25</t>
  </si>
  <si>
    <t>Asse esterno 120x120x2,5 mm. lunghezza mt.6,15</t>
  </si>
  <si>
    <t>TTS.AR.002.6300</t>
  </si>
  <si>
    <t>Asse esterno 120x120x3 mm. lunghezza mt.6,30</t>
  </si>
  <si>
    <t>TTS.AR.002.6300.25</t>
  </si>
  <si>
    <t>Asse esterno 120x120x2,5 mm. lunghezza mt.6,30</t>
  </si>
  <si>
    <t>TTS.AR.002.6756</t>
  </si>
  <si>
    <t>Asse esterno 120x120x3 mm. lunghezza mt.6,756</t>
  </si>
  <si>
    <t>TTS.AR.002.6756.25</t>
  </si>
  <si>
    <t>Asse esterno 120x120x2,5 mm. lunghezza mt.6,756</t>
  </si>
  <si>
    <t>TTS.AR.002.8250</t>
  </si>
  <si>
    <t>Primo asse centrale 120x120x3 mm. lunghezza mt.8,25</t>
  </si>
  <si>
    <t>TTS.AR.002.8250.25</t>
  </si>
  <si>
    <t>Primo asse centrale 120x120x2,5 mm. lunghezza mt.8,25</t>
  </si>
  <si>
    <t>TTS.AR.002.8645</t>
  </si>
  <si>
    <t>Asse esterno 120x120x3 mm. lunghezza mt.8,645</t>
  </si>
  <si>
    <t>TTS.AR.002.8645.25</t>
  </si>
  <si>
    <t>Asse esterno 120x120x2,5 mm. lunghezza mt.8,645</t>
  </si>
  <si>
    <t>TTS.AR.003.5000</t>
  </si>
  <si>
    <t>Secondo asse centrale 120x120x3 mm. lunghezza mt.5,000</t>
  </si>
  <si>
    <t>TTS.AR.003.5000.25</t>
  </si>
  <si>
    <t>Secondo asse centrale 120x120x2,5 mm. lunghezza mt.5,000</t>
  </si>
  <si>
    <t>TTS.AR.004.4800</t>
  </si>
  <si>
    <t>Asse esterno 120x120x3 mm. lunghezza mt.4,800</t>
  </si>
  <si>
    <t>TTS.AR.004.4800.25</t>
  </si>
  <si>
    <t>Asse esterno 120x120x2,5 mm. lunghezza mt.4,800</t>
  </si>
  <si>
    <t>TTS.AR.3011</t>
  </si>
  <si>
    <t>Supporto a L superiore omega</t>
  </si>
  <si>
    <t>TTS.AR.3012</t>
  </si>
  <si>
    <t>Supporto a V inferiore omega</t>
  </si>
  <si>
    <t>TTS.AR.3013</t>
  </si>
  <si>
    <t>Gaffa sotto omega</t>
  </si>
  <si>
    <t>TTS.AR.3014</t>
  </si>
  <si>
    <t>Omega supporto pannello</t>
  </si>
  <si>
    <t>TTS.AR.3014.18</t>
  </si>
  <si>
    <t>Omega supporto pannello mm1,8</t>
  </si>
  <si>
    <t>SCHEDA BULLONERIA — peso unitario e costo dei minuteria/bulloneria commerciale (bulloni, dadi, rondelle)</t>
  </si>
  <si>
    <t>Un rigo per codice nel blocco 'Parametri'. Peso unitario (kg) pre-compilato con valori nominali da tabelle standard (DIN 933/931 bulloni, DIN 985 dadi autobloccanti, DIN 125A rondelle) — da confermare/aggiornare a mano. Compilare il Costo (€/pz). Nel blocco 'Elenco' peso e costo sono richiamati via VLOOKUP; il LISTINO pesca da qui 'Peso elemento (kg)' e 'Prezzo unitario €'.</t>
  </si>
  <si>
    <t>BULLONERIA — parametri (confermare Peso unitario, compilare Costo €/pz)</t>
  </si>
  <si>
    <t>Peso unitario (kg)</t>
  </si>
  <si>
    <t>Costo (€/pz)</t>
  </si>
  <si>
    <t>06TAP120X120</t>
  </si>
  <si>
    <t>Tappo profilato 120x120</t>
  </si>
  <si>
    <t>10BZ10X30</t>
  </si>
  <si>
    <t>Bullone testa esagonale M10X30</t>
  </si>
  <si>
    <t>10BZ10X40</t>
  </si>
  <si>
    <t>Bullone testa esagonale zn M10X40</t>
  </si>
  <si>
    <t>10BZ16X140</t>
  </si>
  <si>
    <t>Bullone testa esagonale M16x140 mezzo filetto</t>
  </si>
  <si>
    <t>10BZM10X160</t>
  </si>
  <si>
    <t>Bullone testa esagonale zn M10X160</t>
  </si>
  <si>
    <t>10BZM10X30</t>
  </si>
  <si>
    <t>Bullone testa esagonale zn M10X30</t>
  </si>
  <si>
    <t>10BZM10X40</t>
  </si>
  <si>
    <t>Bullone testa esagonale M10X40</t>
  </si>
  <si>
    <t>10BZM16X25</t>
  </si>
  <si>
    <t>Bullone testa esagonale zn M16X25</t>
  </si>
  <si>
    <t>10BZM16X60</t>
  </si>
  <si>
    <t>Bullone testa esagonale M16X60</t>
  </si>
  <si>
    <t>10BZM5X20</t>
  </si>
  <si>
    <t>Bullone testa esagonale zn M5x20</t>
  </si>
  <si>
    <t>10BZM5X30</t>
  </si>
  <si>
    <t>Bullone testa esagonale zn M5x30</t>
  </si>
  <si>
    <t>10BZM6X150</t>
  </si>
  <si>
    <t>Bullone testa esagonale zn M6X150</t>
  </si>
  <si>
    <t>10BZM6X20</t>
  </si>
  <si>
    <t>Bullone testa esagonale zn M6X20</t>
  </si>
  <si>
    <t>10BZM6X25</t>
  </si>
  <si>
    <t>Bullone testa esagonale zn M6X30</t>
  </si>
  <si>
    <t>10BZM6X30</t>
  </si>
  <si>
    <t>10BZM8X150</t>
  </si>
  <si>
    <t>Bullone testa esagonale zn M8X150</t>
  </si>
  <si>
    <t>10BZM8X20</t>
  </si>
  <si>
    <t>Bullone testa esagonale zn M8X20</t>
  </si>
  <si>
    <t>10BZM8X25</t>
  </si>
  <si>
    <t>Bullone testa esagonale zn M8X25</t>
  </si>
  <si>
    <t>10BZM8X30</t>
  </si>
  <si>
    <t>Bullone testa esagonale zn M8X30</t>
  </si>
  <si>
    <t>10DADAZM8</t>
  </si>
  <si>
    <t>Dado autobloccante M8 zn</t>
  </si>
  <si>
    <t>10DAZAM10</t>
  </si>
  <si>
    <t>Dado autobloccante M10</t>
  </si>
  <si>
    <t>10DAZAM16</t>
  </si>
  <si>
    <t>Dado autobloccante M16</t>
  </si>
  <si>
    <t>10DAZAM5</t>
  </si>
  <si>
    <t>Dado zincato autobloc. M5</t>
  </si>
  <si>
    <t>10DAZAM6</t>
  </si>
  <si>
    <t>Dado autobloccante M6</t>
  </si>
  <si>
    <t>10DAZAM8</t>
  </si>
  <si>
    <t>Dado autobloccante M8</t>
  </si>
  <si>
    <t>10ROND10</t>
  </si>
  <si>
    <t>Rondella zn da 10</t>
  </si>
  <si>
    <t>10ROND16</t>
  </si>
  <si>
    <t>Rondella zn da 16</t>
  </si>
  <si>
    <t>10ROND5</t>
  </si>
  <si>
    <t>Rondella ZN da 5</t>
  </si>
  <si>
    <t>10ROND6</t>
  </si>
  <si>
    <t>Rondella zn 6</t>
  </si>
  <si>
    <t>10ROND8</t>
  </si>
  <si>
    <t>Rondella da 8 zn</t>
  </si>
  <si>
    <t>M5X30 8.8 ISO1207</t>
  </si>
  <si>
    <t>Bullone testa esagonale con intaglio M5x30</t>
  </si>
  <si>
    <t>BULLONERIA — elenco (peso e costo richiamati dai parametri qui sopra)</t>
  </si>
  <si>
    <t>Costo (€)</t>
  </si>
  <si>
    <t>SCHEDA ELETTROMECCANICA — peso unitario e costo dei materiali elettromeccanici commerciali</t>
  </si>
  <si>
    <t>Motoriduttore, cuscinetto asse, quadri/box, sensori e strumentazione. Articoli acquistati completi: compilare a mano 'Peso unitario (kg)' e 'Costo (€/pz)'. Il LISTINO pesca da qui 'Peso elemento (kg)' e 'Prezzo unitario €' per questi codici.</t>
  </si>
  <si>
    <t>CHSD7-60-S112-24.15.300-L1.2</t>
  </si>
  <si>
    <t>Motoriduttore</t>
  </si>
  <si>
    <t>ESQM_2_0_120_1</t>
  </si>
  <si>
    <t>Cuscinetto asse di rotazione</t>
  </si>
  <si>
    <t>15T-JUNCTBOXIP65</t>
  </si>
  <si>
    <t>Box centralina meteo</t>
  </si>
  <si>
    <t>B04601</t>
  </si>
  <si>
    <t>Quadro in vetroresina Pedro VTR 01</t>
  </si>
  <si>
    <t>10S-FC</t>
  </si>
  <si>
    <t>Sensore fine corsa elettrico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</si>
  <si>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</si>
  <si>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</si>
  <si>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</si>
  <si>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</si>
  <si>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</si>
  <si>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</si>
  <si>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</si>
  <si>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</si>
  <si>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TK1024S</t>
  </si>
  <si>
    <t>Inclinometro</t>
  </si>
  <si>
    <t>LISTINO COMPONENTI — Tracker TTS moduli 1303 (rev. 5)</t>
  </si>
  <si>
    <t>Elenco unico di tutti i componenti presenti nella distinta materiali. Compilare la colonna 'Prezzo unitario' per ottenere un listino valorizzato.</t>
  </si>
  <si>
    <t>N°</t>
  </si>
  <si>
    <t>Categoria</t>
  </si>
  <si>
    <t>U.M.</t>
  </si>
  <si>
    <t>Prezzo unitario €</t>
  </si>
  <si>
    <t>Presente nei kit / assiemi</t>
  </si>
  <si>
    <t>N° righe distinta</t>
  </si>
  <si>
    <t>Carpenteria metallica</t>
  </si>
  <si>
    <t>pz</t>
  </si>
  <si>
    <t>ASSI DI ROTAZIONE 1303</t>
  </si>
  <si>
    <t>KIT OMEGA+pannelli</t>
  </si>
  <si>
    <t>KIT INCLINOMETRO</t>
  </si>
  <si>
    <t>KIT FINE CORSA</t>
  </si>
  <si>
    <t>PILASTRO CUSCINETTO</t>
  </si>
  <si>
    <t>kit quadri inverter</t>
  </si>
  <si>
    <t>kit quadri area</t>
  </si>
  <si>
    <t>PILASTRO MOTORE, PILASTRO CUSCINETTO</t>
  </si>
  <si>
    <t>PILASTRO MOTORE</t>
  </si>
  <si>
    <t>PILASTRO MOTORE, kit quadro motore</t>
  </si>
  <si>
    <t>kit quadri centralina meteo</t>
  </si>
  <si>
    <t>kit quadro motore, kit quadri centralina meteo</t>
  </si>
  <si>
    <t>sensori meteo</t>
  </si>
  <si>
    <t>Omega alloggiamento kit sensore termometro a contatto</t>
  </si>
  <si>
    <t>Bulloneria e minuteria</t>
  </si>
  <si>
    <t>kit quadro motore, sensori meteo</t>
  </si>
  <si>
    <t>ASSI DI ROTAZIONE 1303, KIT INCLINOMETRO</t>
  </si>
  <si>
    <t>KIT OMEGA+pannelli, kit quadro motore, kit quadri centralina meteo, kit quadri area</t>
  </si>
  <si>
    <t>PILASTRO MOTORE, PILASTRO CUSCINETTO, ASSI DI ROTAZIONE 1303</t>
  </si>
  <si>
    <t>KIT FINE CORSA, KIT INCLINOMETRO, sensori meteo</t>
  </si>
  <si>
    <t>KIT OMEGA+pannelli, KIT FINE CORSA, kit quadro motore, kit quadri centralina meteo, sensori meteo</t>
  </si>
  <si>
    <t>ASSI DI ROTAZIONE 1303, KIT OMEGA+pannelli, KIT INCLINOMETRO, kit quadro motore, kit quadri centralina meteo, kit quadri area, kit quadri inverter</t>
  </si>
  <si>
    <t>PILASTRO MOTORE, PILASTRO CUSCINETTO, ASSI DI ROTAZIONE 1303, KIT OMEGA+pannelli</t>
  </si>
  <si>
    <t>PILASTRO MOTORE, PILASTRO CUSCINETTO, KIT FINE CORSA</t>
  </si>
  <si>
    <t>Motorizzazione</t>
  </si>
  <si>
    <t>Cuscinetti</t>
  </si>
  <si>
    <t>Quadristica ed elettrico</t>
  </si>
  <si>
    <t>Sensoristica e strumentazione</t>
  </si>
  <si>
    <t>Pannellino fotovoltaico optional</t>
  </si>
  <si>
    <t>Moduli fotovoltaici</t>
  </si>
  <si>
    <t>Pannello fotovoltaico</t>
  </si>
  <si>
    <t>Assieme / Kit</t>
  </si>
  <si>
    <t>Sezione</t>
  </si>
  <si>
    <t>Pos.</t>
  </si>
  <si>
    <t>Q.tà</t>
  </si>
  <si>
    <t>Q.tà 12 mod</t>
  </si>
  <si>
    <t>Q.tà 18 mod</t>
  </si>
  <si>
    <t>Q.tà 20 mod</t>
  </si>
  <si>
    <t>Q.tà 22 mod</t>
  </si>
  <si>
    <t>Q.tà 36 mod</t>
  </si>
  <si>
    <t>Q.tà 40 mod</t>
  </si>
  <si>
    <t>Già caricato altrove</t>
  </si>
  <si>
    <t>Importo €</t>
  </si>
  <si>
    <t>Pilastro motore trave IPE 140 mt.2,22</t>
  </si>
  <si>
    <t>Piastra giunzione interna240x25x6 (6 fori Ø 11)</t>
  </si>
  <si>
    <t>Pilastro fondazione trave IPE140 mt3,00</t>
  </si>
  <si>
    <t>Piastra giunzione montanti centrale 200x100x4 (8 fori Ø 11)</t>
  </si>
  <si>
    <t>12 MODULI 1303</t>
  </si>
  <si>
    <t>18 MODULI 1303</t>
  </si>
  <si>
    <t>Rondella zn 8</t>
  </si>
  <si>
    <t>Rondella zn 10</t>
  </si>
  <si>
    <t>20 MODULI 1303</t>
  </si>
  <si>
    <t>22 MODULI 1303</t>
  </si>
  <si>
    <t>36 MODULI 1303</t>
  </si>
  <si>
    <t>40 MODULI 1303</t>
  </si>
  <si>
    <t>Bullone testa esagonale zn M8x25</t>
  </si>
  <si>
    <t>1 KIT PER TRACKER</t>
  </si>
  <si>
    <t>Rondella zn 5</t>
  </si>
  <si>
    <t>Dado M5 autobloccante</t>
  </si>
  <si>
    <t>Dado M6 autobloccante</t>
  </si>
  <si>
    <t>Rondella zn 16</t>
  </si>
  <si>
    <t>Dado M8 autobloccante</t>
  </si>
  <si>
    <t>kit quadro motore</t>
  </si>
  <si>
    <t>X</t>
  </si>
  <si>
    <t>sensori meteo, al solito da stabilire con peppe</t>
  </si>
  <si>
    <t>kit sensore temperatura pannello</t>
  </si>
  <si>
    <t>da stabilre con peppe quantità e ubicazione</t>
  </si>
  <si>
    <t>2 tappi per ogni tracker</t>
  </si>
  <si>
    <t>TOTALE (escl. righe 'già caricato altrove')</t>
  </si>
  <si>
    <t>RIEPILOGO LISTINO</t>
  </si>
  <si>
    <t>Componenti unici a listino</t>
  </si>
  <si>
    <t>Righe di distinta totali (tutti i kit)</t>
  </si>
  <si>
    <t>Componenti unici per categoria</t>
  </si>
  <si>
    <t>Legenda</t>
  </si>
  <si>
    <t>• LISTINO: un record per ogni componente; 'Prezzo unitario' da compilare a cura ufficio acquisti.</t>
  </si>
  <si>
    <t>• DISTINTA COMPLETA: tutte le righe di tutti i fogli della distinta originale (vista integrale).</t>
  </si>
  <si>
    <t>• Colonne 'Q.tà NN mod': quantità previste per le sei configurazioni di tracker (dove indicate in origine).</t>
  </si>
  <si>
    <t>• 'Già caricato altrove' = X: articolo evidenziato in rosso nella distinta originale (non riconteggiare).</t>
  </si>
  <si>
    <t>• 'Importo €' e 'TOTALE' si calcolano automaticamente dopo aver compilato i prezzi nel foglio LISTINO.</t>
  </si>
  <si>
    <t>• 'Peso elemento (kg)' (LISTINO e DISTINTA): colonna da compilare a mano, un valore per riga.</t>
  </si>
  <si>
    <t>• Righe DISTINTA con Q.tà = 0: referenze alternative (varianti di spessore o lunghezza) create al rev.5, poste sotto l'articolo base; impostare la Q.tà quando la variante viene scelta in configurazione.</t>
  </si>
  <si>
    <t>• Referenze 'IPEA' (codice ...IPEA140...): travi alleggerite, duplicato di ogni pilastro/supporto IPE 140; in DISTINTA sono righe con Q.tà = 0 sotto la versione IPE.</t>
  </si>
  <si>
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</si>
  <si>
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</si>
  <si>
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</si>
  <si>
    <t>• Foglio 'SCHEDA ELETTROMECCANICA': tabella unica dei materiali elettromeccanici commerciali (motoriduttore, cuscinetto, quadri/box, sensori). Peso unitario (kg) e Costo (€/pz) da compilare a mano; nel LISTINO 'Peso elemento' e 'Prezzo unitario €' di questi codici arrivano da 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</si>
</sst>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1" formatCode="#,##0.0000\ &quot;kg&quot;"/>
    <numFmt numFmtId="172" formatCode="#,##0.000\ &quot;€&quot;"/>
    <numFmt numFmtId="173" formatCode="&quot;€ 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  <font>
      <i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tabSelected="1" workbookViewId="0">
      <pane ySplit="12" topLeftCell="A133" activePane="bottomLeft" state="frozen"/>
      <selection pane="bottomLeft" activeCell="C139" sqref="C139"/>
    </sheetView>
  </sheetViews>
  <sheetFormatPr defaultRowHeight="14.4" x14ac:dyDescent="0.3"/>
  <cols>
    <col min="1" max="1" width="26" customWidth="1"/>
    <col min="2" max="2" width="62" customWidth="1"/>
    <col min="3" max="3" width="12" customWidth="1"/>
    <col min="4" max="4" width="14" customWidth="1"/>
    <col min="5" max="5" width="18" customWidth="1"/>
    <col min="6" max="7" width="16" customWidth="1"/>
  </cols>
  <sheetData>
    <row r="1" spans="1:7" ht="15.6" customHeight="1" x14ac:dyDescent="0.3">
      <c r="A1" s="15" t="s">
        <v>61</v>
      </c>
    </row>
    <row r="2" spans="1:7" x14ac:dyDescent="0.3">
      <c r="A2" t="s">
        <v>62</v>
      </c>
    </row>
    <row r="4" spans="1:7" ht="27.6" customHeight="1" x14ac:dyDescent="0.3">
      <c r="A4" s="10" t="s">
        <v>63</v>
      </c>
      <c r="B4" s="10" t="s">
        <v>64</v>
      </c>
      <c r="C4" s="10" t="s">
        <v>6</v>
      </c>
      <c r="D4" s="10" t="s">
        <v>65</v>
      </c>
      <c r="E4" s="10" t="s">
        <v>8</v>
      </c>
      <c r="F4" s="10" t="s">
        <v>9</v>
      </c>
    </row>
    <row r="5" spans="1:7" x14ac:dyDescent="0.3">
      <c r="A5" t="s">
        <v>66</v>
      </c>
      <c r="B5" s="16">
        <v>12.9</v>
      </c>
      <c r="C5" s="17"/>
      <c r="D5" s="18">
        <f t="shared" ref="D5:D10" si="0">IF(ISNUMBER($B5),$B5*(1+IF(ISNUMBER($C5),$C5,0)),"")</f>
        <v>12.9</v>
      </c>
      <c r="E5" s="21"/>
      <c r="F5" s="21"/>
    </row>
    <row r="6" spans="1:7" x14ac:dyDescent="0.3">
      <c r="A6" t="s">
        <v>67</v>
      </c>
      <c r="B6" s="16">
        <v>10.9</v>
      </c>
      <c r="C6" s="17"/>
      <c r="D6" s="18">
        <f t="shared" si="0"/>
        <v>10.9</v>
      </c>
      <c r="E6" s="21"/>
      <c r="F6" s="21"/>
    </row>
    <row r="7" spans="1:7" x14ac:dyDescent="0.3">
      <c r="A7" t="s">
        <v>68</v>
      </c>
      <c r="B7" s="16">
        <v>11.8</v>
      </c>
      <c r="C7" s="17"/>
      <c r="D7" s="18">
        <f t="shared" si="0"/>
        <v>11.8</v>
      </c>
      <c r="E7" s="21"/>
      <c r="F7" s="21"/>
    </row>
    <row r="8" spans="1:7" x14ac:dyDescent="0.3">
      <c r="A8" t="s">
        <v>69</v>
      </c>
      <c r="B8" s="16">
        <v>9.1999999999999993</v>
      </c>
      <c r="C8" s="17"/>
      <c r="D8" s="18">
        <f t="shared" si="0"/>
        <v>9.1999999999999993</v>
      </c>
      <c r="E8" s="21"/>
      <c r="F8" s="21"/>
    </row>
    <row r="9" spans="1:7" x14ac:dyDescent="0.3">
      <c r="A9" t="s">
        <v>70</v>
      </c>
      <c r="B9" s="16">
        <v>3.9</v>
      </c>
      <c r="C9" s="17"/>
      <c r="D9" s="18">
        <f t="shared" si="0"/>
        <v>3.9</v>
      </c>
      <c r="E9" s="21"/>
      <c r="F9" s="21"/>
    </row>
    <row r="10" spans="1:7" x14ac:dyDescent="0.3">
      <c r="A10" t="s">
        <v>71</v>
      </c>
      <c r="B10" s="16">
        <v>3.51</v>
      </c>
      <c r="C10" s="17"/>
      <c r="D10" s="18">
        <f t="shared" si="0"/>
        <v>3.51</v>
      </c>
      <c r="E10" s="21"/>
      <c r="F10" s="21"/>
    </row>
    <row r="11" spans="1:7" x14ac:dyDescent="0.3">
      <c r="B11" s="18"/>
      <c r="C11" s="17"/>
      <c r="D11" s="18"/>
      <c r="E11" s="21"/>
      <c r="F11" s="21"/>
    </row>
    <row r="12" spans="1:7" x14ac:dyDescent="0.3">
      <c r="A12" s="10" t="s">
        <v>57</v>
      </c>
      <c r="B12" s="10" t="s">
        <v>4</v>
      </c>
      <c r="C12" s="10" t="s">
        <v>63</v>
      </c>
      <c r="D12" s="10" t="s">
        <v>72</v>
      </c>
      <c r="E12" s="10" t="s">
        <v>58</v>
      </c>
      <c r="F12" s="10" t="s">
        <v>59</v>
      </c>
      <c r="G12" s="10" t="s">
        <v>60</v>
      </c>
    </row>
    <row r="13" spans="1:7" x14ac:dyDescent="0.3">
      <c r="A13" t="s">
        <v>73</v>
      </c>
      <c r="B13" t="s">
        <v>74</v>
      </c>
      <c r="C13" s="13" t="s">
        <v>66</v>
      </c>
      <c r="D13" s="19">
        <v>2.2999999999999998</v>
      </c>
      <c r="E13" s="20">
        <f t="shared" ref="E13:E44" si="1">IF(AND(ISNUMBER($D13),ISNUMBER(VLOOKUP($C13,$A$5:$F$11,4,FALSE))),$D13*VLOOKUP($C13,$A$5:$F$11,4,FALSE),"")</f>
        <v>29.669999999999998</v>
      </c>
      <c r="F13" s="12" t="str">
        <f t="shared" ref="F13:F44" si="2">IF(AND(ISNUMBER($D13),ISNUMBER(VLOOKUP($C13,$A$5:$F$11,2,FALSE)),ISNUMBER(VLOOKUP($C13,$A$5:$F$11,5,FALSE))),$D13*VLOOKUP($C13,$A$5:$F$11,2,FALSE)*VLOOKUP($C13,$A$5:$F$11,5,FALSE),"")</f>
        <v/>
      </c>
      <c r="G13" s="12" t="str">
        <f t="shared" ref="G13:G44" si="3"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 spans="1:7" x14ac:dyDescent="0.3">
      <c r="A14" t="s">
        <v>75</v>
      </c>
      <c r="B14" t="s">
        <v>76</v>
      </c>
      <c r="C14" s="13" t="s">
        <v>66</v>
      </c>
      <c r="D14" s="19">
        <v>2.2999999999999998</v>
      </c>
      <c r="E14" s="20">
        <f t="shared" si="1"/>
        <v>29.669999999999998</v>
      </c>
      <c r="F14" s="12" t="str">
        <f t="shared" si="2"/>
        <v/>
      </c>
      <c r="G14" s="12" t="str">
        <f t="shared" si="3"/>
        <v/>
      </c>
    </row>
    <row r="15" spans="1:7" x14ac:dyDescent="0.3">
      <c r="A15" t="s">
        <v>77</v>
      </c>
      <c r="B15" t="s">
        <v>78</v>
      </c>
      <c r="C15" s="13" t="s">
        <v>66</v>
      </c>
      <c r="D15" s="19">
        <v>2.2999999999999998</v>
      </c>
      <c r="E15" s="20">
        <f t="shared" si="1"/>
        <v>29.669999999999998</v>
      </c>
      <c r="F15" s="12" t="str">
        <f t="shared" si="2"/>
        <v/>
      </c>
      <c r="G15" s="12" t="str">
        <f t="shared" si="3"/>
        <v/>
      </c>
    </row>
    <row r="16" spans="1:7" x14ac:dyDescent="0.3">
      <c r="A16" t="s">
        <v>79</v>
      </c>
      <c r="B16" t="s">
        <v>80</v>
      </c>
      <c r="C16" s="13" t="s">
        <v>66</v>
      </c>
      <c r="D16" s="19">
        <v>2.8</v>
      </c>
      <c r="E16" s="20">
        <f t="shared" si="1"/>
        <v>36.119999999999997</v>
      </c>
      <c r="F16" s="12" t="str">
        <f t="shared" si="2"/>
        <v/>
      </c>
      <c r="G16" s="12" t="str">
        <f t="shared" si="3"/>
        <v/>
      </c>
    </row>
    <row r="17" spans="1:7" x14ac:dyDescent="0.3">
      <c r="A17" t="s">
        <v>81</v>
      </c>
      <c r="B17" t="s">
        <v>82</v>
      </c>
      <c r="C17" s="13" t="s">
        <v>66</v>
      </c>
      <c r="D17" s="19">
        <v>2.9</v>
      </c>
      <c r="E17" s="20">
        <f t="shared" si="1"/>
        <v>37.409999999999997</v>
      </c>
      <c r="F17" s="12" t="str">
        <f t="shared" si="2"/>
        <v/>
      </c>
      <c r="G17" s="12" t="str">
        <f t="shared" si="3"/>
        <v/>
      </c>
    </row>
    <row r="18" spans="1:7" x14ac:dyDescent="0.3">
      <c r="A18" t="s">
        <v>83</v>
      </c>
      <c r="B18" t="s">
        <v>84</v>
      </c>
      <c r="C18" s="13" t="s">
        <v>66</v>
      </c>
      <c r="D18" s="19">
        <v>3</v>
      </c>
      <c r="E18" s="20">
        <f t="shared" si="1"/>
        <v>38.700000000000003</v>
      </c>
      <c r="F18" s="12" t="str">
        <f t="shared" si="2"/>
        <v/>
      </c>
      <c r="G18" s="12" t="str">
        <f t="shared" si="3"/>
        <v/>
      </c>
    </row>
    <row r="19" spans="1:7" x14ac:dyDescent="0.3">
      <c r="A19" t="s">
        <v>85</v>
      </c>
      <c r="B19" t="s">
        <v>86</v>
      </c>
      <c r="C19" s="13" t="s">
        <v>66</v>
      </c>
      <c r="D19" s="19">
        <v>3.1</v>
      </c>
      <c r="E19" s="20">
        <f t="shared" si="1"/>
        <v>39.99</v>
      </c>
      <c r="F19" s="12" t="str">
        <f t="shared" si="2"/>
        <v/>
      </c>
      <c r="G19" s="12" t="str">
        <f t="shared" si="3"/>
        <v/>
      </c>
    </row>
    <row r="20" spans="1:7" x14ac:dyDescent="0.3">
      <c r="A20" t="s">
        <v>87</v>
      </c>
      <c r="B20" t="s">
        <v>88</v>
      </c>
      <c r="C20" s="13" t="s">
        <v>66</v>
      </c>
      <c r="D20" s="19">
        <v>3.2</v>
      </c>
      <c r="E20" s="20">
        <f t="shared" si="1"/>
        <v>41.28</v>
      </c>
      <c r="F20" s="12" t="str">
        <f t="shared" si="2"/>
        <v/>
      </c>
      <c r="G20" s="12" t="str">
        <f t="shared" si="3"/>
        <v/>
      </c>
    </row>
    <row r="21" spans="1:7" x14ac:dyDescent="0.3">
      <c r="A21" t="s">
        <v>89</v>
      </c>
      <c r="B21" t="s">
        <v>90</v>
      </c>
      <c r="C21" s="13" t="s">
        <v>66</v>
      </c>
      <c r="D21" s="19">
        <v>3.3</v>
      </c>
      <c r="E21" s="20">
        <f t="shared" si="1"/>
        <v>42.57</v>
      </c>
      <c r="F21" s="12" t="str">
        <f t="shared" si="2"/>
        <v/>
      </c>
      <c r="G21" s="12" t="str">
        <f t="shared" si="3"/>
        <v/>
      </c>
    </row>
    <row r="22" spans="1:7" x14ac:dyDescent="0.3">
      <c r="A22" t="s">
        <v>91</v>
      </c>
      <c r="B22" t="s">
        <v>92</v>
      </c>
      <c r="C22" s="13" t="s">
        <v>66</v>
      </c>
      <c r="D22" s="19">
        <v>3.4</v>
      </c>
      <c r="E22" s="20">
        <f t="shared" si="1"/>
        <v>43.86</v>
      </c>
      <c r="F22" s="12" t="str">
        <f t="shared" si="2"/>
        <v/>
      </c>
      <c r="G22" s="12" t="str">
        <f t="shared" si="3"/>
        <v/>
      </c>
    </row>
    <row r="23" spans="1:7" x14ac:dyDescent="0.3">
      <c r="A23" t="s">
        <v>93</v>
      </c>
      <c r="B23" t="s">
        <v>94</v>
      </c>
      <c r="C23" s="13" t="s">
        <v>66</v>
      </c>
      <c r="D23" s="19">
        <v>3.5</v>
      </c>
      <c r="E23" s="20">
        <f t="shared" si="1"/>
        <v>45.15</v>
      </c>
      <c r="F23" s="12" t="str">
        <f t="shared" si="2"/>
        <v/>
      </c>
      <c r="G23" s="12" t="str">
        <f t="shared" si="3"/>
        <v/>
      </c>
    </row>
    <row r="24" spans="1:7" x14ac:dyDescent="0.3">
      <c r="A24" t="s">
        <v>95</v>
      </c>
      <c r="B24" t="s">
        <v>96</v>
      </c>
      <c r="C24" s="13" t="s">
        <v>66</v>
      </c>
      <c r="D24" s="19">
        <v>3.6</v>
      </c>
      <c r="E24" s="20">
        <f t="shared" si="1"/>
        <v>46.440000000000005</v>
      </c>
      <c r="F24" s="12" t="str">
        <f t="shared" si="2"/>
        <v/>
      </c>
      <c r="G24" s="12" t="str">
        <f t="shared" si="3"/>
        <v/>
      </c>
    </row>
    <row r="25" spans="1:7" x14ac:dyDescent="0.3">
      <c r="A25" t="s">
        <v>97</v>
      </c>
      <c r="B25" t="s">
        <v>98</v>
      </c>
      <c r="C25" s="13" t="s">
        <v>66</v>
      </c>
      <c r="D25" s="19">
        <v>3.7</v>
      </c>
      <c r="E25" s="20">
        <f t="shared" si="1"/>
        <v>47.730000000000004</v>
      </c>
      <c r="F25" s="12" t="str">
        <f t="shared" si="2"/>
        <v/>
      </c>
      <c r="G25" s="12" t="str">
        <f t="shared" si="3"/>
        <v/>
      </c>
    </row>
    <row r="26" spans="1:7" x14ac:dyDescent="0.3">
      <c r="A26" t="s">
        <v>99</v>
      </c>
      <c r="B26" t="s">
        <v>100</v>
      </c>
      <c r="C26" s="13" t="s">
        <v>66</v>
      </c>
      <c r="D26" s="19">
        <v>3.8</v>
      </c>
      <c r="E26" s="20">
        <f t="shared" si="1"/>
        <v>49.019999999999996</v>
      </c>
      <c r="F26" s="12" t="str">
        <f t="shared" si="2"/>
        <v/>
      </c>
      <c r="G26" s="12" t="str">
        <f t="shared" si="3"/>
        <v/>
      </c>
    </row>
    <row r="27" spans="1:7" x14ac:dyDescent="0.3">
      <c r="A27" t="s">
        <v>101</v>
      </c>
      <c r="B27" t="s">
        <v>102</v>
      </c>
      <c r="C27" s="13" t="s">
        <v>66</v>
      </c>
      <c r="D27" s="19">
        <v>3.9</v>
      </c>
      <c r="E27" s="20">
        <f t="shared" si="1"/>
        <v>50.31</v>
      </c>
      <c r="F27" s="12" t="str">
        <f t="shared" si="2"/>
        <v/>
      </c>
      <c r="G27" s="12" t="str">
        <f t="shared" si="3"/>
        <v/>
      </c>
    </row>
    <row r="28" spans="1:7" x14ac:dyDescent="0.3">
      <c r="A28" t="s">
        <v>103</v>
      </c>
      <c r="B28" t="s">
        <v>104</v>
      </c>
      <c r="C28" s="13" t="s">
        <v>66</v>
      </c>
      <c r="D28" s="19">
        <v>4</v>
      </c>
      <c r="E28" s="20">
        <f t="shared" si="1"/>
        <v>51.6</v>
      </c>
      <c r="F28" s="12" t="str">
        <f t="shared" si="2"/>
        <v/>
      </c>
      <c r="G28" s="12" t="str">
        <f t="shared" si="3"/>
        <v/>
      </c>
    </row>
    <row r="29" spans="1:7" x14ac:dyDescent="0.3">
      <c r="A29" t="s">
        <v>105</v>
      </c>
      <c r="B29" t="s">
        <v>106</v>
      </c>
      <c r="C29" s="13" t="s">
        <v>66</v>
      </c>
      <c r="D29" s="19">
        <v>4.0999999999999996</v>
      </c>
      <c r="E29" s="20">
        <f t="shared" si="1"/>
        <v>52.889999999999993</v>
      </c>
      <c r="F29" s="12" t="str">
        <f t="shared" si="2"/>
        <v/>
      </c>
      <c r="G29" s="12" t="str">
        <f t="shared" si="3"/>
        <v/>
      </c>
    </row>
    <row r="30" spans="1:7" x14ac:dyDescent="0.3">
      <c r="A30" t="s">
        <v>107</v>
      </c>
      <c r="B30" t="s">
        <v>108</v>
      </c>
      <c r="C30" s="13" t="s">
        <v>66</v>
      </c>
      <c r="D30" s="19">
        <v>4.2</v>
      </c>
      <c r="E30" s="20">
        <f t="shared" si="1"/>
        <v>54.180000000000007</v>
      </c>
      <c r="F30" s="12" t="str">
        <f t="shared" si="2"/>
        <v/>
      </c>
      <c r="G30" s="12" t="str">
        <f t="shared" si="3"/>
        <v/>
      </c>
    </row>
    <row r="31" spans="1:7" x14ac:dyDescent="0.3">
      <c r="A31" t="s">
        <v>109</v>
      </c>
      <c r="B31" t="s">
        <v>110</v>
      </c>
      <c r="C31" s="13" t="s">
        <v>66</v>
      </c>
      <c r="D31" s="19">
        <v>4.3</v>
      </c>
      <c r="E31" s="20">
        <f t="shared" si="1"/>
        <v>55.47</v>
      </c>
      <c r="F31" s="12" t="str">
        <f t="shared" si="2"/>
        <v/>
      </c>
      <c r="G31" s="12" t="str">
        <f t="shared" si="3"/>
        <v/>
      </c>
    </row>
    <row r="32" spans="1:7" x14ac:dyDescent="0.3">
      <c r="A32" t="s">
        <v>111</v>
      </c>
      <c r="B32" t="s">
        <v>112</v>
      </c>
      <c r="C32" s="13" t="s">
        <v>66</v>
      </c>
      <c r="D32" s="19">
        <v>4.4000000000000004</v>
      </c>
      <c r="E32" s="20">
        <f t="shared" si="1"/>
        <v>56.760000000000005</v>
      </c>
      <c r="F32" s="12" t="str">
        <f t="shared" si="2"/>
        <v/>
      </c>
      <c r="G32" s="12" t="str">
        <f t="shared" si="3"/>
        <v/>
      </c>
    </row>
    <row r="33" spans="1:7" x14ac:dyDescent="0.3">
      <c r="A33" t="s">
        <v>113</v>
      </c>
      <c r="B33" t="s">
        <v>114</v>
      </c>
      <c r="C33" s="13" t="s">
        <v>66</v>
      </c>
      <c r="D33" s="19">
        <v>4.5</v>
      </c>
      <c r="E33" s="20">
        <f t="shared" si="1"/>
        <v>58.050000000000004</v>
      </c>
      <c r="F33" s="12" t="str">
        <f t="shared" si="2"/>
        <v/>
      </c>
      <c r="G33" s="12" t="str">
        <f t="shared" si="3"/>
        <v/>
      </c>
    </row>
    <row r="34" spans="1:7" x14ac:dyDescent="0.3">
      <c r="A34" t="s">
        <v>115</v>
      </c>
      <c r="B34" t="s">
        <v>116</v>
      </c>
      <c r="C34" s="13" t="s">
        <v>67</v>
      </c>
      <c r="D34" s="19">
        <v>2.2999999999999998</v>
      </c>
      <c r="E34" s="20">
        <f t="shared" si="1"/>
        <v>25.07</v>
      </c>
      <c r="F34" s="12" t="str">
        <f t="shared" si="2"/>
        <v/>
      </c>
      <c r="G34" s="12" t="str">
        <f t="shared" si="3"/>
        <v/>
      </c>
    </row>
    <row r="35" spans="1:7" x14ac:dyDescent="0.3">
      <c r="A35" t="s">
        <v>117</v>
      </c>
      <c r="B35" t="s">
        <v>118</v>
      </c>
      <c r="C35" s="13" t="s">
        <v>67</v>
      </c>
      <c r="D35" s="19">
        <v>2.2999999999999998</v>
      </c>
      <c r="E35" s="20">
        <f t="shared" si="1"/>
        <v>25.07</v>
      </c>
      <c r="F35" s="12" t="str">
        <f t="shared" si="2"/>
        <v/>
      </c>
      <c r="G35" s="12" t="str">
        <f t="shared" si="3"/>
        <v/>
      </c>
    </row>
    <row r="36" spans="1:7" x14ac:dyDescent="0.3">
      <c r="A36" t="s">
        <v>119</v>
      </c>
      <c r="B36" t="s">
        <v>120</v>
      </c>
      <c r="C36" s="13" t="s">
        <v>67</v>
      </c>
      <c r="D36" s="19">
        <v>2.2999999999999998</v>
      </c>
      <c r="E36" s="20">
        <f t="shared" si="1"/>
        <v>25.07</v>
      </c>
      <c r="F36" s="12" t="str">
        <f t="shared" si="2"/>
        <v/>
      </c>
      <c r="G36" s="12" t="str">
        <f t="shared" si="3"/>
        <v/>
      </c>
    </row>
    <row r="37" spans="1:7" x14ac:dyDescent="0.3">
      <c r="A37" t="s">
        <v>121</v>
      </c>
      <c r="B37" t="s">
        <v>122</v>
      </c>
      <c r="C37" s="13" t="s">
        <v>67</v>
      </c>
      <c r="D37" s="19">
        <v>2.8</v>
      </c>
      <c r="E37" s="20">
        <f t="shared" si="1"/>
        <v>30.52</v>
      </c>
      <c r="F37" s="12" t="str">
        <f t="shared" si="2"/>
        <v/>
      </c>
      <c r="G37" s="12" t="str">
        <f t="shared" si="3"/>
        <v/>
      </c>
    </row>
    <row r="38" spans="1:7" x14ac:dyDescent="0.3">
      <c r="A38" t="s">
        <v>123</v>
      </c>
      <c r="B38" t="s">
        <v>124</v>
      </c>
      <c r="C38" s="13" t="s">
        <v>67</v>
      </c>
      <c r="D38" s="19">
        <v>2.9</v>
      </c>
      <c r="E38" s="20">
        <f t="shared" si="1"/>
        <v>31.61</v>
      </c>
      <c r="F38" s="12" t="str">
        <f t="shared" si="2"/>
        <v/>
      </c>
      <c r="G38" s="12" t="str">
        <f t="shared" si="3"/>
        <v/>
      </c>
    </row>
    <row r="39" spans="1:7" x14ac:dyDescent="0.3">
      <c r="A39" t="s">
        <v>125</v>
      </c>
      <c r="B39" t="s">
        <v>126</v>
      </c>
      <c r="C39" s="13" t="s">
        <v>67</v>
      </c>
      <c r="D39" s="19">
        <v>3</v>
      </c>
      <c r="E39" s="20">
        <f t="shared" si="1"/>
        <v>32.700000000000003</v>
      </c>
      <c r="F39" s="12" t="str">
        <f t="shared" si="2"/>
        <v/>
      </c>
      <c r="G39" s="12" t="str">
        <f t="shared" si="3"/>
        <v/>
      </c>
    </row>
    <row r="40" spans="1:7" x14ac:dyDescent="0.3">
      <c r="A40" t="s">
        <v>127</v>
      </c>
      <c r="B40" t="s">
        <v>128</v>
      </c>
      <c r="C40" s="13" t="s">
        <v>67</v>
      </c>
      <c r="D40" s="19">
        <v>3.1</v>
      </c>
      <c r="E40" s="20">
        <f t="shared" si="1"/>
        <v>33.79</v>
      </c>
      <c r="F40" s="12" t="str">
        <f t="shared" si="2"/>
        <v/>
      </c>
      <c r="G40" s="12" t="str">
        <f t="shared" si="3"/>
        <v/>
      </c>
    </row>
    <row r="41" spans="1:7" x14ac:dyDescent="0.3">
      <c r="A41" t="s">
        <v>129</v>
      </c>
      <c r="B41" t="s">
        <v>130</v>
      </c>
      <c r="C41" s="13" t="s">
        <v>67</v>
      </c>
      <c r="D41" s="19">
        <v>3.2</v>
      </c>
      <c r="E41" s="20">
        <f t="shared" si="1"/>
        <v>34.880000000000003</v>
      </c>
      <c r="F41" s="12" t="str">
        <f t="shared" si="2"/>
        <v/>
      </c>
      <c r="G41" s="12" t="str">
        <f t="shared" si="3"/>
        <v/>
      </c>
    </row>
    <row r="42" spans="1:7" x14ac:dyDescent="0.3">
      <c r="A42" t="s">
        <v>131</v>
      </c>
      <c r="B42" t="s">
        <v>132</v>
      </c>
      <c r="C42" s="13" t="s">
        <v>67</v>
      </c>
      <c r="D42" s="19">
        <v>3.3</v>
      </c>
      <c r="E42" s="20">
        <f t="shared" si="1"/>
        <v>35.97</v>
      </c>
      <c r="F42" s="12" t="str">
        <f t="shared" si="2"/>
        <v/>
      </c>
      <c r="G42" s="12" t="str">
        <f t="shared" si="3"/>
        <v/>
      </c>
    </row>
    <row r="43" spans="1:7" x14ac:dyDescent="0.3">
      <c r="A43" t="s">
        <v>133</v>
      </c>
      <c r="B43" t="s">
        <v>134</v>
      </c>
      <c r="C43" s="13" t="s">
        <v>67</v>
      </c>
      <c r="D43" s="19">
        <v>3.4</v>
      </c>
      <c r="E43" s="20">
        <f t="shared" si="1"/>
        <v>37.06</v>
      </c>
      <c r="F43" s="12" t="str">
        <f t="shared" si="2"/>
        <v/>
      </c>
      <c r="G43" s="12" t="str">
        <f t="shared" si="3"/>
        <v/>
      </c>
    </row>
    <row r="44" spans="1:7" x14ac:dyDescent="0.3">
      <c r="A44" t="s">
        <v>135</v>
      </c>
      <c r="B44" t="s">
        <v>136</v>
      </c>
      <c r="C44" s="13" t="s">
        <v>67</v>
      </c>
      <c r="D44" s="19">
        <v>3.5</v>
      </c>
      <c r="E44" s="20">
        <f t="shared" si="1"/>
        <v>38.15</v>
      </c>
      <c r="F44" s="12" t="str">
        <f t="shared" si="2"/>
        <v/>
      </c>
      <c r="G44" s="12" t="str">
        <f t="shared" si="3"/>
        <v/>
      </c>
    </row>
    <row r="45" spans="1:7" x14ac:dyDescent="0.3">
      <c r="A45" t="s">
        <v>137</v>
      </c>
      <c r="B45" t="s">
        <v>138</v>
      </c>
      <c r="C45" s="13" t="s">
        <v>67</v>
      </c>
      <c r="D45" s="19">
        <v>3.6</v>
      </c>
      <c r="E45" s="20">
        <f t="shared" ref="E45:E76" si="4">IF(AND(ISNUMBER($D45),ISNUMBER(VLOOKUP($C45,$A$5:$F$11,4,FALSE))),$D45*VLOOKUP($C45,$A$5:$F$11,4,FALSE),"")</f>
        <v>39.24</v>
      </c>
      <c r="F45" s="12" t="str">
        <f t="shared" ref="F45:F76" si="5">IF(AND(ISNUMBER($D45),ISNUMBER(VLOOKUP($C45,$A$5:$F$11,2,FALSE)),ISNUMBER(VLOOKUP($C45,$A$5:$F$11,5,FALSE))),$D45*VLOOKUP($C45,$A$5:$F$11,2,FALSE)*VLOOKUP($C45,$A$5:$F$11,5,FALSE),"")</f>
        <v/>
      </c>
      <c r="G45" s="12" t="str">
        <f t="shared" ref="G45:G76" si="6"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 spans="1:7" x14ac:dyDescent="0.3">
      <c r="A46" t="s">
        <v>139</v>
      </c>
      <c r="B46" t="s">
        <v>140</v>
      </c>
      <c r="C46" s="13" t="s">
        <v>67</v>
      </c>
      <c r="D46" s="19">
        <v>3.7</v>
      </c>
      <c r="E46" s="20">
        <f t="shared" si="4"/>
        <v>40.330000000000005</v>
      </c>
      <c r="F46" s="12" t="str">
        <f t="shared" si="5"/>
        <v/>
      </c>
      <c r="G46" s="12" t="str">
        <f t="shared" si="6"/>
        <v/>
      </c>
    </row>
    <row r="47" spans="1:7" x14ac:dyDescent="0.3">
      <c r="A47" t="s">
        <v>141</v>
      </c>
      <c r="B47" t="s">
        <v>142</v>
      </c>
      <c r="C47" s="13" t="s">
        <v>67</v>
      </c>
      <c r="D47" s="19">
        <v>3.8</v>
      </c>
      <c r="E47" s="20">
        <f t="shared" si="4"/>
        <v>41.42</v>
      </c>
      <c r="F47" s="12" t="str">
        <f t="shared" si="5"/>
        <v/>
      </c>
      <c r="G47" s="12" t="str">
        <f t="shared" si="6"/>
        <v/>
      </c>
    </row>
    <row r="48" spans="1:7" x14ac:dyDescent="0.3">
      <c r="A48" t="s">
        <v>143</v>
      </c>
      <c r="B48" t="s">
        <v>144</v>
      </c>
      <c r="C48" s="13" t="s">
        <v>67</v>
      </c>
      <c r="D48" s="19">
        <v>3.9</v>
      </c>
      <c r="E48" s="20">
        <f t="shared" si="4"/>
        <v>42.51</v>
      </c>
      <c r="F48" s="12" t="str">
        <f t="shared" si="5"/>
        <v/>
      </c>
      <c r="G48" s="12" t="str">
        <f t="shared" si="6"/>
        <v/>
      </c>
    </row>
    <row r="49" spans="1:7" x14ac:dyDescent="0.3">
      <c r="A49" t="s">
        <v>145</v>
      </c>
      <c r="B49" t="s">
        <v>146</v>
      </c>
      <c r="C49" s="13" t="s">
        <v>67</v>
      </c>
      <c r="D49" s="19">
        <v>4</v>
      </c>
      <c r="E49" s="20">
        <f t="shared" si="4"/>
        <v>43.6</v>
      </c>
      <c r="F49" s="12" t="str">
        <f t="shared" si="5"/>
        <v/>
      </c>
      <c r="G49" s="12" t="str">
        <f t="shared" si="6"/>
        <v/>
      </c>
    </row>
    <row r="50" spans="1:7" x14ac:dyDescent="0.3">
      <c r="A50" t="s">
        <v>147</v>
      </c>
      <c r="B50" t="s">
        <v>148</v>
      </c>
      <c r="C50" s="13" t="s">
        <v>67</v>
      </c>
      <c r="D50" s="19">
        <v>4.0999999999999996</v>
      </c>
      <c r="E50" s="20">
        <f t="shared" si="4"/>
        <v>44.69</v>
      </c>
      <c r="F50" s="12" t="str">
        <f t="shared" si="5"/>
        <v/>
      </c>
      <c r="G50" s="12" t="str">
        <f t="shared" si="6"/>
        <v/>
      </c>
    </row>
    <row r="51" spans="1:7" x14ac:dyDescent="0.3">
      <c r="A51" t="s">
        <v>149</v>
      </c>
      <c r="B51" t="s">
        <v>150</v>
      </c>
      <c r="C51" s="13" t="s">
        <v>67</v>
      </c>
      <c r="D51" s="19">
        <v>4.2</v>
      </c>
      <c r="E51" s="20">
        <f t="shared" si="4"/>
        <v>45.78</v>
      </c>
      <c r="F51" s="12" t="str">
        <f t="shared" si="5"/>
        <v/>
      </c>
      <c r="G51" s="12" t="str">
        <f t="shared" si="6"/>
        <v/>
      </c>
    </row>
    <row r="52" spans="1:7" x14ac:dyDescent="0.3">
      <c r="A52" t="s">
        <v>151</v>
      </c>
      <c r="B52" t="s">
        <v>152</v>
      </c>
      <c r="C52" s="13" t="s">
        <v>67</v>
      </c>
      <c r="D52" s="19">
        <v>4.3</v>
      </c>
      <c r="E52" s="20">
        <f t="shared" si="4"/>
        <v>46.87</v>
      </c>
      <c r="F52" s="12" t="str">
        <f t="shared" si="5"/>
        <v/>
      </c>
      <c r="G52" s="12" t="str">
        <f t="shared" si="6"/>
        <v/>
      </c>
    </row>
    <row r="53" spans="1:7" x14ac:dyDescent="0.3">
      <c r="A53" t="s">
        <v>153</v>
      </c>
      <c r="B53" t="s">
        <v>154</v>
      </c>
      <c r="C53" s="13" t="s">
        <v>67</v>
      </c>
      <c r="D53" s="19">
        <v>4.4000000000000004</v>
      </c>
      <c r="E53" s="20">
        <f t="shared" si="4"/>
        <v>47.960000000000008</v>
      </c>
      <c r="F53" s="12" t="str">
        <f t="shared" si="5"/>
        <v/>
      </c>
      <c r="G53" s="12" t="str">
        <f t="shared" si="6"/>
        <v/>
      </c>
    </row>
    <row r="54" spans="1:7" x14ac:dyDescent="0.3">
      <c r="A54" t="s">
        <v>155</v>
      </c>
      <c r="B54" t="s">
        <v>156</v>
      </c>
      <c r="C54" s="13" t="s">
        <v>67</v>
      </c>
      <c r="D54" s="19">
        <v>4.5</v>
      </c>
      <c r="E54" s="20">
        <f t="shared" si="4"/>
        <v>49.050000000000004</v>
      </c>
      <c r="F54" s="12" t="str">
        <f t="shared" si="5"/>
        <v/>
      </c>
      <c r="G54" s="12" t="str">
        <f t="shared" si="6"/>
        <v/>
      </c>
    </row>
    <row r="55" spans="1:7" x14ac:dyDescent="0.3">
      <c r="A55" t="s">
        <v>157</v>
      </c>
      <c r="B55" t="s">
        <v>158</v>
      </c>
      <c r="C55" s="13" t="s">
        <v>66</v>
      </c>
      <c r="D55" s="19">
        <v>2.6</v>
      </c>
      <c r="E55" s="20">
        <f t="shared" si="4"/>
        <v>33.54</v>
      </c>
      <c r="F55" s="12" t="str">
        <f t="shared" si="5"/>
        <v/>
      </c>
      <c r="G55" s="12" t="str">
        <f t="shared" si="6"/>
        <v/>
      </c>
    </row>
    <row r="56" spans="1:7" x14ac:dyDescent="0.3">
      <c r="A56" t="s">
        <v>159</v>
      </c>
      <c r="B56" t="s">
        <v>160</v>
      </c>
      <c r="C56" s="13" t="s">
        <v>66</v>
      </c>
      <c r="D56" s="19">
        <v>2.7</v>
      </c>
      <c r="E56" s="20">
        <f t="shared" si="4"/>
        <v>34.830000000000005</v>
      </c>
      <c r="F56" s="12" t="str">
        <f t="shared" si="5"/>
        <v/>
      </c>
      <c r="G56" s="12" t="str">
        <f t="shared" si="6"/>
        <v/>
      </c>
    </row>
    <row r="57" spans="1:7" x14ac:dyDescent="0.3">
      <c r="A57" t="s">
        <v>161</v>
      </c>
      <c r="B57" t="s">
        <v>162</v>
      </c>
      <c r="C57" s="13" t="s">
        <v>66</v>
      </c>
      <c r="D57" s="19">
        <v>2.8</v>
      </c>
      <c r="E57" s="20">
        <f t="shared" si="4"/>
        <v>36.119999999999997</v>
      </c>
      <c r="F57" s="12" t="str">
        <f t="shared" si="5"/>
        <v/>
      </c>
      <c r="G57" s="12" t="str">
        <f t="shared" si="6"/>
        <v/>
      </c>
    </row>
    <row r="58" spans="1:7" x14ac:dyDescent="0.3">
      <c r="A58" t="s">
        <v>163</v>
      </c>
      <c r="B58" t="s">
        <v>164</v>
      </c>
      <c r="C58" s="13" t="s">
        <v>66</v>
      </c>
      <c r="D58" s="19">
        <v>2.9</v>
      </c>
      <c r="E58" s="20">
        <f t="shared" si="4"/>
        <v>37.409999999999997</v>
      </c>
      <c r="F58" s="12" t="str">
        <f t="shared" si="5"/>
        <v/>
      </c>
      <c r="G58" s="12" t="str">
        <f t="shared" si="6"/>
        <v/>
      </c>
    </row>
    <row r="59" spans="1:7" x14ac:dyDescent="0.3">
      <c r="A59" t="s">
        <v>165</v>
      </c>
      <c r="B59" t="s">
        <v>166</v>
      </c>
      <c r="C59" s="13" t="s">
        <v>66</v>
      </c>
      <c r="D59" s="19">
        <v>3</v>
      </c>
      <c r="E59" s="20">
        <f t="shared" si="4"/>
        <v>38.700000000000003</v>
      </c>
      <c r="F59" s="12" t="str">
        <f t="shared" si="5"/>
        <v/>
      </c>
      <c r="G59" s="12" t="str">
        <f t="shared" si="6"/>
        <v/>
      </c>
    </row>
    <row r="60" spans="1:7" x14ac:dyDescent="0.3">
      <c r="A60" t="s">
        <v>167</v>
      </c>
      <c r="B60" t="s">
        <v>168</v>
      </c>
      <c r="C60" s="13" t="s">
        <v>66</v>
      </c>
      <c r="D60" s="19">
        <v>3.1</v>
      </c>
      <c r="E60" s="20">
        <f t="shared" si="4"/>
        <v>39.99</v>
      </c>
      <c r="F60" s="12" t="str">
        <f t="shared" si="5"/>
        <v/>
      </c>
      <c r="G60" s="12" t="str">
        <f t="shared" si="6"/>
        <v/>
      </c>
    </row>
    <row r="61" spans="1:7" x14ac:dyDescent="0.3">
      <c r="A61" t="s">
        <v>169</v>
      </c>
      <c r="B61" t="s">
        <v>170</v>
      </c>
      <c r="C61" s="13" t="s">
        <v>66</v>
      </c>
      <c r="D61" s="19">
        <v>3.2</v>
      </c>
      <c r="E61" s="20">
        <f t="shared" si="4"/>
        <v>41.28</v>
      </c>
      <c r="F61" s="12" t="str">
        <f t="shared" si="5"/>
        <v/>
      </c>
      <c r="G61" s="12" t="str">
        <f t="shared" si="6"/>
        <v/>
      </c>
    </row>
    <row r="62" spans="1:7" x14ac:dyDescent="0.3">
      <c r="A62" t="s">
        <v>171</v>
      </c>
      <c r="B62" t="s">
        <v>172</v>
      </c>
      <c r="C62" s="13" t="s">
        <v>66</v>
      </c>
      <c r="D62" s="19">
        <v>3.3</v>
      </c>
      <c r="E62" s="20">
        <f t="shared" si="4"/>
        <v>42.57</v>
      </c>
      <c r="F62" s="12" t="str">
        <f t="shared" si="5"/>
        <v/>
      </c>
      <c r="G62" s="12" t="str">
        <f t="shared" si="6"/>
        <v/>
      </c>
    </row>
    <row r="63" spans="1:7" x14ac:dyDescent="0.3">
      <c r="A63" t="s">
        <v>173</v>
      </c>
      <c r="B63" t="s">
        <v>174</v>
      </c>
      <c r="C63" s="13" t="s">
        <v>66</v>
      </c>
      <c r="D63" s="19">
        <v>3.4</v>
      </c>
      <c r="E63" s="20">
        <f t="shared" si="4"/>
        <v>43.86</v>
      </c>
      <c r="F63" s="12" t="str">
        <f t="shared" si="5"/>
        <v/>
      </c>
      <c r="G63" s="12" t="str">
        <f t="shared" si="6"/>
        <v/>
      </c>
    </row>
    <row r="64" spans="1:7" x14ac:dyDescent="0.3">
      <c r="A64" t="s">
        <v>175</v>
      </c>
      <c r="B64" t="s">
        <v>176</v>
      </c>
      <c r="C64" s="13" t="s">
        <v>66</v>
      </c>
      <c r="D64" s="19">
        <v>3.5</v>
      </c>
      <c r="E64" s="20">
        <f t="shared" si="4"/>
        <v>45.15</v>
      </c>
      <c r="F64" s="12" t="str">
        <f t="shared" si="5"/>
        <v/>
      </c>
      <c r="G64" s="12" t="str">
        <f t="shared" si="6"/>
        <v/>
      </c>
    </row>
    <row r="65" spans="1:7" x14ac:dyDescent="0.3">
      <c r="A65" t="s">
        <v>177</v>
      </c>
      <c r="B65" t="s">
        <v>178</v>
      </c>
      <c r="C65" s="13" t="s">
        <v>66</v>
      </c>
      <c r="D65" s="19">
        <v>3.6</v>
      </c>
      <c r="E65" s="20">
        <f t="shared" si="4"/>
        <v>46.440000000000005</v>
      </c>
      <c r="F65" s="12" t="str">
        <f t="shared" si="5"/>
        <v/>
      </c>
      <c r="G65" s="12" t="str">
        <f t="shared" si="6"/>
        <v/>
      </c>
    </row>
    <row r="66" spans="1:7" x14ac:dyDescent="0.3">
      <c r="A66" t="s">
        <v>179</v>
      </c>
      <c r="B66" t="s">
        <v>180</v>
      </c>
      <c r="C66" s="13" t="s">
        <v>67</v>
      </c>
      <c r="D66" s="19">
        <v>2.6</v>
      </c>
      <c r="E66" s="20">
        <f t="shared" si="4"/>
        <v>28.340000000000003</v>
      </c>
      <c r="F66" s="12" t="str">
        <f t="shared" si="5"/>
        <v/>
      </c>
      <c r="G66" s="12" t="str">
        <f t="shared" si="6"/>
        <v/>
      </c>
    </row>
    <row r="67" spans="1:7" x14ac:dyDescent="0.3">
      <c r="A67" t="s">
        <v>181</v>
      </c>
      <c r="B67" t="s">
        <v>182</v>
      </c>
      <c r="C67" s="13" t="s">
        <v>67</v>
      </c>
      <c r="D67" s="19">
        <v>2.7</v>
      </c>
      <c r="E67" s="20">
        <f t="shared" si="4"/>
        <v>29.430000000000003</v>
      </c>
      <c r="F67" s="12" t="str">
        <f t="shared" si="5"/>
        <v/>
      </c>
      <c r="G67" s="12" t="str">
        <f t="shared" si="6"/>
        <v/>
      </c>
    </row>
    <row r="68" spans="1:7" x14ac:dyDescent="0.3">
      <c r="A68" t="s">
        <v>183</v>
      </c>
      <c r="B68" t="s">
        <v>184</v>
      </c>
      <c r="C68" s="13" t="s">
        <v>67</v>
      </c>
      <c r="D68" s="19">
        <v>2.8</v>
      </c>
      <c r="E68" s="20">
        <f t="shared" si="4"/>
        <v>30.52</v>
      </c>
      <c r="F68" s="12" t="str">
        <f t="shared" si="5"/>
        <v/>
      </c>
      <c r="G68" s="12" t="str">
        <f t="shared" si="6"/>
        <v/>
      </c>
    </row>
    <row r="69" spans="1:7" x14ac:dyDescent="0.3">
      <c r="A69" t="s">
        <v>185</v>
      </c>
      <c r="B69" t="s">
        <v>186</v>
      </c>
      <c r="C69" s="13" t="s">
        <v>67</v>
      </c>
      <c r="D69" s="19">
        <v>2.9</v>
      </c>
      <c r="E69" s="20">
        <f t="shared" si="4"/>
        <v>31.61</v>
      </c>
      <c r="F69" s="12" t="str">
        <f t="shared" si="5"/>
        <v/>
      </c>
      <c r="G69" s="12" t="str">
        <f t="shared" si="6"/>
        <v/>
      </c>
    </row>
    <row r="70" spans="1:7" x14ac:dyDescent="0.3">
      <c r="A70" t="s">
        <v>187</v>
      </c>
      <c r="B70" t="s">
        <v>188</v>
      </c>
      <c r="C70" s="13" t="s">
        <v>67</v>
      </c>
      <c r="D70" s="19">
        <v>3</v>
      </c>
      <c r="E70" s="20">
        <f t="shared" si="4"/>
        <v>32.700000000000003</v>
      </c>
      <c r="F70" s="12" t="str">
        <f t="shared" si="5"/>
        <v/>
      </c>
      <c r="G70" s="12" t="str">
        <f t="shared" si="6"/>
        <v/>
      </c>
    </row>
    <row r="71" spans="1:7" x14ac:dyDescent="0.3">
      <c r="A71" t="s">
        <v>189</v>
      </c>
      <c r="B71" t="s">
        <v>190</v>
      </c>
      <c r="C71" s="13" t="s">
        <v>67</v>
      </c>
      <c r="D71" s="19">
        <v>3.1</v>
      </c>
      <c r="E71" s="20">
        <f t="shared" si="4"/>
        <v>33.79</v>
      </c>
      <c r="F71" s="12" t="str">
        <f t="shared" si="5"/>
        <v/>
      </c>
      <c r="G71" s="12" t="str">
        <f t="shared" si="6"/>
        <v/>
      </c>
    </row>
    <row r="72" spans="1:7" x14ac:dyDescent="0.3">
      <c r="A72" t="s">
        <v>191</v>
      </c>
      <c r="B72" t="s">
        <v>192</v>
      </c>
      <c r="C72" s="13" t="s">
        <v>67</v>
      </c>
      <c r="D72" s="19">
        <v>3.2</v>
      </c>
      <c r="E72" s="20">
        <f t="shared" si="4"/>
        <v>34.880000000000003</v>
      </c>
      <c r="F72" s="12" t="str">
        <f t="shared" si="5"/>
        <v/>
      </c>
      <c r="G72" s="12" t="str">
        <f t="shared" si="6"/>
        <v/>
      </c>
    </row>
    <row r="73" spans="1:7" x14ac:dyDescent="0.3">
      <c r="A73" t="s">
        <v>193</v>
      </c>
      <c r="B73" t="s">
        <v>194</v>
      </c>
      <c r="C73" s="13" t="s">
        <v>67</v>
      </c>
      <c r="D73" s="19">
        <v>3.3</v>
      </c>
      <c r="E73" s="20">
        <f t="shared" si="4"/>
        <v>35.97</v>
      </c>
      <c r="F73" s="12" t="str">
        <f t="shared" si="5"/>
        <v/>
      </c>
      <c r="G73" s="12" t="str">
        <f t="shared" si="6"/>
        <v/>
      </c>
    </row>
    <row r="74" spans="1:7" x14ac:dyDescent="0.3">
      <c r="A74" t="s">
        <v>195</v>
      </c>
      <c r="B74" t="s">
        <v>196</v>
      </c>
      <c r="C74" s="13" t="s">
        <v>67</v>
      </c>
      <c r="D74" s="19">
        <v>3.4</v>
      </c>
      <c r="E74" s="20">
        <f t="shared" si="4"/>
        <v>37.06</v>
      </c>
      <c r="F74" s="12" t="str">
        <f t="shared" si="5"/>
        <v/>
      </c>
      <c r="G74" s="12" t="str">
        <f t="shared" si="6"/>
        <v/>
      </c>
    </row>
    <row r="75" spans="1:7" x14ac:dyDescent="0.3">
      <c r="A75" t="s">
        <v>197</v>
      </c>
      <c r="B75" t="s">
        <v>198</v>
      </c>
      <c r="C75" s="13" t="s">
        <v>67</v>
      </c>
      <c r="D75" s="19">
        <v>3.5</v>
      </c>
      <c r="E75" s="20">
        <f t="shared" si="4"/>
        <v>38.15</v>
      </c>
      <c r="F75" s="12" t="str">
        <f t="shared" si="5"/>
        <v/>
      </c>
      <c r="G75" s="12" t="str">
        <f t="shared" si="6"/>
        <v/>
      </c>
    </row>
    <row r="76" spans="1:7" x14ac:dyDescent="0.3">
      <c r="A76" t="s">
        <v>199</v>
      </c>
      <c r="B76" t="s">
        <v>200</v>
      </c>
      <c r="C76" s="13" t="s">
        <v>67</v>
      </c>
      <c r="D76" s="19">
        <v>3.6</v>
      </c>
      <c r="E76" s="20">
        <f t="shared" si="4"/>
        <v>39.24</v>
      </c>
      <c r="F76" s="12" t="str">
        <f t="shared" si="5"/>
        <v/>
      </c>
      <c r="G76" s="12" t="str">
        <f t="shared" si="6"/>
        <v/>
      </c>
    </row>
    <row r="77" spans="1:7" x14ac:dyDescent="0.3">
      <c r="A77" t="s">
        <v>201</v>
      </c>
      <c r="B77" t="s">
        <v>202</v>
      </c>
      <c r="C77" s="13" t="s">
        <v>66</v>
      </c>
      <c r="D77" s="19">
        <v>2.2200000000000002</v>
      </c>
      <c r="E77" s="20">
        <f t="shared" ref="E77:E108" si="7">IF(AND(ISNUMBER($D77),ISNUMBER(VLOOKUP($C77,$A$5:$F$11,4,FALSE))),$D77*VLOOKUP($C77,$A$5:$F$11,4,FALSE),"")</f>
        <v>28.638000000000002</v>
      </c>
      <c r="F77" s="12" t="str">
        <f t="shared" ref="F77:F108" si="8">IF(AND(ISNUMBER($D77),ISNUMBER(VLOOKUP($C77,$A$5:$F$11,2,FALSE)),ISNUMBER(VLOOKUP($C77,$A$5:$F$11,5,FALSE))),$D77*VLOOKUP($C77,$A$5:$F$11,2,FALSE)*VLOOKUP($C77,$A$5:$F$11,5,FALSE),"")</f>
        <v/>
      </c>
      <c r="G77" s="12" t="str">
        <f t="shared" ref="G77:G108" si="9"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 spans="1:7" x14ac:dyDescent="0.3">
      <c r="A78" t="s">
        <v>203</v>
      </c>
      <c r="B78" t="s">
        <v>204</v>
      </c>
      <c r="C78" s="13" t="s">
        <v>66</v>
      </c>
      <c r="D78" s="19">
        <v>2.2200000000000002</v>
      </c>
      <c r="E78" s="20">
        <f t="shared" si="7"/>
        <v>28.638000000000002</v>
      </c>
      <c r="F78" s="12" t="str">
        <f t="shared" si="8"/>
        <v/>
      </c>
      <c r="G78" s="12" t="str">
        <f t="shared" si="9"/>
        <v/>
      </c>
    </row>
    <row r="79" spans="1:7" x14ac:dyDescent="0.3">
      <c r="A79" t="s">
        <v>205</v>
      </c>
      <c r="B79" t="s">
        <v>206</v>
      </c>
      <c r="C79" s="13" t="s">
        <v>66</v>
      </c>
      <c r="D79" s="19">
        <v>2.72</v>
      </c>
      <c r="E79" s="20">
        <f t="shared" si="7"/>
        <v>35.088000000000001</v>
      </c>
      <c r="F79" s="12" t="str">
        <f t="shared" si="8"/>
        <v/>
      </c>
      <c r="G79" s="12" t="str">
        <f t="shared" si="9"/>
        <v/>
      </c>
    </row>
    <row r="80" spans="1:7" x14ac:dyDescent="0.3">
      <c r="A80" t="s">
        <v>207</v>
      </c>
      <c r="B80" t="s">
        <v>208</v>
      </c>
      <c r="C80" s="13" t="s">
        <v>66</v>
      </c>
      <c r="D80" s="19">
        <v>2.82</v>
      </c>
      <c r="E80" s="20">
        <f t="shared" si="7"/>
        <v>36.378</v>
      </c>
      <c r="F80" s="12" t="str">
        <f t="shared" si="8"/>
        <v/>
      </c>
      <c r="G80" s="12" t="str">
        <f t="shared" si="9"/>
        <v/>
      </c>
    </row>
    <row r="81" spans="1:7" x14ac:dyDescent="0.3">
      <c r="A81" t="s">
        <v>209</v>
      </c>
      <c r="B81" t="s">
        <v>210</v>
      </c>
      <c r="C81" s="13" t="s">
        <v>66</v>
      </c>
      <c r="D81" s="19">
        <v>2.92</v>
      </c>
      <c r="E81" s="20">
        <f t="shared" si="7"/>
        <v>37.667999999999999</v>
      </c>
      <c r="F81" s="12" t="str">
        <f t="shared" si="8"/>
        <v/>
      </c>
      <c r="G81" s="12" t="str">
        <f t="shared" si="9"/>
        <v/>
      </c>
    </row>
    <row r="82" spans="1:7" x14ac:dyDescent="0.3">
      <c r="A82" t="s">
        <v>211</v>
      </c>
      <c r="B82" t="s">
        <v>212</v>
      </c>
      <c r="C82" s="13" t="s">
        <v>66</v>
      </c>
      <c r="D82" s="19">
        <v>3.02</v>
      </c>
      <c r="E82" s="20">
        <f t="shared" si="7"/>
        <v>38.957999999999998</v>
      </c>
      <c r="F82" s="12" t="str">
        <f t="shared" si="8"/>
        <v/>
      </c>
      <c r="G82" s="12" t="str">
        <f t="shared" si="9"/>
        <v/>
      </c>
    </row>
    <row r="83" spans="1:7" x14ac:dyDescent="0.3">
      <c r="A83" t="s">
        <v>213</v>
      </c>
      <c r="B83" t="s">
        <v>214</v>
      </c>
      <c r="C83" s="13" t="s">
        <v>66</v>
      </c>
      <c r="D83" s="19">
        <v>3.12</v>
      </c>
      <c r="E83" s="20">
        <f t="shared" si="7"/>
        <v>40.248000000000005</v>
      </c>
      <c r="F83" s="12" t="str">
        <f t="shared" si="8"/>
        <v/>
      </c>
      <c r="G83" s="12" t="str">
        <f t="shared" si="9"/>
        <v/>
      </c>
    </row>
    <row r="84" spans="1:7" x14ac:dyDescent="0.3">
      <c r="A84" t="s">
        <v>215</v>
      </c>
      <c r="B84" t="s">
        <v>216</v>
      </c>
      <c r="C84" s="13" t="s">
        <v>66</v>
      </c>
      <c r="D84" s="19">
        <v>3.22</v>
      </c>
      <c r="E84" s="20">
        <f t="shared" si="7"/>
        <v>41.538000000000004</v>
      </c>
      <c r="F84" s="12" t="str">
        <f t="shared" si="8"/>
        <v/>
      </c>
      <c r="G84" s="12" t="str">
        <f t="shared" si="9"/>
        <v/>
      </c>
    </row>
    <row r="85" spans="1:7" x14ac:dyDescent="0.3">
      <c r="A85" t="s">
        <v>217</v>
      </c>
      <c r="B85" t="s">
        <v>218</v>
      </c>
      <c r="C85" s="13" t="s">
        <v>66</v>
      </c>
      <c r="D85" s="19">
        <v>3.32</v>
      </c>
      <c r="E85" s="20">
        <f t="shared" si="7"/>
        <v>42.827999999999996</v>
      </c>
      <c r="F85" s="12" t="str">
        <f t="shared" si="8"/>
        <v/>
      </c>
      <c r="G85" s="12" t="str">
        <f t="shared" si="9"/>
        <v/>
      </c>
    </row>
    <row r="86" spans="1:7" x14ac:dyDescent="0.3">
      <c r="A86" t="s">
        <v>219</v>
      </c>
      <c r="B86" t="s">
        <v>220</v>
      </c>
      <c r="C86" s="13" t="s">
        <v>66</v>
      </c>
      <c r="D86" s="19">
        <v>3.42</v>
      </c>
      <c r="E86" s="20">
        <f t="shared" si="7"/>
        <v>44.118000000000002</v>
      </c>
      <c r="F86" s="12" t="str">
        <f t="shared" si="8"/>
        <v/>
      </c>
      <c r="G86" s="12" t="str">
        <f t="shared" si="9"/>
        <v/>
      </c>
    </row>
    <row r="87" spans="1:7" x14ac:dyDescent="0.3">
      <c r="A87" t="s">
        <v>221</v>
      </c>
      <c r="B87" t="s">
        <v>222</v>
      </c>
      <c r="C87" s="13" t="s">
        <v>66</v>
      </c>
      <c r="D87" s="19">
        <v>3.52</v>
      </c>
      <c r="E87" s="20">
        <f t="shared" si="7"/>
        <v>45.408000000000001</v>
      </c>
      <c r="F87" s="12" t="str">
        <f t="shared" si="8"/>
        <v/>
      </c>
      <c r="G87" s="12" t="str">
        <f t="shared" si="9"/>
        <v/>
      </c>
    </row>
    <row r="88" spans="1:7" x14ac:dyDescent="0.3">
      <c r="A88" t="s">
        <v>223</v>
      </c>
      <c r="B88" t="s">
        <v>224</v>
      </c>
      <c r="C88" s="13" t="s">
        <v>66</v>
      </c>
      <c r="D88" s="19">
        <v>3.62</v>
      </c>
      <c r="E88" s="20">
        <f t="shared" si="7"/>
        <v>46.698</v>
      </c>
      <c r="F88" s="12" t="str">
        <f t="shared" si="8"/>
        <v/>
      </c>
      <c r="G88" s="12" t="str">
        <f t="shared" si="9"/>
        <v/>
      </c>
    </row>
    <row r="89" spans="1:7" x14ac:dyDescent="0.3">
      <c r="A89" t="s">
        <v>225</v>
      </c>
      <c r="B89" t="s">
        <v>226</v>
      </c>
      <c r="C89" s="13" t="s">
        <v>66</v>
      </c>
      <c r="D89" s="19">
        <v>3.72</v>
      </c>
      <c r="E89" s="20">
        <f t="shared" si="7"/>
        <v>47.988000000000007</v>
      </c>
      <c r="F89" s="12" t="str">
        <f t="shared" si="8"/>
        <v/>
      </c>
      <c r="G89" s="12" t="str">
        <f t="shared" si="9"/>
        <v/>
      </c>
    </row>
    <row r="90" spans="1:7" x14ac:dyDescent="0.3">
      <c r="A90" t="s">
        <v>227</v>
      </c>
      <c r="B90" t="s">
        <v>228</v>
      </c>
      <c r="C90" s="13" t="s">
        <v>66</v>
      </c>
      <c r="D90" s="19">
        <v>3.82</v>
      </c>
      <c r="E90" s="20">
        <f t="shared" si="7"/>
        <v>49.277999999999999</v>
      </c>
      <c r="F90" s="12" t="str">
        <f t="shared" si="8"/>
        <v/>
      </c>
      <c r="G90" s="12" t="str">
        <f t="shared" si="9"/>
        <v/>
      </c>
    </row>
    <row r="91" spans="1:7" x14ac:dyDescent="0.3">
      <c r="A91" t="s">
        <v>229</v>
      </c>
      <c r="B91" t="s">
        <v>230</v>
      </c>
      <c r="C91" s="13" t="s">
        <v>66</v>
      </c>
      <c r="D91" s="19">
        <v>3.92</v>
      </c>
      <c r="E91" s="20">
        <f t="shared" si="7"/>
        <v>50.567999999999998</v>
      </c>
      <c r="F91" s="12" t="str">
        <f t="shared" si="8"/>
        <v/>
      </c>
      <c r="G91" s="12" t="str">
        <f t="shared" si="9"/>
        <v/>
      </c>
    </row>
    <row r="92" spans="1:7" x14ac:dyDescent="0.3">
      <c r="A92" t="s">
        <v>231</v>
      </c>
      <c r="B92" t="s">
        <v>232</v>
      </c>
      <c r="C92" s="13" t="s">
        <v>66</v>
      </c>
      <c r="D92" s="19">
        <v>4.0199999999999996</v>
      </c>
      <c r="E92" s="20">
        <f t="shared" si="7"/>
        <v>51.857999999999997</v>
      </c>
      <c r="F92" s="12" t="str">
        <f t="shared" si="8"/>
        <v/>
      </c>
      <c r="G92" s="12" t="str">
        <f t="shared" si="9"/>
        <v/>
      </c>
    </row>
    <row r="93" spans="1:7" x14ac:dyDescent="0.3">
      <c r="A93" t="s">
        <v>233</v>
      </c>
      <c r="B93" t="s">
        <v>234</v>
      </c>
      <c r="C93" s="13" t="s">
        <v>66</v>
      </c>
      <c r="D93" s="19">
        <v>4.12</v>
      </c>
      <c r="E93" s="20">
        <f t="shared" si="7"/>
        <v>53.148000000000003</v>
      </c>
      <c r="F93" s="12" t="str">
        <f t="shared" si="8"/>
        <v/>
      </c>
      <c r="G93" s="12" t="str">
        <f t="shared" si="9"/>
        <v/>
      </c>
    </row>
    <row r="94" spans="1:7" x14ac:dyDescent="0.3">
      <c r="A94" t="s">
        <v>235</v>
      </c>
      <c r="B94" t="s">
        <v>236</v>
      </c>
      <c r="C94" s="13" t="s">
        <v>66</v>
      </c>
      <c r="D94" s="19">
        <v>4.22</v>
      </c>
      <c r="E94" s="20">
        <f t="shared" si="7"/>
        <v>54.437999999999995</v>
      </c>
      <c r="F94" s="12" t="str">
        <f t="shared" si="8"/>
        <v/>
      </c>
      <c r="G94" s="12" t="str">
        <f t="shared" si="9"/>
        <v/>
      </c>
    </row>
    <row r="95" spans="1:7" x14ac:dyDescent="0.3">
      <c r="A95" t="s">
        <v>237</v>
      </c>
      <c r="B95" t="s">
        <v>238</v>
      </c>
      <c r="C95" s="13" t="s">
        <v>66</v>
      </c>
      <c r="D95" s="19">
        <v>4.32</v>
      </c>
      <c r="E95" s="20">
        <f t="shared" si="7"/>
        <v>55.728000000000009</v>
      </c>
      <c r="F95" s="12" t="str">
        <f t="shared" si="8"/>
        <v/>
      </c>
      <c r="G95" s="12" t="str">
        <f t="shared" si="9"/>
        <v/>
      </c>
    </row>
    <row r="96" spans="1:7" x14ac:dyDescent="0.3">
      <c r="A96" t="s">
        <v>239</v>
      </c>
      <c r="B96" t="s">
        <v>240</v>
      </c>
      <c r="C96" s="13" t="s">
        <v>66</v>
      </c>
      <c r="D96" s="19">
        <v>4.42</v>
      </c>
      <c r="E96" s="20">
        <f t="shared" si="7"/>
        <v>57.018000000000001</v>
      </c>
      <c r="F96" s="12" t="str">
        <f t="shared" si="8"/>
        <v/>
      </c>
      <c r="G96" s="12" t="str">
        <f t="shared" si="9"/>
        <v/>
      </c>
    </row>
    <row r="97" spans="1:7" x14ac:dyDescent="0.3">
      <c r="A97" t="s">
        <v>241</v>
      </c>
      <c r="B97" t="s">
        <v>242</v>
      </c>
      <c r="C97" s="13" t="s">
        <v>67</v>
      </c>
      <c r="D97" s="19">
        <v>2.2200000000000002</v>
      </c>
      <c r="E97" s="20">
        <f t="shared" si="7"/>
        <v>24.198000000000004</v>
      </c>
      <c r="F97" s="12" t="str">
        <f t="shared" si="8"/>
        <v/>
      </c>
      <c r="G97" s="12" t="str">
        <f t="shared" si="9"/>
        <v/>
      </c>
    </row>
    <row r="98" spans="1:7" x14ac:dyDescent="0.3">
      <c r="A98" t="s">
        <v>243</v>
      </c>
      <c r="B98" t="s">
        <v>244</v>
      </c>
      <c r="C98" s="13" t="s">
        <v>67</v>
      </c>
      <c r="D98" s="19">
        <v>2.2200000000000002</v>
      </c>
      <c r="E98" s="20">
        <f t="shared" si="7"/>
        <v>24.198000000000004</v>
      </c>
      <c r="F98" s="12" t="str">
        <f t="shared" si="8"/>
        <v/>
      </c>
      <c r="G98" s="12" t="str">
        <f t="shared" si="9"/>
        <v/>
      </c>
    </row>
    <row r="99" spans="1:7" x14ac:dyDescent="0.3">
      <c r="A99" t="s">
        <v>245</v>
      </c>
      <c r="B99" t="s">
        <v>246</v>
      </c>
      <c r="C99" s="13" t="s">
        <v>67</v>
      </c>
      <c r="D99" s="19">
        <v>2.72</v>
      </c>
      <c r="E99" s="20">
        <f t="shared" si="7"/>
        <v>29.648000000000003</v>
      </c>
      <c r="F99" s="12" t="str">
        <f t="shared" si="8"/>
        <v/>
      </c>
      <c r="G99" s="12" t="str">
        <f t="shared" si="9"/>
        <v/>
      </c>
    </row>
    <row r="100" spans="1:7" x14ac:dyDescent="0.3">
      <c r="A100" t="s">
        <v>247</v>
      </c>
      <c r="B100" t="s">
        <v>248</v>
      </c>
      <c r="C100" s="13" t="s">
        <v>67</v>
      </c>
      <c r="D100" s="19">
        <v>2.82</v>
      </c>
      <c r="E100" s="20">
        <f t="shared" si="7"/>
        <v>30.738</v>
      </c>
      <c r="F100" s="12" t="str">
        <f t="shared" si="8"/>
        <v/>
      </c>
      <c r="G100" s="12" t="str">
        <f t="shared" si="9"/>
        <v/>
      </c>
    </row>
    <row r="101" spans="1:7" x14ac:dyDescent="0.3">
      <c r="A101" t="s">
        <v>249</v>
      </c>
      <c r="B101" t="s">
        <v>250</v>
      </c>
      <c r="C101" s="13" t="s">
        <v>67</v>
      </c>
      <c r="D101" s="19">
        <v>2.92</v>
      </c>
      <c r="E101" s="20">
        <f t="shared" si="7"/>
        <v>31.827999999999999</v>
      </c>
      <c r="F101" s="12" t="str">
        <f t="shared" si="8"/>
        <v/>
      </c>
      <c r="G101" s="12" t="str">
        <f t="shared" si="9"/>
        <v/>
      </c>
    </row>
    <row r="102" spans="1:7" x14ac:dyDescent="0.3">
      <c r="A102" t="s">
        <v>251</v>
      </c>
      <c r="B102" t="s">
        <v>252</v>
      </c>
      <c r="C102" s="13" t="s">
        <v>67</v>
      </c>
      <c r="D102" s="19">
        <v>3.02</v>
      </c>
      <c r="E102" s="20">
        <f t="shared" si="7"/>
        <v>32.917999999999999</v>
      </c>
      <c r="F102" s="12" t="str">
        <f t="shared" si="8"/>
        <v/>
      </c>
      <c r="G102" s="12" t="str">
        <f t="shared" si="9"/>
        <v/>
      </c>
    </row>
    <row r="103" spans="1:7" x14ac:dyDescent="0.3">
      <c r="A103" t="s">
        <v>253</v>
      </c>
      <c r="B103" t="s">
        <v>254</v>
      </c>
      <c r="C103" s="13" t="s">
        <v>67</v>
      </c>
      <c r="D103" s="19">
        <v>3.12</v>
      </c>
      <c r="E103" s="20">
        <f t="shared" si="7"/>
        <v>34.008000000000003</v>
      </c>
      <c r="F103" s="12" t="str">
        <f t="shared" si="8"/>
        <v/>
      </c>
      <c r="G103" s="12" t="str">
        <f t="shared" si="9"/>
        <v/>
      </c>
    </row>
    <row r="104" spans="1:7" x14ac:dyDescent="0.3">
      <c r="A104" t="s">
        <v>255</v>
      </c>
      <c r="B104" t="s">
        <v>256</v>
      </c>
      <c r="C104" s="13" t="s">
        <v>67</v>
      </c>
      <c r="D104" s="19">
        <v>3.22</v>
      </c>
      <c r="E104" s="20">
        <f t="shared" si="7"/>
        <v>35.098000000000006</v>
      </c>
      <c r="F104" s="12" t="str">
        <f t="shared" si="8"/>
        <v/>
      </c>
      <c r="G104" s="12" t="str">
        <f t="shared" si="9"/>
        <v/>
      </c>
    </row>
    <row r="105" spans="1:7" x14ac:dyDescent="0.3">
      <c r="A105" t="s">
        <v>257</v>
      </c>
      <c r="B105" t="s">
        <v>258</v>
      </c>
      <c r="C105" s="13" t="s">
        <v>67</v>
      </c>
      <c r="D105" s="19">
        <v>3.32</v>
      </c>
      <c r="E105" s="20">
        <f t="shared" si="7"/>
        <v>36.188000000000002</v>
      </c>
      <c r="F105" s="12" t="str">
        <f t="shared" si="8"/>
        <v/>
      </c>
      <c r="G105" s="12" t="str">
        <f t="shared" si="9"/>
        <v/>
      </c>
    </row>
    <row r="106" spans="1:7" x14ac:dyDescent="0.3">
      <c r="A106" t="s">
        <v>259</v>
      </c>
      <c r="B106" t="s">
        <v>260</v>
      </c>
      <c r="C106" s="13" t="s">
        <v>67</v>
      </c>
      <c r="D106" s="19">
        <v>3.42</v>
      </c>
      <c r="E106" s="20">
        <f t="shared" si="7"/>
        <v>37.277999999999999</v>
      </c>
      <c r="F106" s="12" t="str">
        <f t="shared" si="8"/>
        <v/>
      </c>
      <c r="G106" s="12" t="str">
        <f t="shared" si="9"/>
        <v/>
      </c>
    </row>
    <row r="107" spans="1:7" x14ac:dyDescent="0.3">
      <c r="A107" t="s">
        <v>261</v>
      </c>
      <c r="B107" t="s">
        <v>262</v>
      </c>
      <c r="C107" s="13" t="s">
        <v>67</v>
      </c>
      <c r="D107" s="19">
        <v>3.52</v>
      </c>
      <c r="E107" s="20">
        <f t="shared" si="7"/>
        <v>38.368000000000002</v>
      </c>
      <c r="F107" s="12" t="str">
        <f t="shared" si="8"/>
        <v/>
      </c>
      <c r="G107" s="12" t="str">
        <f t="shared" si="9"/>
        <v/>
      </c>
    </row>
    <row r="108" spans="1:7" x14ac:dyDescent="0.3">
      <c r="A108" t="s">
        <v>263</v>
      </c>
      <c r="B108" t="s">
        <v>264</v>
      </c>
      <c r="C108" s="13" t="s">
        <v>67</v>
      </c>
      <c r="D108" s="19">
        <v>3.62</v>
      </c>
      <c r="E108" s="20">
        <f t="shared" si="7"/>
        <v>39.458000000000006</v>
      </c>
      <c r="F108" s="12" t="str">
        <f t="shared" si="8"/>
        <v/>
      </c>
      <c r="G108" s="12" t="str">
        <f t="shared" si="9"/>
        <v/>
      </c>
    </row>
    <row r="109" spans="1:7" x14ac:dyDescent="0.3">
      <c r="A109" t="s">
        <v>265</v>
      </c>
      <c r="B109" t="s">
        <v>266</v>
      </c>
      <c r="C109" s="13" t="s">
        <v>67</v>
      </c>
      <c r="D109" s="19">
        <v>3.72</v>
      </c>
      <c r="E109" s="20">
        <f t="shared" ref="E109:E138" si="10">IF(AND(ISNUMBER($D109),ISNUMBER(VLOOKUP($C109,$A$5:$F$11,4,FALSE))),$D109*VLOOKUP($C109,$A$5:$F$11,4,FALSE),"")</f>
        <v>40.548000000000002</v>
      </c>
      <c r="F109" s="12" t="str">
        <f t="shared" ref="F109:F138" si="11">IF(AND(ISNUMBER($D109),ISNUMBER(VLOOKUP($C109,$A$5:$F$11,2,FALSE)),ISNUMBER(VLOOKUP($C109,$A$5:$F$11,5,FALSE))),$D109*VLOOKUP($C109,$A$5:$F$11,2,FALSE)*VLOOKUP($C109,$A$5:$F$11,5,FALSE),"")</f>
        <v/>
      </c>
      <c r="G109" s="12" t="str">
        <f t="shared" ref="G109:G138" si="12"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 spans="1:7" x14ac:dyDescent="0.3">
      <c r="A110" t="s">
        <v>267</v>
      </c>
      <c r="B110" t="s">
        <v>268</v>
      </c>
      <c r="C110" s="13" t="s">
        <v>67</v>
      </c>
      <c r="D110" s="19">
        <v>3.82</v>
      </c>
      <c r="E110" s="20">
        <f t="shared" si="10"/>
        <v>41.637999999999998</v>
      </c>
      <c r="F110" s="12" t="str">
        <f t="shared" si="11"/>
        <v/>
      </c>
      <c r="G110" s="12" t="str">
        <f t="shared" si="12"/>
        <v/>
      </c>
    </row>
    <row r="111" spans="1:7" x14ac:dyDescent="0.3">
      <c r="A111" t="s">
        <v>269</v>
      </c>
      <c r="B111" t="s">
        <v>270</v>
      </c>
      <c r="C111" s="13" t="s">
        <v>67</v>
      </c>
      <c r="D111" s="19">
        <v>3.92</v>
      </c>
      <c r="E111" s="20">
        <f t="shared" si="10"/>
        <v>42.728000000000002</v>
      </c>
      <c r="F111" s="12" t="str">
        <f t="shared" si="11"/>
        <v/>
      </c>
      <c r="G111" s="12" t="str">
        <f t="shared" si="12"/>
        <v/>
      </c>
    </row>
    <row r="112" spans="1:7" x14ac:dyDescent="0.3">
      <c r="A112" t="s">
        <v>271</v>
      </c>
      <c r="B112" t="s">
        <v>272</v>
      </c>
      <c r="C112" s="13" t="s">
        <v>67</v>
      </c>
      <c r="D112" s="19">
        <v>4.0199999999999996</v>
      </c>
      <c r="E112" s="20">
        <f t="shared" si="10"/>
        <v>43.817999999999998</v>
      </c>
      <c r="F112" s="12" t="str">
        <f t="shared" si="11"/>
        <v/>
      </c>
      <c r="G112" s="12" t="str">
        <f t="shared" si="12"/>
        <v/>
      </c>
    </row>
    <row r="113" spans="1:7" x14ac:dyDescent="0.3">
      <c r="A113" t="s">
        <v>273</v>
      </c>
      <c r="B113" t="s">
        <v>274</v>
      </c>
      <c r="C113" s="13" t="s">
        <v>67</v>
      </c>
      <c r="D113" s="19">
        <v>4.12</v>
      </c>
      <c r="E113" s="20">
        <f t="shared" si="10"/>
        <v>44.908000000000001</v>
      </c>
      <c r="F113" s="12" t="str">
        <f t="shared" si="11"/>
        <v/>
      </c>
      <c r="G113" s="12" t="str">
        <f t="shared" si="12"/>
        <v/>
      </c>
    </row>
    <row r="114" spans="1:7" x14ac:dyDescent="0.3">
      <c r="A114" t="s">
        <v>275</v>
      </c>
      <c r="B114" t="s">
        <v>276</v>
      </c>
      <c r="C114" s="13" t="s">
        <v>67</v>
      </c>
      <c r="D114" s="19">
        <v>4.22</v>
      </c>
      <c r="E114" s="20">
        <f t="shared" si="10"/>
        <v>45.997999999999998</v>
      </c>
      <c r="F114" s="12" t="str">
        <f t="shared" si="11"/>
        <v/>
      </c>
      <c r="G114" s="12" t="str">
        <f t="shared" si="12"/>
        <v/>
      </c>
    </row>
    <row r="115" spans="1:7" x14ac:dyDescent="0.3">
      <c r="A115" t="s">
        <v>277</v>
      </c>
      <c r="B115" t="s">
        <v>278</v>
      </c>
      <c r="C115" s="13" t="s">
        <v>67</v>
      </c>
      <c r="D115" s="19">
        <v>4.32</v>
      </c>
      <c r="E115" s="20">
        <f t="shared" si="10"/>
        <v>47.088000000000008</v>
      </c>
      <c r="F115" s="12" t="str">
        <f t="shared" si="11"/>
        <v/>
      </c>
      <c r="G115" s="12" t="str">
        <f t="shared" si="12"/>
        <v/>
      </c>
    </row>
    <row r="116" spans="1:7" x14ac:dyDescent="0.3">
      <c r="A116" t="s">
        <v>279</v>
      </c>
      <c r="B116" t="s">
        <v>280</v>
      </c>
      <c r="C116" s="13" t="s">
        <v>67</v>
      </c>
      <c r="D116" s="19">
        <v>4.42</v>
      </c>
      <c r="E116" s="20">
        <f t="shared" si="10"/>
        <v>48.177999999999997</v>
      </c>
      <c r="F116" s="12" t="str">
        <f t="shared" si="11"/>
        <v/>
      </c>
      <c r="G116" s="12" t="str">
        <f t="shared" si="12"/>
        <v/>
      </c>
    </row>
    <row r="117" spans="1:7" x14ac:dyDescent="0.3">
      <c r="A117" t="s">
        <v>281</v>
      </c>
      <c r="B117" t="s">
        <v>282</v>
      </c>
      <c r="C117" s="13" t="s">
        <v>68</v>
      </c>
      <c r="D117" s="19">
        <v>7.2</v>
      </c>
      <c r="E117" s="20">
        <f t="shared" si="10"/>
        <v>84.960000000000008</v>
      </c>
      <c r="F117" s="12" t="str">
        <f t="shared" si="11"/>
        <v/>
      </c>
      <c r="G117" s="12" t="str">
        <f t="shared" si="12"/>
        <v/>
      </c>
    </row>
    <row r="118" spans="1:7" x14ac:dyDescent="0.3">
      <c r="A118" t="s">
        <v>283</v>
      </c>
      <c r="B118" t="s">
        <v>284</v>
      </c>
      <c r="C118" s="13" t="s">
        <v>69</v>
      </c>
      <c r="D118" s="19">
        <v>7.2</v>
      </c>
      <c r="E118" s="20">
        <f t="shared" si="10"/>
        <v>66.239999999999995</v>
      </c>
      <c r="F118" s="12" t="str">
        <f t="shared" si="11"/>
        <v/>
      </c>
      <c r="G118" s="12" t="str">
        <f t="shared" si="12"/>
        <v/>
      </c>
    </row>
    <row r="119" spans="1:7" x14ac:dyDescent="0.3">
      <c r="A119" t="s">
        <v>285</v>
      </c>
      <c r="B119" t="s">
        <v>286</v>
      </c>
      <c r="C119" s="13" t="s">
        <v>68</v>
      </c>
      <c r="D119" s="19">
        <v>8.25</v>
      </c>
      <c r="E119" s="20">
        <f t="shared" si="10"/>
        <v>97.350000000000009</v>
      </c>
      <c r="F119" s="12" t="str">
        <f t="shared" si="11"/>
        <v/>
      </c>
      <c r="G119" s="12" t="str">
        <f t="shared" si="12"/>
        <v/>
      </c>
    </row>
    <row r="120" spans="1:7" x14ac:dyDescent="0.3">
      <c r="A120" t="s">
        <v>287</v>
      </c>
      <c r="B120" t="s">
        <v>288</v>
      </c>
      <c r="C120" s="13" t="s">
        <v>69</v>
      </c>
      <c r="D120" s="19">
        <v>8.25</v>
      </c>
      <c r="E120" s="20">
        <f t="shared" si="10"/>
        <v>75.899999999999991</v>
      </c>
      <c r="F120" s="12" t="str">
        <f t="shared" si="11"/>
        <v/>
      </c>
      <c r="G120" s="12" t="str">
        <f t="shared" si="12"/>
        <v/>
      </c>
    </row>
    <row r="121" spans="1:7" x14ac:dyDescent="0.3">
      <c r="A121" t="s">
        <v>289</v>
      </c>
      <c r="B121" t="s">
        <v>290</v>
      </c>
      <c r="C121" s="13" t="s">
        <v>68</v>
      </c>
      <c r="D121" s="19">
        <v>8.6999999999999993</v>
      </c>
      <c r="E121" s="20">
        <f t="shared" si="10"/>
        <v>102.66</v>
      </c>
      <c r="F121" s="12" t="str">
        <f t="shared" si="11"/>
        <v/>
      </c>
      <c r="G121" s="12" t="str">
        <f t="shared" si="12"/>
        <v/>
      </c>
    </row>
    <row r="122" spans="1:7" x14ac:dyDescent="0.3">
      <c r="A122" t="s">
        <v>291</v>
      </c>
      <c r="B122" t="s">
        <v>292</v>
      </c>
      <c r="C122" s="13" t="s">
        <v>69</v>
      </c>
      <c r="D122" s="19">
        <v>8.6999999999999993</v>
      </c>
      <c r="E122" s="20">
        <f t="shared" si="10"/>
        <v>80.039999999999992</v>
      </c>
      <c r="F122" s="12" t="str">
        <f t="shared" si="11"/>
        <v/>
      </c>
      <c r="G122" s="12" t="str">
        <f t="shared" si="12"/>
        <v/>
      </c>
    </row>
    <row r="123" spans="1:7" x14ac:dyDescent="0.3">
      <c r="A123" t="s">
        <v>293</v>
      </c>
      <c r="B123" t="s">
        <v>294</v>
      </c>
      <c r="C123" s="13" t="s">
        <v>68</v>
      </c>
      <c r="D123" s="19">
        <v>5</v>
      </c>
      <c r="E123" s="20">
        <f t="shared" si="10"/>
        <v>59</v>
      </c>
      <c r="F123" s="12" t="str">
        <f t="shared" si="11"/>
        <v/>
      </c>
      <c r="G123" s="12" t="str">
        <f t="shared" si="12"/>
        <v/>
      </c>
    </row>
    <row r="124" spans="1:7" x14ac:dyDescent="0.3">
      <c r="A124" t="s">
        <v>295</v>
      </c>
      <c r="B124" t="s">
        <v>296</v>
      </c>
      <c r="C124" s="13" t="s">
        <v>69</v>
      </c>
      <c r="D124" s="19">
        <v>5</v>
      </c>
      <c r="E124" s="20">
        <f t="shared" si="10"/>
        <v>46</v>
      </c>
      <c r="F124" s="12" t="str">
        <f t="shared" si="11"/>
        <v/>
      </c>
      <c r="G124" s="12" t="str">
        <f t="shared" si="12"/>
        <v/>
      </c>
    </row>
    <row r="125" spans="1:7" x14ac:dyDescent="0.3">
      <c r="A125" t="s">
        <v>297</v>
      </c>
      <c r="B125" t="s">
        <v>298</v>
      </c>
      <c r="C125" s="13" t="s">
        <v>68</v>
      </c>
      <c r="D125" s="19">
        <v>6.15</v>
      </c>
      <c r="E125" s="20">
        <f t="shared" si="10"/>
        <v>72.570000000000007</v>
      </c>
      <c r="F125" s="12" t="str">
        <f t="shared" si="11"/>
        <v/>
      </c>
      <c r="G125" s="12" t="str">
        <f t="shared" si="12"/>
        <v/>
      </c>
    </row>
    <row r="126" spans="1:7" x14ac:dyDescent="0.3">
      <c r="A126" t="s">
        <v>299</v>
      </c>
      <c r="B126" t="s">
        <v>300</v>
      </c>
      <c r="C126" s="13" t="s">
        <v>69</v>
      </c>
      <c r="D126" s="19">
        <v>6.15</v>
      </c>
      <c r="E126" s="20">
        <f t="shared" si="10"/>
        <v>56.58</v>
      </c>
      <c r="F126" s="12" t="str">
        <f t="shared" si="11"/>
        <v/>
      </c>
      <c r="G126" s="12" t="str">
        <f t="shared" si="12"/>
        <v/>
      </c>
    </row>
    <row r="127" spans="1:7" x14ac:dyDescent="0.3">
      <c r="A127" t="s">
        <v>301</v>
      </c>
      <c r="B127" t="s">
        <v>302</v>
      </c>
      <c r="C127" s="13" t="s">
        <v>68</v>
      </c>
      <c r="D127" s="19">
        <v>6.3</v>
      </c>
      <c r="E127" s="20">
        <f t="shared" si="10"/>
        <v>74.34</v>
      </c>
      <c r="F127" s="12" t="str">
        <f t="shared" si="11"/>
        <v/>
      </c>
      <c r="G127" s="12" t="str">
        <f t="shared" si="12"/>
        <v/>
      </c>
    </row>
    <row r="128" spans="1:7" x14ac:dyDescent="0.3">
      <c r="A128" t="s">
        <v>303</v>
      </c>
      <c r="B128" t="s">
        <v>304</v>
      </c>
      <c r="C128" s="13" t="s">
        <v>69</v>
      </c>
      <c r="D128" s="19">
        <v>6.3</v>
      </c>
      <c r="E128" s="20">
        <f t="shared" si="10"/>
        <v>57.959999999999994</v>
      </c>
      <c r="F128" s="12" t="str">
        <f t="shared" si="11"/>
        <v/>
      </c>
      <c r="G128" s="12" t="str">
        <f t="shared" si="12"/>
        <v/>
      </c>
    </row>
    <row r="129" spans="1:7" x14ac:dyDescent="0.3">
      <c r="A129" t="s">
        <v>305</v>
      </c>
      <c r="B129" t="s">
        <v>306</v>
      </c>
      <c r="C129" s="13" t="s">
        <v>68</v>
      </c>
      <c r="D129" s="19">
        <v>6.7560000000000002</v>
      </c>
      <c r="E129" s="20">
        <f t="shared" si="10"/>
        <v>79.720800000000011</v>
      </c>
      <c r="F129" s="12" t="str">
        <f t="shared" si="11"/>
        <v/>
      </c>
      <c r="G129" s="12" t="str">
        <f t="shared" si="12"/>
        <v/>
      </c>
    </row>
    <row r="130" spans="1:7" x14ac:dyDescent="0.3">
      <c r="A130" t="s">
        <v>307</v>
      </c>
      <c r="B130" t="s">
        <v>308</v>
      </c>
      <c r="C130" s="13" t="s">
        <v>69</v>
      </c>
      <c r="D130" s="19">
        <v>6.7560000000000002</v>
      </c>
      <c r="E130" s="20">
        <f t="shared" si="10"/>
        <v>62.155200000000001</v>
      </c>
      <c r="F130" s="12" t="str">
        <f t="shared" si="11"/>
        <v/>
      </c>
      <c r="G130" s="12" t="str">
        <f t="shared" si="12"/>
        <v/>
      </c>
    </row>
    <row r="131" spans="1:7" x14ac:dyDescent="0.3">
      <c r="A131" t="s">
        <v>309</v>
      </c>
      <c r="B131" t="s">
        <v>310</v>
      </c>
      <c r="C131" s="13" t="s">
        <v>68</v>
      </c>
      <c r="D131" s="19">
        <v>8.25</v>
      </c>
      <c r="E131" s="20">
        <f t="shared" si="10"/>
        <v>97.350000000000009</v>
      </c>
      <c r="F131" s="12" t="str">
        <f t="shared" si="11"/>
        <v/>
      </c>
      <c r="G131" s="12" t="str">
        <f t="shared" si="12"/>
        <v/>
      </c>
    </row>
    <row r="132" spans="1:7" x14ac:dyDescent="0.3">
      <c r="A132" t="s">
        <v>311</v>
      </c>
      <c r="B132" t="s">
        <v>312</v>
      </c>
      <c r="C132" s="13" t="s">
        <v>69</v>
      </c>
      <c r="D132" s="19">
        <v>8.25</v>
      </c>
      <c r="E132" s="20">
        <f t="shared" si="10"/>
        <v>75.899999999999991</v>
      </c>
      <c r="F132" s="12" t="str">
        <f t="shared" si="11"/>
        <v/>
      </c>
      <c r="G132" s="12" t="str">
        <f t="shared" si="12"/>
        <v/>
      </c>
    </row>
    <row r="133" spans="1:7" x14ac:dyDescent="0.3">
      <c r="A133" t="s">
        <v>313</v>
      </c>
      <c r="B133" t="s">
        <v>314</v>
      </c>
      <c r="C133" s="13" t="s">
        <v>68</v>
      </c>
      <c r="D133" s="19">
        <v>8.6449999999999996</v>
      </c>
      <c r="E133" s="20">
        <f t="shared" si="10"/>
        <v>102.011</v>
      </c>
      <c r="F133" s="12" t="str">
        <f t="shared" si="11"/>
        <v/>
      </c>
      <c r="G133" s="12" t="str">
        <f t="shared" si="12"/>
        <v/>
      </c>
    </row>
    <row r="134" spans="1:7" x14ac:dyDescent="0.3">
      <c r="A134" t="s">
        <v>315</v>
      </c>
      <c r="B134" t="s">
        <v>316</v>
      </c>
      <c r="C134" s="13" t="s">
        <v>69</v>
      </c>
      <c r="D134" s="19">
        <v>8.6449999999999996</v>
      </c>
      <c r="E134" s="20">
        <f t="shared" si="10"/>
        <v>79.533999999999992</v>
      </c>
      <c r="F134" s="12" t="str">
        <f t="shared" si="11"/>
        <v/>
      </c>
      <c r="G134" s="12" t="str">
        <f t="shared" si="12"/>
        <v/>
      </c>
    </row>
    <row r="135" spans="1:7" x14ac:dyDescent="0.3">
      <c r="A135" t="s">
        <v>317</v>
      </c>
      <c r="B135" t="s">
        <v>318</v>
      </c>
      <c r="C135" s="13" t="s">
        <v>68</v>
      </c>
      <c r="D135" s="19">
        <v>5</v>
      </c>
      <c r="E135" s="20">
        <f t="shared" si="10"/>
        <v>59</v>
      </c>
      <c r="F135" s="12" t="str">
        <f t="shared" si="11"/>
        <v/>
      </c>
      <c r="G135" s="12" t="str">
        <f t="shared" si="12"/>
        <v/>
      </c>
    </row>
    <row r="136" spans="1:7" x14ac:dyDescent="0.3">
      <c r="A136" t="s">
        <v>319</v>
      </c>
      <c r="B136" t="s">
        <v>320</v>
      </c>
      <c r="C136" s="13" t="s">
        <v>69</v>
      </c>
      <c r="D136" s="19">
        <v>5</v>
      </c>
      <c r="E136" s="20">
        <f t="shared" si="10"/>
        <v>46</v>
      </c>
      <c r="F136" s="12" t="str">
        <f t="shared" si="11"/>
        <v/>
      </c>
      <c r="G136" s="12" t="str">
        <f t="shared" si="12"/>
        <v/>
      </c>
    </row>
    <row r="137" spans="1:7" x14ac:dyDescent="0.3">
      <c r="A137" t="s">
        <v>321</v>
      </c>
      <c r="B137" t="s">
        <v>322</v>
      </c>
      <c r="C137" s="13" t="s">
        <v>68</v>
      </c>
      <c r="D137" s="19">
        <v>4.8</v>
      </c>
      <c r="E137" s="20">
        <f t="shared" si="10"/>
        <v>56.64</v>
      </c>
      <c r="F137" s="12" t="str">
        <f t="shared" si="11"/>
        <v/>
      </c>
      <c r="G137" s="12" t="str">
        <f t="shared" si="12"/>
        <v/>
      </c>
    </row>
    <row r="138" spans="1:7" x14ac:dyDescent="0.3">
      <c r="A138" t="s">
        <v>323</v>
      </c>
      <c r="B138" t="s">
        <v>324</v>
      </c>
      <c r="C138" s="13" t="s">
        <v>69</v>
      </c>
      <c r="D138" s="19">
        <v>4.8</v>
      </c>
      <c r="E138" s="20">
        <f t="shared" si="10"/>
        <v>44.16</v>
      </c>
      <c r="F138" s="12" t="str">
        <f t="shared" si="11"/>
        <v/>
      </c>
      <c r="G138" s="12" t="str">
        <f t="shared" si="12"/>
        <v/>
      </c>
    </row>
    <row r="139" spans="1:7" x14ac:dyDescent="0.3">
      <c r="A139" t="s">
        <v>325</v>
      </c>
      <c r="B139" t="s">
        <v>326</v>
      </c>
      <c r="C139" s="13"/>
      <c r="D139" s="19"/>
      <c r="E139" s="20">
        <v>0.85680000000000001</v>
      </c>
      <c r="F139" s="12"/>
      <c r="G139" s="12"/>
    </row>
    <row r="140" spans="1:7" x14ac:dyDescent="0.3">
      <c r="A140" t="s">
        <v>327</v>
      </c>
      <c r="B140" t="s">
        <v>328</v>
      </c>
      <c r="C140" s="13"/>
      <c r="D140" s="19"/>
      <c r="E140" s="20">
        <v>0.40949999999999998</v>
      </c>
      <c r="F140" s="12"/>
      <c r="G140" s="12"/>
    </row>
    <row r="141" spans="1:7" x14ac:dyDescent="0.3">
      <c r="A141" t="s">
        <v>329</v>
      </c>
      <c r="B141" t="s">
        <v>330</v>
      </c>
      <c r="C141" s="13"/>
      <c r="D141" s="19"/>
      <c r="E141" s="20">
        <v>1.278</v>
      </c>
      <c r="F141" s="12"/>
      <c r="G141" s="12"/>
    </row>
    <row r="142" spans="1:7" x14ac:dyDescent="0.3">
      <c r="A142" t="s">
        <v>331</v>
      </c>
      <c r="B142" t="s">
        <v>332</v>
      </c>
      <c r="C142" s="13" t="s">
        <v>70</v>
      </c>
      <c r="D142" s="19">
        <v>1.5</v>
      </c>
      <c r="E142" s="20">
        <f>IF(AND(ISNUMBER($D142),ISNUMBER(VLOOKUP($C142,$A$5:$F$11,4,FALSE))),$D142*VLOOKUP($C142,$A$5:$F$11,4,FALSE),"")</f>
        <v>5.85</v>
      </c>
      <c r="F142" s="12" t="str">
        <f>IF(AND(ISNUMBER($D142),ISNUMBER(VLOOKUP($C142,$A$5:$F$11,2,FALSE)),ISNUMBER(VLOOKUP($C142,$A$5:$F$11,5,FALSE))),$D142*VLOOKUP($C142,$A$5:$F$11,2,FALSE)*VLOOKUP($C142,$A$5:$F$11,5,FALSE),"")</f>
        <v/>
      </c>
      <c r="G142" s="12" t="str">
        <f>IF(AND(ISNUMBER($D142),ISNUMBER(VLOOKUP($C142,$A$5:$F$11,2,FALSE)),ISNUMBER(VLOOKUP($C142,$A$5:$F$11,3,FALSE)),VLOOKUP($C142,$A$5:$F$11,3,FALSE)&gt;0,ISNUMBER(VLOOKUP($C142,$A$5:$F$11,6,FALSE))),$D142*VLOOKUP($C142,$A$5:$F$11,2,FALSE)*(1+VLOOKUP($C142,$A$5:$F$11,3,FALSE))*VLOOKUP($C142,$A$5:$F$11,6,FALSE),"")</f>
        <v/>
      </c>
    </row>
    <row r="143" spans="1:7" x14ac:dyDescent="0.3">
      <c r="A143" t="s">
        <v>333</v>
      </c>
      <c r="B143" t="s">
        <v>334</v>
      </c>
      <c r="C143" s="13" t="s">
        <v>71</v>
      </c>
      <c r="D143" s="19">
        <v>1.5</v>
      </c>
      <c r="E143" s="20">
        <f>IF(AND(ISNUMBER($D143),ISNUMBER(VLOOKUP($C143,$A$5:$F$11,4,FALSE))),$D143*VLOOKUP($C143,$A$5:$F$11,4,FALSE),"")</f>
        <v>5.2649999999999997</v>
      </c>
      <c r="F143" s="12" t="str">
        <f>IF(AND(ISNUMBER($D143),ISNUMBER(VLOOKUP($C143,$A$5:$F$11,2,FALSE)),ISNUMBER(VLOOKUP($C143,$A$5:$F$11,5,FALSE))),$D143*VLOOKUP($C143,$A$5:$F$11,2,FALSE)*VLOOKUP($C143,$A$5:$F$11,5,FALSE),"")</f>
        <v/>
      </c>
      <c r="G143" s="12" t="str">
        <f>IF(AND(ISNUMBER($D143),ISNUMBER(VLOOKUP($C143,$A$5:$F$11,2,FALSE)),ISNUMBER(VLOOKUP($C143,$A$5:$F$11,3,FALSE)),VLOOKUP($C143,$A$5:$F$11,3,FALSE)&gt;0,ISNUMBER(VLOOKUP($C143,$A$5:$F$11,6,FALSE))),$D143*VLOOKUP($C143,$A$5:$F$11,2,FALSE)*(1+VLOOKUP($C143,$A$5:$F$11,3,FALSE))*VLOOKUP($C143,$A$5:$F$11,6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pane ySplit="5" topLeftCell="A6" activePane="bottomLeft" state="frozen"/>
      <selection pane="bottomLeft" activeCell="C10" sqref="C10"/>
    </sheetView>
  </sheetViews>
  <sheetFormatPr defaultRowHeight="14.4" x14ac:dyDescent="0.3"/>
  <cols>
    <col min="1" max="1" width="22" customWidth="1"/>
    <col min="2" max="2" width="52" customWidth="1"/>
    <col min="3" max="3" width="20" customWidth="1"/>
    <col min="4" max="7" width="16" customWidth="1"/>
  </cols>
  <sheetData>
    <row r="1" spans="1:7" ht="15.6" customHeight="1" x14ac:dyDescent="0.3">
      <c r="A1" s="15" t="s">
        <v>0</v>
      </c>
    </row>
    <row r="2" spans="1:7" x14ac:dyDescent="0.3">
      <c r="A2" s="22" t="s">
        <v>1</v>
      </c>
    </row>
    <row r="4" spans="1:7" ht="15.6" customHeight="1" x14ac:dyDescent="0.3">
      <c r="A4" s="15" t="s">
        <v>2</v>
      </c>
    </row>
    <row r="5" spans="1:7" ht="27.6" customHeight="1" x14ac:dyDescent="0.3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23" t="s">
        <v>8</v>
      </c>
      <c r="G5" s="23" t="s">
        <v>9</v>
      </c>
    </row>
    <row r="6" spans="1:7" x14ac:dyDescent="0.3">
      <c r="A6" t="s">
        <v>10</v>
      </c>
      <c r="B6" t="s">
        <v>11</v>
      </c>
      <c r="C6" s="18">
        <v>0.624</v>
      </c>
      <c r="D6" s="17"/>
      <c r="E6" s="18">
        <f t="shared" ref="E6:E28" si="0">IF(ISNUMBER($C6),$C6*(1+IF(ISNUMBER($D6),$D6,0)),"")</f>
        <v>0.624</v>
      </c>
      <c r="F6" s="21"/>
      <c r="G6" s="21"/>
    </row>
    <row r="7" spans="1:7" x14ac:dyDescent="0.3">
      <c r="A7" t="s">
        <v>12</v>
      </c>
      <c r="B7" t="s">
        <v>13</v>
      </c>
      <c r="C7" s="18">
        <v>0.78620000000000001</v>
      </c>
      <c r="D7" s="17"/>
      <c r="E7" s="18">
        <f t="shared" si="0"/>
        <v>0.78620000000000001</v>
      </c>
      <c r="F7" s="21"/>
      <c r="G7" s="21"/>
    </row>
    <row r="8" spans="1:7" x14ac:dyDescent="0.3">
      <c r="A8" t="s">
        <v>14</v>
      </c>
      <c r="B8" t="s">
        <v>15</v>
      </c>
      <c r="C8" s="18">
        <v>0.28079999999999999</v>
      </c>
      <c r="D8" s="17"/>
      <c r="E8" s="18">
        <f t="shared" si="0"/>
        <v>0.28079999999999999</v>
      </c>
      <c r="F8" s="21"/>
      <c r="G8" s="21"/>
    </row>
    <row r="9" spans="1:7" x14ac:dyDescent="0.3">
      <c r="A9" t="s">
        <v>16</v>
      </c>
      <c r="B9" t="s">
        <v>17</v>
      </c>
      <c r="C9" s="18">
        <v>5.0750000000000002</v>
      </c>
      <c r="D9" s="17"/>
      <c r="E9" s="18">
        <f t="shared" si="0"/>
        <v>5.0750000000000002</v>
      </c>
      <c r="F9" s="21"/>
      <c r="G9" s="21"/>
    </row>
    <row r="10" spans="1:7" x14ac:dyDescent="0.3">
      <c r="A10" t="s">
        <v>18</v>
      </c>
      <c r="B10" t="s">
        <v>19</v>
      </c>
      <c r="C10" s="18">
        <v>0.84240000000000004</v>
      </c>
      <c r="D10" s="17"/>
      <c r="E10" s="18">
        <f t="shared" si="0"/>
        <v>0.84240000000000004</v>
      </c>
      <c r="F10" s="21"/>
      <c r="G10" s="21"/>
    </row>
    <row r="11" spans="1:7" x14ac:dyDescent="0.3">
      <c r="A11" t="s">
        <v>20</v>
      </c>
      <c r="B11" t="s">
        <v>21</v>
      </c>
      <c r="C11" s="18">
        <v>2.9483999999999999</v>
      </c>
      <c r="D11" s="17"/>
      <c r="E11" s="18">
        <f t="shared" si="0"/>
        <v>2.9483999999999999</v>
      </c>
      <c r="F11" s="21"/>
      <c r="G11" s="21"/>
    </row>
    <row r="12" spans="1:7" x14ac:dyDescent="0.3">
      <c r="A12" t="s">
        <v>22</v>
      </c>
      <c r="B12" t="s">
        <v>23</v>
      </c>
      <c r="C12" s="18">
        <v>0.21840000000000001</v>
      </c>
      <c r="D12" s="17"/>
      <c r="E12" s="18">
        <f t="shared" si="0"/>
        <v>0.21840000000000001</v>
      </c>
      <c r="F12" s="21"/>
      <c r="G12" s="21"/>
    </row>
    <row r="13" spans="1:7" x14ac:dyDescent="0.3">
      <c r="A13" t="s">
        <v>24</v>
      </c>
      <c r="B13" t="s">
        <v>25</v>
      </c>
      <c r="C13" s="18">
        <v>0.65239999999999998</v>
      </c>
      <c r="D13" s="17"/>
      <c r="E13" s="18">
        <f t="shared" si="0"/>
        <v>0.65239999999999998</v>
      </c>
      <c r="F13" s="21"/>
      <c r="G13" s="21"/>
    </row>
    <row r="14" spans="1:7" x14ac:dyDescent="0.3">
      <c r="A14" t="s">
        <v>26</v>
      </c>
      <c r="B14" t="s">
        <v>27</v>
      </c>
      <c r="C14" s="18">
        <v>2.1528</v>
      </c>
      <c r="D14" s="17"/>
      <c r="E14" s="18">
        <f t="shared" si="0"/>
        <v>2.1528</v>
      </c>
      <c r="F14" s="21"/>
      <c r="G14" s="21"/>
    </row>
    <row r="15" spans="1:7" x14ac:dyDescent="0.3">
      <c r="A15" t="s">
        <v>28</v>
      </c>
      <c r="B15" t="s">
        <v>29</v>
      </c>
      <c r="C15" s="18">
        <v>2.7256</v>
      </c>
      <c r="D15" s="17"/>
      <c r="E15" s="18">
        <f t="shared" si="0"/>
        <v>2.7256</v>
      </c>
      <c r="F15" s="21"/>
      <c r="G15" s="21"/>
    </row>
    <row r="16" spans="1:7" x14ac:dyDescent="0.3">
      <c r="A16" t="s">
        <v>30</v>
      </c>
      <c r="B16" t="s">
        <v>31</v>
      </c>
      <c r="C16" s="18">
        <v>2.6856960000000001</v>
      </c>
      <c r="D16" s="17"/>
      <c r="E16" s="18">
        <f t="shared" si="0"/>
        <v>2.6856960000000001</v>
      </c>
      <c r="F16" s="21"/>
      <c r="G16" s="21"/>
    </row>
    <row r="17" spans="1:7" x14ac:dyDescent="0.3">
      <c r="A17" t="s">
        <v>32</v>
      </c>
      <c r="B17" t="s">
        <v>33</v>
      </c>
      <c r="C17" s="18">
        <v>2.6856960000000001</v>
      </c>
      <c r="D17" s="17"/>
      <c r="E17" s="18">
        <f t="shared" si="0"/>
        <v>2.6856960000000001</v>
      </c>
      <c r="F17" s="21"/>
      <c r="G17" s="21"/>
    </row>
    <row r="18" spans="1:7" x14ac:dyDescent="0.3">
      <c r="A18" t="s">
        <v>34</v>
      </c>
      <c r="B18" t="s">
        <v>35</v>
      </c>
      <c r="C18" s="18">
        <v>7.0012800000000004</v>
      </c>
      <c r="D18" s="17"/>
      <c r="E18" s="18">
        <f t="shared" si="0"/>
        <v>7.0012800000000004</v>
      </c>
      <c r="F18" s="21"/>
      <c r="G18" s="21"/>
    </row>
    <row r="19" spans="1:7" x14ac:dyDescent="0.3">
      <c r="A19" t="s">
        <v>36</v>
      </c>
      <c r="B19" t="s">
        <v>37</v>
      </c>
      <c r="C19" s="18">
        <v>2.169</v>
      </c>
      <c r="D19" s="17"/>
      <c r="E19" s="18">
        <f t="shared" si="0"/>
        <v>2.169</v>
      </c>
      <c r="F19" s="21"/>
      <c r="G19" s="21"/>
    </row>
    <row r="20" spans="1:7" x14ac:dyDescent="0.3">
      <c r="A20" t="s">
        <v>38</v>
      </c>
      <c r="B20" t="s">
        <v>39</v>
      </c>
      <c r="C20" s="18">
        <v>2.169</v>
      </c>
      <c r="D20" s="17"/>
      <c r="E20" s="18">
        <f t="shared" si="0"/>
        <v>2.169</v>
      </c>
      <c r="F20" s="21"/>
      <c r="G20" s="21"/>
    </row>
    <row r="21" spans="1:7" x14ac:dyDescent="0.3">
      <c r="A21" t="s">
        <v>40</v>
      </c>
      <c r="B21" t="s">
        <v>41</v>
      </c>
      <c r="C21" s="18">
        <v>7.3788</v>
      </c>
      <c r="D21" s="17"/>
      <c r="E21" s="18">
        <f t="shared" si="0"/>
        <v>7.3788</v>
      </c>
      <c r="F21" s="21"/>
      <c r="G21" s="21"/>
    </row>
    <row r="22" spans="1:7" x14ac:dyDescent="0.3">
      <c r="A22" t="s">
        <v>42</v>
      </c>
      <c r="B22" t="s">
        <v>43</v>
      </c>
      <c r="C22" s="18">
        <v>4.5708000000000002</v>
      </c>
      <c r="D22" s="17"/>
      <c r="E22" s="18">
        <f t="shared" si="0"/>
        <v>4.5708000000000002</v>
      </c>
      <c r="F22" s="21"/>
      <c r="G22" s="21"/>
    </row>
    <row r="23" spans="1:7" x14ac:dyDescent="0.3">
      <c r="A23" t="s">
        <v>44</v>
      </c>
      <c r="B23" t="s">
        <v>45</v>
      </c>
      <c r="C23" s="18">
        <v>2.54</v>
      </c>
      <c r="D23" s="17"/>
      <c r="E23" s="18">
        <f t="shared" si="0"/>
        <v>2.54</v>
      </c>
      <c r="F23" s="21"/>
      <c r="G23" s="21"/>
    </row>
    <row r="24" spans="1:7" x14ac:dyDescent="0.3">
      <c r="A24" t="s">
        <v>46</v>
      </c>
      <c r="B24" t="s">
        <v>47</v>
      </c>
      <c r="C24" s="18">
        <v>0.51949999999999996</v>
      </c>
      <c r="D24" s="17"/>
      <c r="E24" s="18">
        <f t="shared" si="0"/>
        <v>0.51949999999999996</v>
      </c>
      <c r="F24" s="21"/>
      <c r="G24" s="21"/>
    </row>
    <row r="25" spans="1:7" x14ac:dyDescent="0.3">
      <c r="A25" t="s">
        <v>48</v>
      </c>
      <c r="B25" t="s">
        <v>49</v>
      </c>
      <c r="C25" s="18">
        <v>0.51949999999999996</v>
      </c>
      <c r="D25" s="17"/>
      <c r="E25" s="18">
        <f t="shared" si="0"/>
        <v>0.51949999999999996</v>
      </c>
      <c r="F25" s="21"/>
      <c r="G25" s="21"/>
    </row>
    <row r="26" spans="1:7" x14ac:dyDescent="0.3">
      <c r="A26" t="s">
        <v>50</v>
      </c>
      <c r="B26" t="s">
        <v>51</v>
      </c>
      <c r="C26" s="18">
        <v>0.45137500000000003</v>
      </c>
      <c r="D26" s="17"/>
      <c r="E26" s="18">
        <f t="shared" si="0"/>
        <v>0.45137500000000003</v>
      </c>
      <c r="F26" s="21"/>
      <c r="G26" s="21"/>
    </row>
    <row r="27" spans="1:7" x14ac:dyDescent="0.3">
      <c r="A27" t="s">
        <v>52</v>
      </c>
      <c r="B27" t="s">
        <v>53</v>
      </c>
      <c r="C27" s="18">
        <v>0.136355</v>
      </c>
      <c r="D27" s="17"/>
      <c r="E27" s="18">
        <f t="shared" si="0"/>
        <v>0.136355</v>
      </c>
      <c r="F27" s="21"/>
      <c r="G27" s="21"/>
    </row>
    <row r="28" spans="1:7" x14ac:dyDescent="0.3">
      <c r="A28" t="s">
        <v>54</v>
      </c>
      <c r="B28" t="s">
        <v>55</v>
      </c>
      <c r="C28" s="18"/>
      <c r="D28" s="17"/>
      <c r="E28" s="18" t="str">
        <f t="shared" si="0"/>
        <v/>
      </c>
      <c r="F28" s="21"/>
      <c r="G28" s="21"/>
    </row>
    <row r="29" spans="1:7" x14ac:dyDescent="0.3">
      <c r="C29" s="18"/>
      <c r="D29" s="17"/>
      <c r="E29" s="18"/>
      <c r="F29" s="21"/>
      <c r="G29" s="21"/>
    </row>
    <row r="30" spans="1:7" x14ac:dyDescent="0.3">
      <c r="C30" s="18"/>
      <c r="D30" s="17"/>
      <c r="E30" s="18"/>
      <c r="F30" s="21"/>
      <c r="G30" s="21"/>
    </row>
    <row r="31" spans="1:7" x14ac:dyDescent="0.3">
      <c r="C31" s="18"/>
      <c r="D31" s="17"/>
      <c r="E31" s="18"/>
      <c r="F31" s="21"/>
      <c r="G31" s="21"/>
    </row>
    <row r="32" spans="1:7" x14ac:dyDescent="0.3">
      <c r="C32" s="18"/>
      <c r="D32" s="17"/>
      <c r="E32" s="18"/>
      <c r="F32" s="21"/>
      <c r="G32" s="21"/>
    </row>
    <row r="33" spans="1:7" x14ac:dyDescent="0.3">
      <c r="C33" s="18"/>
      <c r="D33" s="17"/>
      <c r="E33" s="18"/>
      <c r="F33" s="21"/>
      <c r="G33" s="21"/>
    </row>
    <row r="34" spans="1:7" x14ac:dyDescent="0.3">
      <c r="C34" s="18"/>
      <c r="D34" s="17"/>
      <c r="E34" s="18"/>
      <c r="F34" s="21"/>
      <c r="G34" s="21"/>
    </row>
    <row r="36" spans="1:7" ht="15.6" customHeight="1" x14ac:dyDescent="0.3">
      <c r="A36" s="15" t="s">
        <v>56</v>
      </c>
    </row>
    <row r="37" spans="1:7" ht="27.6" customHeight="1" x14ac:dyDescent="0.3">
      <c r="A37" s="23" t="s">
        <v>57</v>
      </c>
      <c r="B37" s="23" t="s">
        <v>4</v>
      </c>
      <c r="C37" s="23" t="s">
        <v>3</v>
      </c>
      <c r="D37" s="23" t="s">
        <v>58</v>
      </c>
      <c r="E37" s="23" t="s">
        <v>59</v>
      </c>
      <c r="F37" s="23" t="s">
        <v>60</v>
      </c>
    </row>
    <row r="38" spans="1:7" x14ac:dyDescent="0.3">
      <c r="A38" t="s">
        <v>10</v>
      </c>
      <c r="B38" t="str">
        <f t="shared" ref="B38:B60" si="1">IFERROR(VLOOKUP($C38,$A$6:$G$28,2,FALSE),"")</f>
        <v>Piastra giunzione montanti centrali 200x100x4 (8 fori Ø 11)</v>
      </c>
      <c r="C38" t="s">
        <v>10</v>
      </c>
      <c r="D38" s="20">
        <f t="shared" ref="D38:D60" si="2">IF(ISNUMBER(VLOOKUP($C38,$A$6:$G$28,5,FALSE)),VLOOKUP($C38,$A$6:$G$28,5,FALSE),"")</f>
        <v>0.624</v>
      </c>
      <c r="E38" s="12" t="str">
        <f t="shared" ref="E38:E60" si="3">IF(AND(ISNUMBER(VLOOKUP($C38,$A$6:$G$28,3,FALSE)),ISNUMBER(VLOOKUP($C38,$A$6:$G$28,6,FALSE))),VLOOKUP($C38,$A$6:$G$28,3,FALSE)*VLOOKUP($C38,$A$6:$G$28,6,FALSE),"")</f>
        <v/>
      </c>
      <c r="F38" s="12" t="str">
        <f t="shared" ref="F38:F60" si="4">IF(AND(ISNUMBER(VLOOKUP($C38,$A$6:$G$28,3,FALSE)),ISNUMBER(VLOOKUP($C38,$A$6:$G$28,4,FALSE)),VLOOKUP($C38,$A$6:$G$28,4,FALSE)&gt;0,ISNUMBER(VLOOKUP($C38,$A$6:$G$28,7,FALSE))),VLOOKUP($C38,$A$6:$G$28,3,FALSE)*(1+VLOOKUP($C38,$A$6:$G$28,4,FALSE))*VLOOKUP($C38,$A$6:$G$28,7,FALSE),"")</f>
        <v/>
      </c>
    </row>
    <row r="39" spans="1:7" x14ac:dyDescent="0.3">
      <c r="A39" t="s">
        <v>12</v>
      </c>
      <c r="B39" t="str">
        <f t="shared" si="1"/>
        <v>Piastra giunzione montanti esterna 240x70x6 (12 fori Ø 11)</v>
      </c>
      <c r="C39" t="s">
        <v>12</v>
      </c>
      <c r="D39" s="20">
        <f t="shared" si="2"/>
        <v>0.78620000000000001</v>
      </c>
      <c r="E39" s="12" t="str">
        <f t="shared" si="3"/>
        <v/>
      </c>
      <c r="F39" s="12" t="str">
        <f t="shared" si="4"/>
        <v/>
      </c>
    </row>
    <row r="40" spans="1:7" x14ac:dyDescent="0.3">
      <c r="A40" t="s">
        <v>14</v>
      </c>
      <c r="B40" t="str">
        <f t="shared" si="1"/>
        <v>Piastra giunzione montanti interna 240x25x6 (6 fori Ø 11)</v>
      </c>
      <c r="C40" t="s">
        <v>14</v>
      </c>
      <c r="D40" s="20">
        <f t="shared" si="2"/>
        <v>0.28079999999999999</v>
      </c>
      <c r="E40" s="12" t="str">
        <f t="shared" si="3"/>
        <v/>
      </c>
      <c r="F40" s="12" t="str">
        <f t="shared" si="4"/>
        <v/>
      </c>
    </row>
    <row r="41" spans="1:7" x14ac:dyDescent="0.3">
      <c r="A41" t="s">
        <v>16</v>
      </c>
      <c r="B41" t="str">
        <f t="shared" si="1"/>
        <v>Gaffa giunzione asse</v>
      </c>
      <c r="C41" t="s">
        <v>16</v>
      </c>
      <c r="D41" s="20">
        <f t="shared" si="2"/>
        <v>5.0750000000000002</v>
      </c>
      <c r="E41" s="12" t="str">
        <f t="shared" si="3"/>
        <v/>
      </c>
      <c r="F41" s="12" t="str">
        <f t="shared" si="4"/>
        <v/>
      </c>
    </row>
    <row r="42" spans="1:7" x14ac:dyDescent="0.3">
      <c r="A42" t="s">
        <v>18</v>
      </c>
      <c r="B42" t="str">
        <f t="shared" si="1"/>
        <v>Supporto superiore inclinometro</v>
      </c>
      <c r="C42" t="s">
        <v>18</v>
      </c>
      <c r="D42" s="20">
        <f t="shared" si="2"/>
        <v>0.84240000000000004</v>
      </c>
      <c r="E42" s="12" t="str">
        <f t="shared" si="3"/>
        <v/>
      </c>
      <c r="F42" s="12" t="str">
        <f t="shared" si="4"/>
        <v/>
      </c>
    </row>
    <row r="43" spans="1:7" x14ac:dyDescent="0.3">
      <c r="A43" t="s">
        <v>20</v>
      </c>
      <c r="B43" t="str">
        <f t="shared" si="1"/>
        <v>Supporto inferiore inclinometro</v>
      </c>
      <c r="C43" t="s">
        <v>20</v>
      </c>
      <c r="D43" s="20">
        <f t="shared" si="2"/>
        <v>2.9483999999999999</v>
      </c>
      <c r="E43" s="12" t="str">
        <f t="shared" si="3"/>
        <v/>
      </c>
      <c r="F43" s="12" t="str">
        <f t="shared" si="4"/>
        <v/>
      </c>
    </row>
    <row r="44" spans="1:7" x14ac:dyDescent="0.3">
      <c r="A44" t="s">
        <v>22</v>
      </c>
      <c r="B44" t="str">
        <f t="shared" si="1"/>
        <v>Piastra ad L supporto fine corsa</v>
      </c>
      <c r="C44" t="s">
        <v>22</v>
      </c>
      <c r="D44" s="20">
        <f t="shared" si="2"/>
        <v>0.21840000000000001</v>
      </c>
      <c r="E44" s="12" t="str">
        <f t="shared" si="3"/>
        <v/>
      </c>
      <c r="F44" s="12" t="str">
        <f t="shared" si="4"/>
        <v/>
      </c>
    </row>
    <row r="45" spans="1:7" x14ac:dyDescent="0.3">
      <c r="A45" t="s">
        <v>24</v>
      </c>
      <c r="B45" t="str">
        <f t="shared" si="1"/>
        <v>Leva battente sensore fine corsa</v>
      </c>
      <c r="C45" t="s">
        <v>24</v>
      </c>
      <c r="D45" s="20">
        <f t="shared" si="2"/>
        <v>0.65239999999999998</v>
      </c>
      <c r="E45" s="12" t="str">
        <f t="shared" si="3"/>
        <v/>
      </c>
      <c r="F45" s="12" t="str">
        <f t="shared" si="4"/>
        <v/>
      </c>
    </row>
    <row r="46" spans="1:7" x14ac:dyDescent="0.3">
      <c r="A46" t="s">
        <v>26</v>
      </c>
      <c r="B46" t="str">
        <f t="shared" si="1"/>
        <v>Supporto laterale testa cuscinetto</v>
      </c>
      <c r="C46" t="s">
        <v>26</v>
      </c>
      <c r="D46" s="20">
        <f t="shared" si="2"/>
        <v>2.1528</v>
      </c>
      <c r="E46" s="12" t="str">
        <f t="shared" si="3"/>
        <v/>
      </c>
      <c r="F46" s="12" t="str">
        <f t="shared" si="4"/>
        <v/>
      </c>
    </row>
    <row r="47" spans="1:7" x14ac:dyDescent="0.3">
      <c r="A47" t="s">
        <v>28</v>
      </c>
      <c r="B47" t="str">
        <f t="shared" si="1"/>
        <v>Supporto testa cuscinetto</v>
      </c>
      <c r="C47" t="s">
        <v>28</v>
      </c>
      <c r="D47" s="20">
        <f t="shared" si="2"/>
        <v>2.7256</v>
      </c>
      <c r="E47" s="12" t="str">
        <f t="shared" si="3"/>
        <v/>
      </c>
      <c r="F47" s="12" t="str">
        <f t="shared" si="4"/>
        <v/>
      </c>
    </row>
    <row r="48" spans="1:7" x14ac:dyDescent="0.3">
      <c r="A48" t="s">
        <v>30</v>
      </c>
      <c r="B48" t="str">
        <f t="shared" si="1"/>
        <v>Angolare 40x40x4 lungo 1076 mm. supporto inferiore</v>
      </c>
      <c r="C48" t="s">
        <v>30</v>
      </c>
      <c r="D48" s="20">
        <f t="shared" si="2"/>
        <v>2.6856960000000001</v>
      </c>
      <c r="E48" s="12" t="str">
        <f t="shared" si="3"/>
        <v/>
      </c>
      <c r="F48" s="12" t="str">
        <f t="shared" si="4"/>
        <v/>
      </c>
    </row>
    <row r="49" spans="1:6" x14ac:dyDescent="0.3">
      <c r="A49" t="s">
        <v>32</v>
      </c>
      <c r="B49" t="str">
        <f t="shared" si="1"/>
        <v>Angolare 40x40x4 lungo1076 mm. supporto superiore</v>
      </c>
      <c r="C49" t="s">
        <v>32</v>
      </c>
      <c r="D49" s="20">
        <f t="shared" si="2"/>
        <v>2.6856960000000001</v>
      </c>
      <c r="E49" s="12" t="str">
        <f t="shared" si="3"/>
        <v/>
      </c>
      <c r="F49" s="12" t="str">
        <f t="shared" si="4"/>
        <v/>
      </c>
    </row>
    <row r="50" spans="1:6" x14ac:dyDescent="0.3">
      <c r="A50" t="s">
        <v>34</v>
      </c>
      <c r="B50" t="str">
        <f t="shared" si="1"/>
        <v>Palo MAX lungo mt.2,040</v>
      </c>
      <c r="C50" t="s">
        <v>34</v>
      </c>
      <c r="D50" s="20">
        <f t="shared" si="2"/>
        <v>7.0012800000000004</v>
      </c>
      <c r="E50" s="12" t="str">
        <f t="shared" si="3"/>
        <v/>
      </c>
      <c r="F50" s="12" t="str">
        <f t="shared" si="4"/>
        <v/>
      </c>
    </row>
    <row r="51" spans="1:6" x14ac:dyDescent="0.3">
      <c r="A51" t="s">
        <v>36</v>
      </c>
      <c r="B51" t="str">
        <f t="shared" si="1"/>
        <v>Angolare 40x40x4 lungo 869 mm. superiore</v>
      </c>
      <c r="C51" t="s">
        <v>36</v>
      </c>
      <c r="D51" s="20">
        <f t="shared" si="2"/>
        <v>2.169</v>
      </c>
      <c r="E51" s="12" t="str">
        <f t="shared" si="3"/>
        <v/>
      </c>
      <c r="F51" s="12" t="str">
        <f t="shared" si="4"/>
        <v/>
      </c>
    </row>
    <row r="52" spans="1:6" x14ac:dyDescent="0.3">
      <c r="A52" t="s">
        <v>38</v>
      </c>
      <c r="B52" t="str">
        <f t="shared" si="1"/>
        <v>Angolare 40x40x4 lungo 869 mm. inferiore</v>
      </c>
      <c r="C52" t="s">
        <v>38</v>
      </c>
      <c r="D52" s="20">
        <f t="shared" si="2"/>
        <v>2.169</v>
      </c>
      <c r="E52" s="12" t="str">
        <f t="shared" si="3"/>
        <v/>
      </c>
      <c r="F52" s="12" t="str">
        <f t="shared" si="4"/>
        <v/>
      </c>
    </row>
    <row r="53" spans="1:6" x14ac:dyDescent="0.3">
      <c r="A53" t="s">
        <v>40</v>
      </c>
      <c r="B53" t="str">
        <f t="shared" si="1"/>
        <v>Palo MAX lungo mt.2,150</v>
      </c>
      <c r="C53" t="s">
        <v>40</v>
      </c>
      <c r="D53" s="20">
        <f t="shared" si="2"/>
        <v>7.3788</v>
      </c>
      <c r="E53" s="12" t="str">
        <f t="shared" si="3"/>
        <v/>
      </c>
      <c r="F53" s="12" t="str">
        <f t="shared" si="4"/>
        <v/>
      </c>
    </row>
    <row r="54" spans="1:6" x14ac:dyDescent="0.3">
      <c r="A54" t="s">
        <v>42</v>
      </c>
      <c r="B54" t="str">
        <f t="shared" si="1"/>
        <v>Supporto laterale testa riduttore</v>
      </c>
      <c r="C54" t="s">
        <v>42</v>
      </c>
      <c r="D54" s="20">
        <f t="shared" si="2"/>
        <v>4.5708000000000002</v>
      </c>
      <c r="E54" s="12" t="str">
        <f t="shared" si="3"/>
        <v/>
      </c>
      <c r="F54" s="12" t="str">
        <f t="shared" si="4"/>
        <v/>
      </c>
    </row>
    <row r="55" spans="1:6" x14ac:dyDescent="0.3">
      <c r="A55" t="s">
        <v>44</v>
      </c>
      <c r="B55" t="str">
        <f t="shared" si="1"/>
        <v>Testa riduttore pilastro motore</v>
      </c>
      <c r="C55" t="s">
        <v>44</v>
      </c>
      <c r="D55" s="20">
        <f t="shared" si="2"/>
        <v>2.54</v>
      </c>
      <c r="E55" s="12" t="str">
        <f t="shared" si="3"/>
        <v/>
      </c>
      <c r="F55" s="12" t="str">
        <f t="shared" si="4"/>
        <v/>
      </c>
    </row>
    <row r="56" spans="1:6" x14ac:dyDescent="0.3">
      <c r="A56" t="s">
        <v>46</v>
      </c>
      <c r="B56" t="str">
        <f t="shared" si="1"/>
        <v>Angolare 30x30x4 lungo 370 mm. superiore</v>
      </c>
      <c r="C56" t="s">
        <v>46</v>
      </c>
      <c r="D56" s="20">
        <f t="shared" si="2"/>
        <v>0.51949999999999996</v>
      </c>
      <c r="E56" s="12" t="str">
        <f t="shared" si="3"/>
        <v/>
      </c>
      <c r="F56" s="12" t="str">
        <f t="shared" si="4"/>
        <v/>
      </c>
    </row>
    <row r="57" spans="1:6" x14ac:dyDescent="0.3">
      <c r="A57" t="s">
        <v>48</v>
      </c>
      <c r="B57" t="str">
        <f t="shared" si="1"/>
        <v>Angolare 30x30x4 lungo 370 mm. inferiore</v>
      </c>
      <c r="C57" t="s">
        <v>48</v>
      </c>
      <c r="D57" s="20">
        <f t="shared" si="2"/>
        <v>0.51949999999999996</v>
      </c>
      <c r="E57" s="12" t="str">
        <f t="shared" si="3"/>
        <v/>
      </c>
      <c r="F57" s="12" t="str">
        <f t="shared" si="4"/>
        <v/>
      </c>
    </row>
    <row r="58" spans="1:6" x14ac:dyDescent="0.3">
      <c r="A58" t="s">
        <v>50</v>
      </c>
      <c r="B58" t="str">
        <f t="shared" si="1"/>
        <v>Piatto 50X5X230 supporto sensori</v>
      </c>
      <c r="C58" t="s">
        <v>50</v>
      </c>
      <c r="D58" s="20">
        <f t="shared" si="2"/>
        <v>0.45137500000000003</v>
      </c>
      <c r="E58" s="12" t="str">
        <f t="shared" si="3"/>
        <v/>
      </c>
      <c r="F58" s="12" t="str">
        <f t="shared" si="4"/>
        <v/>
      </c>
    </row>
    <row r="59" spans="1:6" x14ac:dyDescent="0.3">
      <c r="A59" t="s">
        <v>52</v>
      </c>
      <c r="B59" t="str">
        <f t="shared" si="1"/>
        <v>Piatto 30X3X193 leva sensore temperatura pannello</v>
      </c>
      <c r="C59" t="s">
        <v>52</v>
      </c>
      <c r="D59" s="20">
        <f t="shared" si="2"/>
        <v>0.136355</v>
      </c>
      <c r="E59" s="12" t="str">
        <f t="shared" si="3"/>
        <v/>
      </c>
      <c r="F59" s="12" t="str">
        <f t="shared" si="4"/>
        <v/>
      </c>
    </row>
    <row r="60" spans="1:6" x14ac:dyDescent="0.3">
      <c r="A60" t="s">
        <v>54</v>
      </c>
      <c r="B60" t="str">
        <f t="shared" si="1"/>
        <v>Asta supporto anemometro</v>
      </c>
      <c r="C60" t="s">
        <v>54</v>
      </c>
      <c r="D60" s="20" t="str">
        <f t="shared" si="2"/>
        <v/>
      </c>
      <c r="E60" s="12" t="str">
        <f t="shared" si="3"/>
        <v/>
      </c>
      <c r="F60" s="12" t="str">
        <f t="shared" si="4"/>
        <v/>
      </c>
    </row>
    <row r="61" spans="1:6" x14ac:dyDescent="0.3">
      <c r="D61" s="20"/>
      <c r="E61" s="12"/>
      <c r="F61" s="12"/>
    </row>
    <row r="62" spans="1:6" x14ac:dyDescent="0.3">
      <c r="D62" s="20"/>
      <c r="E62" s="12"/>
      <c r="F62" s="12"/>
    </row>
    <row r="63" spans="1:6" x14ac:dyDescent="0.3">
      <c r="D63" s="20"/>
      <c r="E63" s="12"/>
      <c r="F63" s="12"/>
    </row>
    <row r="64" spans="1:6" x14ac:dyDescent="0.3">
      <c r="D64" s="20"/>
      <c r="E64" s="12"/>
      <c r="F64" s="12"/>
    </row>
    <row r="65" spans="4:6" x14ac:dyDescent="0.3">
      <c r="D65" s="20"/>
      <c r="E65" s="12"/>
      <c r="F65" s="12"/>
    </row>
    <row r="66" spans="4:6" x14ac:dyDescent="0.3">
      <c r="D66" s="20"/>
      <c r="E66" s="12"/>
      <c r="F66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22" customWidth="1"/>
    <col min="2" max="2" width="52" customWidth="1"/>
    <col min="3" max="3" width="16" customWidth="1"/>
    <col min="4" max="4" width="14" customWidth="1"/>
  </cols>
  <sheetData>
    <row r="1" spans="1:4" ht="15.6" customHeight="1" x14ac:dyDescent="0.3">
      <c r="A1" s="15" t="s">
        <v>335</v>
      </c>
    </row>
    <row r="2" spans="1:4" x14ac:dyDescent="0.3">
      <c r="A2" s="22" t="s">
        <v>336</v>
      </c>
    </row>
    <row r="4" spans="1:4" ht="15.6" customHeight="1" x14ac:dyDescent="0.3">
      <c r="A4" s="15" t="s">
        <v>337</v>
      </c>
    </row>
    <row r="5" spans="1:4" x14ac:dyDescent="0.3">
      <c r="A5" s="23" t="s">
        <v>57</v>
      </c>
      <c r="B5" s="23" t="s">
        <v>4</v>
      </c>
      <c r="C5" s="23" t="s">
        <v>338</v>
      </c>
      <c r="D5" s="23" t="s">
        <v>339</v>
      </c>
    </row>
    <row r="6" spans="1:4" x14ac:dyDescent="0.3">
      <c r="A6" t="s">
        <v>340</v>
      </c>
      <c r="B6" t="s">
        <v>341</v>
      </c>
      <c r="C6" s="24"/>
      <c r="D6" s="25"/>
    </row>
    <row r="7" spans="1:4" x14ac:dyDescent="0.3">
      <c r="A7" t="s">
        <v>342</v>
      </c>
      <c r="B7" t="s">
        <v>343</v>
      </c>
      <c r="C7" s="24">
        <v>2.4500000000000001E-2</v>
      </c>
      <c r="D7" s="25"/>
    </row>
    <row r="8" spans="1:4" x14ac:dyDescent="0.3">
      <c r="A8" t="s">
        <v>344</v>
      </c>
      <c r="B8" t="s">
        <v>345</v>
      </c>
      <c r="C8" s="24">
        <v>3.0499999999999999E-2</v>
      </c>
      <c r="D8" s="25"/>
    </row>
    <row r="9" spans="1:4" x14ac:dyDescent="0.3">
      <c r="A9" t="s">
        <v>346</v>
      </c>
      <c r="B9" t="s">
        <v>347</v>
      </c>
      <c r="C9" s="24">
        <v>0.21</v>
      </c>
      <c r="D9" s="25"/>
    </row>
    <row r="10" spans="1:4" x14ac:dyDescent="0.3">
      <c r="A10" t="s">
        <v>348</v>
      </c>
      <c r="B10" t="s">
        <v>349</v>
      </c>
      <c r="C10" s="24">
        <v>9.5000000000000001E-2</v>
      </c>
      <c r="D10" s="25"/>
    </row>
    <row r="11" spans="1:4" x14ac:dyDescent="0.3">
      <c r="A11" t="s">
        <v>350</v>
      </c>
      <c r="B11" t="s">
        <v>351</v>
      </c>
      <c r="C11" s="24">
        <v>2.4500000000000001E-2</v>
      </c>
      <c r="D11" s="25"/>
    </row>
    <row r="12" spans="1:4" x14ac:dyDescent="0.3">
      <c r="A12" t="s">
        <v>352</v>
      </c>
      <c r="B12" t="s">
        <v>353</v>
      </c>
      <c r="C12" s="24">
        <v>3.0499999999999999E-2</v>
      </c>
      <c r="D12" s="25"/>
    </row>
    <row r="13" spans="1:4" x14ac:dyDescent="0.3">
      <c r="A13" t="s">
        <v>354</v>
      </c>
      <c r="B13" t="s">
        <v>355</v>
      </c>
      <c r="C13" s="24">
        <v>5.1999999999999998E-2</v>
      </c>
      <c r="D13" s="25"/>
    </row>
    <row r="14" spans="1:4" x14ac:dyDescent="0.3">
      <c r="A14" t="s">
        <v>356</v>
      </c>
      <c r="B14" t="s">
        <v>357</v>
      </c>
      <c r="C14" s="24">
        <v>0.11</v>
      </c>
      <c r="D14" s="25"/>
    </row>
    <row r="15" spans="1:4" x14ac:dyDescent="0.3">
      <c r="A15" t="s">
        <v>358</v>
      </c>
      <c r="B15" t="s">
        <v>359</v>
      </c>
      <c r="C15" s="24">
        <v>3.0999999999999999E-3</v>
      </c>
      <c r="D15" s="25"/>
    </row>
    <row r="16" spans="1:4" x14ac:dyDescent="0.3">
      <c r="A16" t="s">
        <v>360</v>
      </c>
      <c r="B16" t="s">
        <v>361</v>
      </c>
      <c r="C16" s="24">
        <v>4.1999999999999997E-3</v>
      </c>
      <c r="D16" s="25"/>
    </row>
    <row r="17" spans="1:4" x14ac:dyDescent="0.3">
      <c r="A17" t="s">
        <v>362</v>
      </c>
      <c r="B17" t="s">
        <v>363</v>
      </c>
      <c r="C17" s="24">
        <v>2.5999999999999999E-2</v>
      </c>
      <c r="D17" s="25"/>
    </row>
    <row r="18" spans="1:4" x14ac:dyDescent="0.3">
      <c r="A18" t="s">
        <v>364</v>
      </c>
      <c r="B18" t="s">
        <v>365</v>
      </c>
      <c r="C18" s="24">
        <v>5.4000000000000003E-3</v>
      </c>
      <c r="D18" s="25"/>
    </row>
    <row r="19" spans="1:4" x14ac:dyDescent="0.3">
      <c r="A19" t="s">
        <v>366</v>
      </c>
      <c r="B19" t="s">
        <v>367</v>
      </c>
      <c r="C19" s="24">
        <v>6.1999999999999998E-3</v>
      </c>
      <c r="D19" s="25"/>
    </row>
    <row r="20" spans="1:4" x14ac:dyDescent="0.3">
      <c r="A20" t="s">
        <v>368</v>
      </c>
      <c r="B20" t="s">
        <v>367</v>
      </c>
      <c r="C20" s="24">
        <v>7.0000000000000001E-3</v>
      </c>
      <c r="D20" s="25"/>
    </row>
    <row r="21" spans="1:4" x14ac:dyDescent="0.3">
      <c r="A21" t="s">
        <v>369</v>
      </c>
      <c r="B21" t="s">
        <v>370</v>
      </c>
      <c r="C21" s="24">
        <v>4.9000000000000002E-2</v>
      </c>
      <c r="D21" s="25"/>
    </row>
    <row r="22" spans="1:4" x14ac:dyDescent="0.3">
      <c r="A22" t="s">
        <v>371</v>
      </c>
      <c r="B22" t="s">
        <v>372</v>
      </c>
      <c r="C22" s="24">
        <v>1.12E-2</v>
      </c>
      <c r="D22" s="25"/>
    </row>
    <row r="23" spans="1:4" x14ac:dyDescent="0.3">
      <c r="A23" t="s">
        <v>373</v>
      </c>
      <c r="B23" t="s">
        <v>374</v>
      </c>
      <c r="C23" s="24">
        <v>1.29E-2</v>
      </c>
      <c r="D23" s="25"/>
    </row>
    <row r="24" spans="1:4" x14ac:dyDescent="0.3">
      <c r="A24" t="s">
        <v>375</v>
      </c>
      <c r="B24" t="s">
        <v>376</v>
      </c>
      <c r="C24" s="24">
        <v>1.4500000000000001E-2</v>
      </c>
      <c r="D24" s="25"/>
    </row>
    <row r="25" spans="1:4" x14ac:dyDescent="0.3">
      <c r="A25" t="s">
        <v>377</v>
      </c>
      <c r="B25" t="s">
        <v>378</v>
      </c>
      <c r="C25" s="24">
        <v>4.7999999999999996E-3</v>
      </c>
      <c r="D25" s="25"/>
    </row>
    <row r="26" spans="1:4" x14ac:dyDescent="0.3">
      <c r="A26" t="s">
        <v>379</v>
      </c>
      <c r="B26" t="s">
        <v>380</v>
      </c>
      <c r="C26" s="24">
        <v>8.9999999999999993E-3</v>
      </c>
      <c r="D26" s="25"/>
    </row>
    <row r="27" spans="1:4" x14ac:dyDescent="0.3">
      <c r="A27" t="s">
        <v>381</v>
      </c>
      <c r="B27" t="s">
        <v>382</v>
      </c>
      <c r="C27" s="24">
        <v>3.5999999999999997E-2</v>
      </c>
      <c r="D27" s="25"/>
    </row>
    <row r="28" spans="1:4" x14ac:dyDescent="0.3">
      <c r="A28" t="s">
        <v>383</v>
      </c>
      <c r="B28" t="s">
        <v>384</v>
      </c>
      <c r="C28" s="24">
        <v>1.1000000000000001E-3</v>
      </c>
      <c r="D28" s="25"/>
    </row>
    <row r="29" spans="1:4" x14ac:dyDescent="0.3">
      <c r="A29" t="s">
        <v>385</v>
      </c>
      <c r="B29" t="s">
        <v>386</v>
      </c>
      <c r="C29" s="24">
        <v>2.0999999999999999E-3</v>
      </c>
      <c r="D29" s="25"/>
    </row>
    <row r="30" spans="1:4" x14ac:dyDescent="0.3">
      <c r="A30" t="s">
        <v>387</v>
      </c>
      <c r="B30" t="s">
        <v>388</v>
      </c>
      <c r="C30" s="24">
        <v>4.7999999999999996E-3</v>
      </c>
      <c r="D30" s="25"/>
    </row>
    <row r="31" spans="1:4" x14ac:dyDescent="0.3">
      <c r="A31" t="s">
        <v>389</v>
      </c>
      <c r="B31" t="s">
        <v>390</v>
      </c>
      <c r="C31" s="24">
        <v>3.8999999999999998E-3</v>
      </c>
      <c r="D31" s="25"/>
    </row>
    <row r="32" spans="1:4" x14ac:dyDescent="0.3">
      <c r="A32" t="s">
        <v>391</v>
      </c>
      <c r="B32" t="s">
        <v>392</v>
      </c>
      <c r="C32" s="24">
        <v>1.35E-2</v>
      </c>
      <c r="D32" s="25"/>
    </row>
    <row r="33" spans="1:4" x14ac:dyDescent="0.3">
      <c r="A33" t="s">
        <v>393</v>
      </c>
      <c r="B33" t="s">
        <v>394</v>
      </c>
      <c r="C33" s="24">
        <v>5.0000000000000001E-4</v>
      </c>
      <c r="D33" s="25"/>
    </row>
    <row r="34" spans="1:4" x14ac:dyDescent="0.3">
      <c r="A34" t="s">
        <v>395</v>
      </c>
      <c r="B34" t="s">
        <v>396</v>
      </c>
      <c r="C34" s="24">
        <v>1.1000000000000001E-3</v>
      </c>
      <c r="D34" s="25"/>
    </row>
    <row r="35" spans="1:4" x14ac:dyDescent="0.3">
      <c r="A35" t="s">
        <v>397</v>
      </c>
      <c r="B35" t="s">
        <v>398</v>
      </c>
      <c r="C35" s="24">
        <v>2.0999999999999999E-3</v>
      </c>
      <c r="D35" s="25"/>
    </row>
    <row r="36" spans="1:4" x14ac:dyDescent="0.3">
      <c r="A36" t="s">
        <v>399</v>
      </c>
      <c r="B36" t="s">
        <v>400</v>
      </c>
      <c r="C36" s="24">
        <v>4.1999999999999997E-3</v>
      </c>
      <c r="D36" s="25"/>
    </row>
    <row r="38" spans="1:4" ht="15.6" customHeight="1" x14ac:dyDescent="0.3">
      <c r="A38" s="15" t="s">
        <v>401</v>
      </c>
    </row>
    <row r="39" spans="1:4" ht="27.6" customHeight="1" x14ac:dyDescent="0.3">
      <c r="A39" s="23" t="s">
        <v>57</v>
      </c>
      <c r="B39" s="23" t="s">
        <v>4</v>
      </c>
      <c r="C39" s="23" t="s">
        <v>58</v>
      </c>
      <c r="D39" s="23" t="s">
        <v>402</v>
      </c>
    </row>
    <row r="40" spans="1:4" x14ac:dyDescent="0.3">
      <c r="A40" t="s">
        <v>340</v>
      </c>
      <c r="B40" t="str">
        <f t="shared" ref="B40:B70" si="0">IFERROR(VLOOKUP($A40,$A$6:$D$36,2,FALSE),"")</f>
        <v>Tappo profilato 120x120</v>
      </c>
      <c r="C40" s="26" t="str">
        <f t="shared" ref="C40:C70" si="1">IF(ISNUMBER(VLOOKUP($A40,$A$6:$D$36,3,FALSE)),VLOOKUP($A40,$A$6:$D$36,3,FALSE),"")</f>
        <v/>
      </c>
      <c r="D40" s="27" t="str">
        <f t="shared" ref="D40:D70" si="2">IF(ISNUMBER(VLOOKUP($A40,$A$6:$D$36,4,FALSE)),VLOOKUP($A40,$A$6:$D$36,4,FALSE),"")</f>
        <v/>
      </c>
    </row>
    <row r="41" spans="1:4" x14ac:dyDescent="0.3">
      <c r="A41" t="s">
        <v>342</v>
      </c>
      <c r="B41" t="str">
        <f t="shared" si="0"/>
        <v>Bullone testa esagonale M10X30</v>
      </c>
      <c r="C41" s="26">
        <f t="shared" si="1"/>
        <v>2.4500000000000001E-2</v>
      </c>
      <c r="D41" s="27" t="str">
        <f t="shared" si="2"/>
        <v/>
      </c>
    </row>
    <row r="42" spans="1:4" x14ac:dyDescent="0.3">
      <c r="A42" t="s">
        <v>344</v>
      </c>
      <c r="B42" t="str">
        <f t="shared" si="0"/>
        <v>Bullone testa esagonale zn M10X40</v>
      </c>
      <c r="C42" s="26">
        <f t="shared" si="1"/>
        <v>3.0499999999999999E-2</v>
      </c>
      <c r="D42" s="27" t="str">
        <f t="shared" si="2"/>
        <v/>
      </c>
    </row>
    <row r="43" spans="1:4" x14ac:dyDescent="0.3">
      <c r="A43" t="s">
        <v>346</v>
      </c>
      <c r="B43" t="str">
        <f t="shared" si="0"/>
        <v>Bullone testa esagonale M16x140 mezzo filetto</v>
      </c>
      <c r="C43" s="26">
        <f t="shared" si="1"/>
        <v>0.21</v>
      </c>
      <c r="D43" s="27" t="str">
        <f t="shared" si="2"/>
        <v/>
      </c>
    </row>
    <row r="44" spans="1:4" x14ac:dyDescent="0.3">
      <c r="A44" t="s">
        <v>348</v>
      </c>
      <c r="B44" t="str">
        <f t="shared" si="0"/>
        <v>Bullone testa esagonale zn M10X160</v>
      </c>
      <c r="C44" s="26">
        <f t="shared" si="1"/>
        <v>9.5000000000000001E-2</v>
      </c>
      <c r="D44" s="27" t="str">
        <f t="shared" si="2"/>
        <v/>
      </c>
    </row>
    <row r="45" spans="1:4" x14ac:dyDescent="0.3">
      <c r="A45" t="s">
        <v>350</v>
      </c>
      <c r="B45" t="str">
        <f t="shared" si="0"/>
        <v>Bullone testa esagonale zn M10X30</v>
      </c>
      <c r="C45" s="26">
        <f t="shared" si="1"/>
        <v>2.4500000000000001E-2</v>
      </c>
      <c r="D45" s="27" t="str">
        <f t="shared" si="2"/>
        <v/>
      </c>
    </row>
    <row r="46" spans="1:4" x14ac:dyDescent="0.3">
      <c r="A46" t="s">
        <v>352</v>
      </c>
      <c r="B46" t="str">
        <f t="shared" si="0"/>
        <v>Bullone testa esagonale M10X40</v>
      </c>
      <c r="C46" s="26">
        <f t="shared" si="1"/>
        <v>3.0499999999999999E-2</v>
      </c>
      <c r="D46" s="27" t="str">
        <f t="shared" si="2"/>
        <v/>
      </c>
    </row>
    <row r="47" spans="1:4" x14ac:dyDescent="0.3">
      <c r="A47" t="s">
        <v>354</v>
      </c>
      <c r="B47" t="str">
        <f t="shared" si="0"/>
        <v>Bullone testa esagonale zn M16X25</v>
      </c>
      <c r="C47" s="26">
        <f t="shared" si="1"/>
        <v>5.1999999999999998E-2</v>
      </c>
      <c r="D47" s="27" t="str">
        <f t="shared" si="2"/>
        <v/>
      </c>
    </row>
    <row r="48" spans="1:4" x14ac:dyDescent="0.3">
      <c r="A48" t="s">
        <v>356</v>
      </c>
      <c r="B48" t="str">
        <f t="shared" si="0"/>
        <v>Bullone testa esagonale M16X60</v>
      </c>
      <c r="C48" s="26">
        <f t="shared" si="1"/>
        <v>0.11</v>
      </c>
      <c r="D48" s="27" t="str">
        <f t="shared" si="2"/>
        <v/>
      </c>
    </row>
    <row r="49" spans="1:4" x14ac:dyDescent="0.3">
      <c r="A49" t="s">
        <v>358</v>
      </c>
      <c r="B49" t="str">
        <f t="shared" si="0"/>
        <v>Bullone testa esagonale zn M5x20</v>
      </c>
      <c r="C49" s="26">
        <f t="shared" si="1"/>
        <v>3.0999999999999999E-3</v>
      </c>
      <c r="D49" s="27" t="str">
        <f t="shared" si="2"/>
        <v/>
      </c>
    </row>
    <row r="50" spans="1:4" x14ac:dyDescent="0.3">
      <c r="A50" t="s">
        <v>360</v>
      </c>
      <c r="B50" t="str">
        <f t="shared" si="0"/>
        <v>Bullone testa esagonale zn M5x30</v>
      </c>
      <c r="C50" s="26">
        <f t="shared" si="1"/>
        <v>4.1999999999999997E-3</v>
      </c>
      <c r="D50" s="27" t="str">
        <f t="shared" si="2"/>
        <v/>
      </c>
    </row>
    <row r="51" spans="1:4" x14ac:dyDescent="0.3">
      <c r="A51" t="s">
        <v>362</v>
      </c>
      <c r="B51" t="str">
        <f t="shared" si="0"/>
        <v>Bullone testa esagonale zn M6X150</v>
      </c>
      <c r="C51" s="26">
        <f t="shared" si="1"/>
        <v>2.5999999999999999E-2</v>
      </c>
      <c r="D51" s="27" t="str">
        <f t="shared" si="2"/>
        <v/>
      </c>
    </row>
    <row r="52" spans="1:4" x14ac:dyDescent="0.3">
      <c r="A52" t="s">
        <v>364</v>
      </c>
      <c r="B52" t="str">
        <f t="shared" si="0"/>
        <v>Bullone testa esagonale zn M6X20</v>
      </c>
      <c r="C52" s="26">
        <f t="shared" si="1"/>
        <v>5.4000000000000003E-3</v>
      </c>
      <c r="D52" s="27" t="str">
        <f t="shared" si="2"/>
        <v/>
      </c>
    </row>
    <row r="53" spans="1:4" x14ac:dyDescent="0.3">
      <c r="A53" t="s">
        <v>366</v>
      </c>
      <c r="B53" t="str">
        <f t="shared" si="0"/>
        <v>Bullone testa esagonale zn M6X30</v>
      </c>
      <c r="C53" s="26">
        <f t="shared" si="1"/>
        <v>6.1999999999999998E-3</v>
      </c>
      <c r="D53" s="27" t="str">
        <f t="shared" si="2"/>
        <v/>
      </c>
    </row>
    <row r="54" spans="1:4" x14ac:dyDescent="0.3">
      <c r="A54" t="s">
        <v>368</v>
      </c>
      <c r="B54" t="str">
        <f t="shared" si="0"/>
        <v>Bullone testa esagonale zn M6X30</v>
      </c>
      <c r="C54" s="26">
        <f t="shared" si="1"/>
        <v>7.0000000000000001E-3</v>
      </c>
      <c r="D54" s="27" t="str">
        <f t="shared" si="2"/>
        <v/>
      </c>
    </row>
    <row r="55" spans="1:4" x14ac:dyDescent="0.3">
      <c r="A55" t="s">
        <v>369</v>
      </c>
      <c r="B55" t="str">
        <f t="shared" si="0"/>
        <v>Bullone testa esagonale zn M8X150</v>
      </c>
      <c r="C55" s="26">
        <f t="shared" si="1"/>
        <v>4.9000000000000002E-2</v>
      </c>
      <c r="D55" s="27" t="str">
        <f t="shared" si="2"/>
        <v/>
      </c>
    </row>
    <row r="56" spans="1:4" x14ac:dyDescent="0.3">
      <c r="A56" t="s">
        <v>371</v>
      </c>
      <c r="B56" t="str">
        <f t="shared" si="0"/>
        <v>Bullone testa esagonale zn M8X20</v>
      </c>
      <c r="C56" s="26">
        <f t="shared" si="1"/>
        <v>1.12E-2</v>
      </c>
      <c r="D56" s="27" t="str">
        <f t="shared" si="2"/>
        <v/>
      </c>
    </row>
    <row r="57" spans="1:4" x14ac:dyDescent="0.3">
      <c r="A57" t="s">
        <v>373</v>
      </c>
      <c r="B57" t="str">
        <f t="shared" si="0"/>
        <v>Bullone testa esagonale zn M8X25</v>
      </c>
      <c r="C57" s="26">
        <f t="shared" si="1"/>
        <v>1.29E-2</v>
      </c>
      <c r="D57" s="27" t="str">
        <f t="shared" si="2"/>
        <v/>
      </c>
    </row>
    <row r="58" spans="1:4" x14ac:dyDescent="0.3">
      <c r="A58" t="s">
        <v>375</v>
      </c>
      <c r="B58" t="str">
        <f t="shared" si="0"/>
        <v>Bullone testa esagonale zn M8X30</v>
      </c>
      <c r="C58" s="26">
        <f t="shared" si="1"/>
        <v>1.4500000000000001E-2</v>
      </c>
      <c r="D58" s="27" t="str">
        <f t="shared" si="2"/>
        <v/>
      </c>
    </row>
    <row r="59" spans="1:4" x14ac:dyDescent="0.3">
      <c r="A59" t="s">
        <v>377</v>
      </c>
      <c r="B59" t="str">
        <f t="shared" si="0"/>
        <v>Dado autobloccante M8 zn</v>
      </c>
      <c r="C59" s="26">
        <f t="shared" si="1"/>
        <v>4.7999999999999996E-3</v>
      </c>
      <c r="D59" s="27" t="str">
        <f t="shared" si="2"/>
        <v/>
      </c>
    </row>
    <row r="60" spans="1:4" x14ac:dyDescent="0.3">
      <c r="A60" t="s">
        <v>379</v>
      </c>
      <c r="B60" t="str">
        <f t="shared" si="0"/>
        <v>Dado autobloccante M10</v>
      </c>
      <c r="C60" s="26">
        <f t="shared" si="1"/>
        <v>8.9999999999999993E-3</v>
      </c>
      <c r="D60" s="27" t="str">
        <f t="shared" si="2"/>
        <v/>
      </c>
    </row>
    <row r="61" spans="1:4" x14ac:dyDescent="0.3">
      <c r="A61" t="s">
        <v>381</v>
      </c>
      <c r="B61" t="str">
        <f t="shared" si="0"/>
        <v>Dado autobloccante M16</v>
      </c>
      <c r="C61" s="26">
        <f t="shared" si="1"/>
        <v>3.5999999999999997E-2</v>
      </c>
      <c r="D61" s="27" t="str">
        <f t="shared" si="2"/>
        <v/>
      </c>
    </row>
    <row r="62" spans="1:4" x14ac:dyDescent="0.3">
      <c r="A62" t="s">
        <v>383</v>
      </c>
      <c r="B62" t="str">
        <f t="shared" si="0"/>
        <v>Dado zincato autobloc. M5</v>
      </c>
      <c r="C62" s="26">
        <f t="shared" si="1"/>
        <v>1.1000000000000001E-3</v>
      </c>
      <c r="D62" s="27" t="str">
        <f t="shared" si="2"/>
        <v/>
      </c>
    </row>
    <row r="63" spans="1:4" x14ac:dyDescent="0.3">
      <c r="A63" t="s">
        <v>385</v>
      </c>
      <c r="B63" t="str">
        <f t="shared" si="0"/>
        <v>Dado autobloccante M6</v>
      </c>
      <c r="C63" s="26">
        <f t="shared" si="1"/>
        <v>2.0999999999999999E-3</v>
      </c>
      <c r="D63" s="27" t="str">
        <f t="shared" si="2"/>
        <v/>
      </c>
    </row>
    <row r="64" spans="1:4" x14ac:dyDescent="0.3">
      <c r="A64" t="s">
        <v>387</v>
      </c>
      <c r="B64" t="str">
        <f t="shared" si="0"/>
        <v>Dado autobloccante M8</v>
      </c>
      <c r="C64" s="26">
        <f t="shared" si="1"/>
        <v>4.7999999999999996E-3</v>
      </c>
      <c r="D64" s="27" t="str">
        <f t="shared" si="2"/>
        <v/>
      </c>
    </row>
    <row r="65" spans="1:4" x14ac:dyDescent="0.3">
      <c r="A65" t="s">
        <v>389</v>
      </c>
      <c r="B65" t="str">
        <f t="shared" si="0"/>
        <v>Rondella zn da 10</v>
      </c>
      <c r="C65" s="26">
        <f t="shared" si="1"/>
        <v>3.8999999999999998E-3</v>
      </c>
      <c r="D65" s="27" t="str">
        <f t="shared" si="2"/>
        <v/>
      </c>
    </row>
    <row r="66" spans="1:4" x14ac:dyDescent="0.3">
      <c r="A66" t="s">
        <v>391</v>
      </c>
      <c r="B66" t="str">
        <f t="shared" si="0"/>
        <v>Rondella zn da 16</v>
      </c>
      <c r="C66" s="26">
        <f t="shared" si="1"/>
        <v>1.35E-2</v>
      </c>
      <c r="D66" s="27" t="str">
        <f t="shared" si="2"/>
        <v/>
      </c>
    </row>
    <row r="67" spans="1:4" x14ac:dyDescent="0.3">
      <c r="A67" t="s">
        <v>393</v>
      </c>
      <c r="B67" t="str">
        <f t="shared" si="0"/>
        <v>Rondella ZN da 5</v>
      </c>
      <c r="C67" s="26">
        <f t="shared" si="1"/>
        <v>5.0000000000000001E-4</v>
      </c>
      <c r="D67" s="27" t="str">
        <f t="shared" si="2"/>
        <v/>
      </c>
    </row>
    <row r="68" spans="1:4" x14ac:dyDescent="0.3">
      <c r="A68" t="s">
        <v>395</v>
      </c>
      <c r="B68" t="str">
        <f t="shared" si="0"/>
        <v>Rondella zn 6</v>
      </c>
      <c r="C68" s="26">
        <f t="shared" si="1"/>
        <v>1.1000000000000001E-3</v>
      </c>
      <c r="D68" s="27" t="str">
        <f t="shared" si="2"/>
        <v/>
      </c>
    </row>
    <row r="69" spans="1:4" x14ac:dyDescent="0.3">
      <c r="A69" t="s">
        <v>397</v>
      </c>
      <c r="B69" t="str">
        <f t="shared" si="0"/>
        <v>Rondella da 8 zn</v>
      </c>
      <c r="C69" s="26">
        <f t="shared" si="1"/>
        <v>2.0999999999999999E-3</v>
      </c>
      <c r="D69" s="27" t="str">
        <f t="shared" si="2"/>
        <v/>
      </c>
    </row>
    <row r="70" spans="1:4" x14ac:dyDescent="0.3">
      <c r="A70" t="s">
        <v>399</v>
      </c>
      <c r="B70" t="str">
        <f t="shared" si="0"/>
        <v>Bullone testa esagonale con intaglio M5x30</v>
      </c>
      <c r="C70" s="26">
        <f t="shared" si="1"/>
        <v>4.1999999999999997E-3</v>
      </c>
      <c r="D70" s="27" t="str">
        <f t="shared" si="2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4" topLeftCell="A5" activePane="bottomLeft" state="frozen"/>
      <selection pane="bottomLeft" activeCell="C7" sqref="C7"/>
    </sheetView>
  </sheetViews>
  <sheetFormatPr defaultRowHeight="14.4" x14ac:dyDescent="0.3"/>
  <cols>
    <col min="1" max="1" width="30" customWidth="1"/>
    <col min="2" max="2" width="46" customWidth="1"/>
    <col min="3" max="3" width="16" customWidth="1"/>
    <col min="4" max="4" width="14" customWidth="1"/>
  </cols>
  <sheetData>
    <row r="1" spans="1:4" ht="15.6" customHeight="1" x14ac:dyDescent="0.3">
      <c r="A1" s="15" t="s">
        <v>403</v>
      </c>
    </row>
    <row r="2" spans="1:4" x14ac:dyDescent="0.3">
      <c r="A2" s="22" t="s">
        <v>404</v>
      </c>
    </row>
    <row r="4" spans="1:4" x14ac:dyDescent="0.3">
      <c r="A4" s="23" t="s">
        <v>57</v>
      </c>
      <c r="B4" s="23" t="s">
        <v>4</v>
      </c>
      <c r="C4" s="23" t="s">
        <v>338</v>
      </c>
      <c r="D4" s="23" t="s">
        <v>339</v>
      </c>
    </row>
    <row r="5" spans="1:4" x14ac:dyDescent="0.3">
      <c r="A5" t="s">
        <v>405</v>
      </c>
      <c r="B5" t="s">
        <v>406</v>
      </c>
      <c r="C5" s="18">
        <v>50</v>
      </c>
      <c r="D5" s="28">
        <v>300</v>
      </c>
    </row>
    <row r="6" spans="1:4" x14ac:dyDescent="0.3">
      <c r="A6" t="s">
        <v>407</v>
      </c>
      <c r="B6" t="s">
        <v>408</v>
      </c>
      <c r="C6" s="18">
        <v>2</v>
      </c>
      <c r="D6" s="28">
        <v>13</v>
      </c>
    </row>
    <row r="7" spans="1:4" x14ac:dyDescent="0.3">
      <c r="A7" t="s">
        <v>409</v>
      </c>
      <c r="B7" t="s">
        <v>410</v>
      </c>
      <c r="C7" s="18"/>
      <c r="D7" s="28"/>
    </row>
    <row r="8" spans="1:4" x14ac:dyDescent="0.3">
      <c r="A8" t="s">
        <v>411</v>
      </c>
      <c r="B8" t="s">
        <v>412</v>
      </c>
      <c r="C8" s="18"/>
      <c r="D8" s="28"/>
    </row>
    <row r="9" spans="1:4" x14ac:dyDescent="0.3">
      <c r="A9" t="s">
        <v>413</v>
      </c>
      <c r="B9" t="s">
        <v>414</v>
      </c>
      <c r="C9" s="18"/>
      <c r="D9" s="28"/>
    </row>
    <row r="10" spans="1:4" x14ac:dyDescent="0.3">
      <c r="A10" t="s">
        <v>415</v>
      </c>
      <c r="B10" t="s">
        <v>416</v>
      </c>
      <c r="C10" s="18"/>
      <c r="D10" s="28"/>
    </row>
    <row r="11" spans="1:4" x14ac:dyDescent="0.3">
      <c r="A11" t="s">
        <v>417</v>
      </c>
      <c r="B11" t="s">
        <v>418</v>
      </c>
      <c r="C11" s="18"/>
      <c r="D11" s="28"/>
    </row>
    <row r="12" spans="1:4" x14ac:dyDescent="0.3">
      <c r="A12" t="s">
        <v>419</v>
      </c>
      <c r="B12" t="s">
        <v>420</v>
      </c>
      <c r="C12" s="18"/>
      <c r="D12" s="28"/>
    </row>
    <row r="13" spans="1:4" x14ac:dyDescent="0.3">
      <c r="A13" t="s">
        <v>421</v>
      </c>
      <c r="B13" t="s">
        <v>422</v>
      </c>
      <c r="C13" s="18"/>
      <c r="D13" s="28"/>
    </row>
    <row r="14" spans="1:4" x14ac:dyDescent="0.3">
      <c r="A14" t="s">
        <v>423</v>
      </c>
      <c r="B14" t="s">
        <v>424</v>
      </c>
      <c r="C14" s="18"/>
      <c r="D14" s="2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62" customWidth="1"/>
    <col min="4" max="4" width="26" customWidth="1"/>
    <col min="5" max="5" width="6" customWidth="1"/>
    <col min="6" max="6" width="14" customWidth="1"/>
    <col min="7" max="7" width="16" customWidth="1"/>
    <col min="8" max="8" width="46" customWidth="1"/>
    <col min="9" max="9" width="12" customWidth="1"/>
  </cols>
  <sheetData>
    <row r="1" spans="1:9" ht="18" customHeight="1" x14ac:dyDescent="0.35">
      <c r="A1" s="1" t="s">
        <v>425</v>
      </c>
    </row>
    <row r="2" spans="1:9" x14ac:dyDescent="0.3">
      <c r="A2" s="2" t="s">
        <v>426</v>
      </c>
    </row>
    <row r="4" spans="1:9" ht="27.6" customHeight="1" x14ac:dyDescent="0.3">
      <c r="A4" s="3" t="s">
        <v>427</v>
      </c>
      <c r="B4" s="3" t="s">
        <v>57</v>
      </c>
      <c r="C4" s="3" t="s">
        <v>4</v>
      </c>
      <c r="D4" s="3" t="s">
        <v>428</v>
      </c>
      <c r="E4" s="3" t="s">
        <v>429</v>
      </c>
      <c r="F4" s="8" t="s">
        <v>58</v>
      </c>
      <c r="G4" s="3" t="s">
        <v>430</v>
      </c>
      <c r="H4" s="3" t="s">
        <v>431</v>
      </c>
      <c r="I4" s="3" t="s">
        <v>432</v>
      </c>
    </row>
    <row r="5" spans="1:9" x14ac:dyDescent="0.3">
      <c r="A5" s="11">
        <v>1</v>
      </c>
      <c r="B5" s="4" t="s">
        <v>281</v>
      </c>
      <c r="C5" s="4" t="s">
        <v>282</v>
      </c>
      <c r="D5" s="4" t="s">
        <v>433</v>
      </c>
      <c r="E5" s="11" t="s">
        <v>434</v>
      </c>
      <c r="F5" s="9">
        <f>IFERROR(VLOOKUP($B5,'SCHEDA STRUTTURA'!$A$13:$E$413,5,FALSE),"")</f>
        <v>84.960000000000008</v>
      </c>
      <c r="G5" s="5"/>
      <c r="H5" s="4" t="s">
        <v>435</v>
      </c>
      <c r="I5" s="11">
        <v>2</v>
      </c>
    </row>
    <row r="6" spans="1:9" x14ac:dyDescent="0.3">
      <c r="A6" s="11">
        <v>2</v>
      </c>
      <c r="B6" s="4" t="s">
        <v>283</v>
      </c>
      <c r="C6" s="4" t="s">
        <v>284</v>
      </c>
      <c r="D6" s="4" t="s">
        <v>433</v>
      </c>
      <c r="E6" s="11" t="s">
        <v>434</v>
      </c>
      <c r="F6" s="9">
        <f>IFERROR(VLOOKUP($B6,'SCHEDA STRUTTURA'!$A$13:$E$413,5,FALSE),"")</f>
        <v>66.239999999999995</v>
      </c>
      <c r="G6" s="5"/>
      <c r="H6" s="4" t="s">
        <v>435</v>
      </c>
      <c r="I6" s="11">
        <v>1</v>
      </c>
    </row>
    <row r="7" spans="1:9" x14ac:dyDescent="0.3">
      <c r="A7" s="11">
        <v>3</v>
      </c>
      <c r="B7" s="4" t="s">
        <v>285</v>
      </c>
      <c r="C7" s="4" t="s">
        <v>286</v>
      </c>
      <c r="D7" s="4" t="s">
        <v>433</v>
      </c>
      <c r="E7" s="11" t="s">
        <v>434</v>
      </c>
      <c r="F7" s="9">
        <f>IFERROR(VLOOKUP($B7,'SCHEDA STRUTTURA'!$A$13:$E$413,5,FALSE),"")</f>
        <v>97.350000000000009</v>
      </c>
      <c r="G7" s="5"/>
      <c r="H7" s="4" t="s">
        <v>435</v>
      </c>
      <c r="I7" s="11">
        <v>1</v>
      </c>
    </row>
    <row r="8" spans="1:9" x14ac:dyDescent="0.3">
      <c r="A8" s="11">
        <v>4</v>
      </c>
      <c r="B8" s="4" t="s">
        <v>287</v>
      </c>
      <c r="C8" s="4" t="s">
        <v>288</v>
      </c>
      <c r="D8" s="4" t="s">
        <v>433</v>
      </c>
      <c r="E8" s="11" t="s">
        <v>434</v>
      </c>
      <c r="F8" s="9">
        <f>IFERROR(VLOOKUP($B8,'SCHEDA STRUTTURA'!$A$13:$E$413,5,FALSE),"")</f>
        <v>75.899999999999991</v>
      </c>
      <c r="G8" s="5"/>
      <c r="H8" s="4" t="s">
        <v>435</v>
      </c>
      <c r="I8" s="11">
        <v>1</v>
      </c>
    </row>
    <row r="9" spans="1:9" x14ac:dyDescent="0.3">
      <c r="A9" s="11">
        <v>5</v>
      </c>
      <c r="B9" s="4" t="s">
        <v>289</v>
      </c>
      <c r="C9" s="4" t="s">
        <v>290</v>
      </c>
      <c r="D9" s="4" t="s">
        <v>433</v>
      </c>
      <c r="E9" s="11" t="s">
        <v>434</v>
      </c>
      <c r="F9" s="9">
        <f>IFERROR(VLOOKUP($B9,'SCHEDA STRUTTURA'!$A$13:$E$413,5,FALSE),"")</f>
        <v>102.66</v>
      </c>
      <c r="G9" s="5"/>
      <c r="H9" s="4" t="s">
        <v>435</v>
      </c>
      <c r="I9" s="11">
        <v>3</v>
      </c>
    </row>
    <row r="10" spans="1:9" x14ac:dyDescent="0.3">
      <c r="A10" s="11">
        <v>6</v>
      </c>
      <c r="B10" s="4" t="s">
        <v>291</v>
      </c>
      <c r="C10" s="4" t="s">
        <v>292</v>
      </c>
      <c r="D10" s="4" t="s">
        <v>433</v>
      </c>
      <c r="E10" s="11" t="s">
        <v>434</v>
      </c>
      <c r="F10" s="9">
        <f>IFERROR(VLOOKUP($B10,'SCHEDA STRUTTURA'!$A$13:$E$413,5,FALSE),"")</f>
        <v>80.039999999999992</v>
      </c>
      <c r="G10" s="5"/>
      <c r="H10" s="4" t="s">
        <v>435</v>
      </c>
      <c r="I10" s="11">
        <v>1</v>
      </c>
    </row>
    <row r="11" spans="1:9" x14ac:dyDescent="0.3">
      <c r="A11" s="11">
        <v>7</v>
      </c>
      <c r="B11" s="4" t="s">
        <v>293</v>
      </c>
      <c r="C11" s="4" t="s">
        <v>294</v>
      </c>
      <c r="D11" s="4" t="s">
        <v>433</v>
      </c>
      <c r="E11" s="11" t="s">
        <v>434</v>
      </c>
      <c r="F11" s="9">
        <f>IFERROR(VLOOKUP($B11,'SCHEDA STRUTTURA'!$A$13:$E$413,5,FALSE),"")</f>
        <v>59</v>
      </c>
      <c r="G11" s="5"/>
      <c r="H11" s="4" t="s">
        <v>435</v>
      </c>
      <c r="I11" s="11">
        <v>1</v>
      </c>
    </row>
    <row r="12" spans="1:9" x14ac:dyDescent="0.3">
      <c r="A12" s="11">
        <v>8</v>
      </c>
      <c r="B12" s="4" t="s">
        <v>295</v>
      </c>
      <c r="C12" s="4" t="s">
        <v>296</v>
      </c>
      <c r="D12" s="4" t="s">
        <v>433</v>
      </c>
      <c r="E12" s="11" t="s">
        <v>434</v>
      </c>
      <c r="F12" s="9">
        <f>IFERROR(VLOOKUP($B12,'SCHEDA STRUTTURA'!$A$13:$E$413,5,FALSE),"")</f>
        <v>46</v>
      </c>
      <c r="G12" s="5"/>
      <c r="H12" s="4" t="s">
        <v>435</v>
      </c>
      <c r="I12" s="11">
        <v>1</v>
      </c>
    </row>
    <row r="13" spans="1:9" x14ac:dyDescent="0.3">
      <c r="A13" s="11">
        <v>9</v>
      </c>
      <c r="B13" s="4" t="s">
        <v>297</v>
      </c>
      <c r="C13" s="4" t="s">
        <v>298</v>
      </c>
      <c r="D13" s="4" t="s">
        <v>433</v>
      </c>
      <c r="E13" s="11" t="s">
        <v>434</v>
      </c>
      <c r="F13" s="9">
        <f>IFERROR(VLOOKUP($B13,'SCHEDA STRUTTURA'!$A$13:$E$413,5,FALSE),"")</f>
        <v>72.570000000000007</v>
      </c>
      <c r="G13" s="5"/>
      <c r="H13" s="4" t="s">
        <v>435</v>
      </c>
      <c r="I13" s="11">
        <v>1</v>
      </c>
    </row>
    <row r="14" spans="1:9" x14ac:dyDescent="0.3">
      <c r="A14" s="11">
        <v>10</v>
      </c>
      <c r="B14" s="4" t="s">
        <v>299</v>
      </c>
      <c r="C14" s="4" t="s">
        <v>300</v>
      </c>
      <c r="D14" s="4" t="s">
        <v>433</v>
      </c>
      <c r="E14" s="11" t="s">
        <v>434</v>
      </c>
      <c r="F14" s="9">
        <f>IFERROR(VLOOKUP($B14,'SCHEDA STRUTTURA'!$A$13:$E$413,5,FALSE),"")</f>
        <v>56.58</v>
      </c>
      <c r="G14" s="5"/>
      <c r="H14" s="4" t="s">
        <v>435</v>
      </c>
      <c r="I14" s="11">
        <v>1</v>
      </c>
    </row>
    <row r="15" spans="1:9" x14ac:dyDescent="0.3">
      <c r="A15" s="11">
        <v>11</v>
      </c>
      <c r="B15" s="4" t="s">
        <v>301</v>
      </c>
      <c r="C15" s="4" t="s">
        <v>302</v>
      </c>
      <c r="D15" s="4" t="s">
        <v>433</v>
      </c>
      <c r="E15" s="11" t="s">
        <v>434</v>
      </c>
      <c r="F15" s="9">
        <f>IFERROR(VLOOKUP($B15,'SCHEDA STRUTTURA'!$A$13:$E$413,5,FALSE),"")</f>
        <v>74.34</v>
      </c>
      <c r="G15" s="5"/>
      <c r="H15" s="4" t="s">
        <v>435</v>
      </c>
      <c r="I15" s="11">
        <v>1</v>
      </c>
    </row>
    <row r="16" spans="1:9" x14ac:dyDescent="0.3">
      <c r="A16" s="11">
        <v>12</v>
      </c>
      <c r="B16" s="4" t="s">
        <v>303</v>
      </c>
      <c r="C16" s="4" t="s">
        <v>304</v>
      </c>
      <c r="D16" s="4" t="s">
        <v>433</v>
      </c>
      <c r="E16" s="11" t="s">
        <v>434</v>
      </c>
      <c r="F16" s="9">
        <f>IFERROR(VLOOKUP($B16,'SCHEDA STRUTTURA'!$A$13:$E$413,5,FALSE),"")</f>
        <v>57.959999999999994</v>
      </c>
      <c r="G16" s="5"/>
      <c r="H16" s="4" t="s">
        <v>435</v>
      </c>
      <c r="I16" s="11">
        <v>1</v>
      </c>
    </row>
    <row r="17" spans="1:9" x14ac:dyDescent="0.3">
      <c r="A17" s="11">
        <v>13</v>
      </c>
      <c r="B17" s="4" t="s">
        <v>305</v>
      </c>
      <c r="C17" s="4" t="s">
        <v>306</v>
      </c>
      <c r="D17" s="4" t="s">
        <v>433</v>
      </c>
      <c r="E17" s="11" t="s">
        <v>434</v>
      </c>
      <c r="F17" s="9">
        <f>IFERROR(VLOOKUP($B17,'SCHEDA STRUTTURA'!$A$13:$E$413,5,FALSE),"")</f>
        <v>79.720800000000011</v>
      </c>
      <c r="G17" s="5"/>
      <c r="H17" s="4" t="s">
        <v>435</v>
      </c>
      <c r="I17" s="11">
        <v>1</v>
      </c>
    </row>
    <row r="18" spans="1:9" x14ac:dyDescent="0.3">
      <c r="A18" s="11">
        <v>14</v>
      </c>
      <c r="B18" s="4" t="s">
        <v>307</v>
      </c>
      <c r="C18" s="4" t="s">
        <v>308</v>
      </c>
      <c r="D18" s="4" t="s">
        <v>433</v>
      </c>
      <c r="E18" s="11" t="s">
        <v>434</v>
      </c>
      <c r="F18" s="9">
        <f>IFERROR(VLOOKUP($B18,'SCHEDA STRUTTURA'!$A$13:$E$413,5,FALSE),"")</f>
        <v>62.155200000000001</v>
      </c>
      <c r="G18" s="5"/>
      <c r="H18" s="4" t="s">
        <v>435</v>
      </c>
      <c r="I18" s="11">
        <v>1</v>
      </c>
    </row>
    <row r="19" spans="1:9" x14ac:dyDescent="0.3">
      <c r="A19" s="11">
        <v>15</v>
      </c>
      <c r="B19" s="4" t="s">
        <v>309</v>
      </c>
      <c r="C19" s="4" t="s">
        <v>310</v>
      </c>
      <c r="D19" s="4" t="s">
        <v>433</v>
      </c>
      <c r="E19" s="11" t="s">
        <v>434</v>
      </c>
      <c r="F19" s="9">
        <f>IFERROR(VLOOKUP($B19,'SCHEDA STRUTTURA'!$A$13:$E$413,5,FALSE),"")</f>
        <v>97.350000000000009</v>
      </c>
      <c r="G19" s="5"/>
      <c r="H19" s="4" t="s">
        <v>435</v>
      </c>
      <c r="I19" s="11">
        <v>1</v>
      </c>
    </row>
    <row r="20" spans="1:9" x14ac:dyDescent="0.3">
      <c r="A20" s="11">
        <v>16</v>
      </c>
      <c r="B20" s="4" t="s">
        <v>311</v>
      </c>
      <c r="C20" s="4" t="s">
        <v>312</v>
      </c>
      <c r="D20" s="4" t="s">
        <v>433</v>
      </c>
      <c r="E20" s="11" t="s">
        <v>434</v>
      </c>
      <c r="F20" s="9">
        <f>IFERROR(VLOOKUP($B20,'SCHEDA STRUTTURA'!$A$13:$E$413,5,FALSE),"")</f>
        <v>75.899999999999991</v>
      </c>
      <c r="G20" s="5"/>
      <c r="H20" s="4" t="s">
        <v>435</v>
      </c>
      <c r="I20" s="11">
        <v>1</v>
      </c>
    </row>
    <row r="21" spans="1:9" x14ac:dyDescent="0.3">
      <c r="A21" s="11">
        <v>17</v>
      </c>
      <c r="B21" s="4" t="s">
        <v>313</v>
      </c>
      <c r="C21" s="4" t="s">
        <v>314</v>
      </c>
      <c r="D21" s="4" t="s">
        <v>433</v>
      </c>
      <c r="E21" s="11" t="s">
        <v>434</v>
      </c>
      <c r="F21" s="9">
        <f>IFERROR(VLOOKUP($B21,'SCHEDA STRUTTURA'!$A$13:$E$413,5,FALSE),"")</f>
        <v>102.011</v>
      </c>
      <c r="G21" s="5"/>
      <c r="H21" s="4" t="s">
        <v>435</v>
      </c>
      <c r="I21" s="11">
        <v>1</v>
      </c>
    </row>
    <row r="22" spans="1:9" x14ac:dyDescent="0.3">
      <c r="A22" s="11">
        <v>18</v>
      </c>
      <c r="B22" s="4" t="s">
        <v>315</v>
      </c>
      <c r="C22" s="4" t="s">
        <v>316</v>
      </c>
      <c r="D22" s="4" t="s">
        <v>433</v>
      </c>
      <c r="E22" s="11" t="s">
        <v>434</v>
      </c>
      <c r="F22" s="9">
        <f>IFERROR(VLOOKUP($B22,'SCHEDA STRUTTURA'!$A$13:$E$413,5,FALSE),"")</f>
        <v>79.533999999999992</v>
      </c>
      <c r="G22" s="5"/>
      <c r="H22" s="4" t="s">
        <v>435</v>
      </c>
      <c r="I22" s="11">
        <v>1</v>
      </c>
    </row>
    <row r="23" spans="1:9" x14ac:dyDescent="0.3">
      <c r="A23" s="11">
        <v>19</v>
      </c>
      <c r="B23" s="4" t="s">
        <v>317</v>
      </c>
      <c r="C23" s="4" t="s">
        <v>318</v>
      </c>
      <c r="D23" s="4" t="s">
        <v>433</v>
      </c>
      <c r="E23" s="11" t="s">
        <v>434</v>
      </c>
      <c r="F23" s="9">
        <f>IFERROR(VLOOKUP($B23,'SCHEDA STRUTTURA'!$A$13:$E$413,5,FALSE),"")</f>
        <v>59</v>
      </c>
      <c r="G23" s="5"/>
      <c r="H23" s="4" t="s">
        <v>435</v>
      </c>
      <c r="I23" s="11">
        <v>1</v>
      </c>
    </row>
    <row r="24" spans="1:9" x14ac:dyDescent="0.3">
      <c r="A24" s="11">
        <v>20</v>
      </c>
      <c r="B24" s="4" t="s">
        <v>319</v>
      </c>
      <c r="C24" s="4" t="s">
        <v>320</v>
      </c>
      <c r="D24" s="4" t="s">
        <v>433</v>
      </c>
      <c r="E24" s="11" t="s">
        <v>434</v>
      </c>
      <c r="F24" s="9">
        <f>IFERROR(VLOOKUP($B24,'SCHEDA STRUTTURA'!$A$13:$E$413,5,FALSE),"")</f>
        <v>46</v>
      </c>
      <c r="G24" s="5"/>
      <c r="H24" s="4" t="s">
        <v>435</v>
      </c>
      <c r="I24" s="11">
        <v>1</v>
      </c>
    </row>
    <row r="25" spans="1:9" x14ac:dyDescent="0.3">
      <c r="A25" s="11">
        <v>21</v>
      </c>
      <c r="B25" s="4" t="s">
        <v>321</v>
      </c>
      <c r="C25" s="4" t="s">
        <v>322</v>
      </c>
      <c r="D25" s="4" t="s">
        <v>433</v>
      </c>
      <c r="E25" s="11" t="s">
        <v>434</v>
      </c>
      <c r="F25" s="9">
        <f>IFERROR(VLOOKUP($B25,'SCHEDA STRUTTURA'!$A$13:$E$413,5,FALSE),"")</f>
        <v>56.64</v>
      </c>
      <c r="G25" s="5"/>
      <c r="H25" s="4" t="s">
        <v>435</v>
      </c>
      <c r="I25" s="11">
        <v>1</v>
      </c>
    </row>
    <row r="26" spans="1:9" x14ac:dyDescent="0.3">
      <c r="A26" s="11">
        <v>22</v>
      </c>
      <c r="B26" s="4" t="s">
        <v>323</v>
      </c>
      <c r="C26" s="4" t="s">
        <v>324</v>
      </c>
      <c r="D26" s="4" t="s">
        <v>433</v>
      </c>
      <c r="E26" s="11" t="s">
        <v>434</v>
      </c>
      <c r="F26" s="9">
        <f>IFERROR(VLOOKUP($B26,'SCHEDA STRUTTURA'!$A$13:$E$413,5,FALSE),"")</f>
        <v>44.16</v>
      </c>
      <c r="G26" s="5"/>
      <c r="H26" s="4" t="s">
        <v>435</v>
      </c>
      <c r="I26" s="11">
        <v>1</v>
      </c>
    </row>
    <row r="27" spans="1:9" x14ac:dyDescent="0.3">
      <c r="A27" s="11">
        <v>23</v>
      </c>
      <c r="B27" s="4" t="s">
        <v>16</v>
      </c>
      <c r="C27" s="4" t="s">
        <v>17</v>
      </c>
      <c r="D27" s="4" t="s">
        <v>433</v>
      </c>
      <c r="E27" s="11" t="s">
        <v>434</v>
      </c>
      <c r="F27" s="9">
        <f>IFERROR(VLOOKUP($B27,'SCHEDA PEZZI SPECIALI'!$A$38:$F$400,4,FALSE),"")</f>
        <v>5.0750000000000002</v>
      </c>
      <c r="G27" s="5"/>
      <c r="H27" s="4" t="s">
        <v>435</v>
      </c>
      <c r="I27" s="11">
        <v>5</v>
      </c>
    </row>
    <row r="28" spans="1:9" x14ac:dyDescent="0.3">
      <c r="A28" s="11">
        <v>24</v>
      </c>
      <c r="B28" s="4" t="s">
        <v>325</v>
      </c>
      <c r="C28" s="4" t="s">
        <v>326</v>
      </c>
      <c r="D28" s="4" t="s">
        <v>433</v>
      </c>
      <c r="E28" s="11" t="s">
        <v>434</v>
      </c>
      <c r="F28" s="9">
        <f>IFERROR(VLOOKUP($B28,'SCHEDA STRUTTURA'!$A$13:$E$413,5,FALSE),"")</f>
        <v>0.85680000000000001</v>
      </c>
      <c r="G28" s="5"/>
      <c r="H28" s="4" t="s">
        <v>436</v>
      </c>
      <c r="I28" s="11">
        <v>1</v>
      </c>
    </row>
    <row r="29" spans="1:9" x14ac:dyDescent="0.3">
      <c r="A29" s="11">
        <v>25</v>
      </c>
      <c r="B29" s="4" t="s">
        <v>327</v>
      </c>
      <c r="C29" s="4" t="s">
        <v>328</v>
      </c>
      <c r="D29" s="4" t="s">
        <v>433</v>
      </c>
      <c r="E29" s="11" t="s">
        <v>434</v>
      </c>
      <c r="F29" s="9">
        <f>IFERROR(VLOOKUP($B29,'SCHEDA STRUTTURA'!$A$13:$E$413,5,FALSE),"")</f>
        <v>0.40949999999999998</v>
      </c>
      <c r="G29" s="5"/>
      <c r="H29" s="4" t="s">
        <v>436</v>
      </c>
      <c r="I29" s="11">
        <v>1</v>
      </c>
    </row>
    <row r="30" spans="1:9" x14ac:dyDescent="0.3">
      <c r="A30" s="11">
        <v>26</v>
      </c>
      <c r="B30" s="4" t="s">
        <v>329</v>
      </c>
      <c r="C30" s="4" t="s">
        <v>330</v>
      </c>
      <c r="D30" s="4" t="s">
        <v>433</v>
      </c>
      <c r="E30" s="11" t="s">
        <v>434</v>
      </c>
      <c r="F30" s="9">
        <f>IFERROR(VLOOKUP($B30,'SCHEDA STRUTTURA'!$A$13:$E$413,5,FALSE),"")</f>
        <v>1.278</v>
      </c>
      <c r="G30" s="5"/>
      <c r="H30" s="4" t="s">
        <v>436</v>
      </c>
      <c r="I30" s="11">
        <v>1</v>
      </c>
    </row>
    <row r="31" spans="1:9" x14ac:dyDescent="0.3">
      <c r="A31" s="11">
        <v>27</v>
      </c>
      <c r="B31" s="4" t="s">
        <v>331</v>
      </c>
      <c r="C31" s="4" t="s">
        <v>332</v>
      </c>
      <c r="D31" s="4" t="s">
        <v>433</v>
      </c>
      <c r="E31" s="11" t="s">
        <v>434</v>
      </c>
      <c r="F31" s="9">
        <f>IFERROR(VLOOKUP($B31,'SCHEDA STRUTTURA'!$A$13:$E$413,5,FALSE),"")</f>
        <v>5.85</v>
      </c>
      <c r="G31" s="5"/>
      <c r="H31" s="4" t="s">
        <v>436</v>
      </c>
      <c r="I31" s="11">
        <v>1</v>
      </c>
    </row>
    <row r="32" spans="1:9" x14ac:dyDescent="0.3">
      <c r="A32" s="11">
        <v>28</v>
      </c>
      <c r="B32" s="4" t="s">
        <v>333</v>
      </c>
      <c r="C32" s="4" t="s">
        <v>334</v>
      </c>
      <c r="D32" s="4" t="s">
        <v>433</v>
      </c>
      <c r="E32" s="11" t="s">
        <v>434</v>
      </c>
      <c r="F32" s="9">
        <f>IFERROR(VLOOKUP($B32,'SCHEDA STRUTTURA'!$A$13:$E$413,5,FALSE),"")</f>
        <v>5.2649999999999997</v>
      </c>
      <c r="G32" s="5"/>
      <c r="H32" s="4" t="s">
        <v>436</v>
      </c>
      <c r="I32" s="11">
        <v>1</v>
      </c>
    </row>
    <row r="33" spans="1:9" x14ac:dyDescent="0.3">
      <c r="A33" s="11">
        <v>29</v>
      </c>
      <c r="B33" s="4" t="s">
        <v>18</v>
      </c>
      <c r="C33" s="4" t="s">
        <v>19</v>
      </c>
      <c r="D33" s="4" t="s">
        <v>433</v>
      </c>
      <c r="E33" s="11" t="s">
        <v>434</v>
      </c>
      <c r="F33" s="9">
        <f>IFERROR(VLOOKUP($B33,'SCHEDA PEZZI SPECIALI'!$A$38:$F$400,4,FALSE),"")</f>
        <v>0.84240000000000004</v>
      </c>
      <c r="G33" s="5"/>
      <c r="H33" s="4" t="s">
        <v>437</v>
      </c>
      <c r="I33" s="11">
        <v>1</v>
      </c>
    </row>
    <row r="34" spans="1:9" x14ac:dyDescent="0.3">
      <c r="A34" s="11">
        <v>30</v>
      </c>
      <c r="B34" s="4" t="s">
        <v>20</v>
      </c>
      <c r="C34" s="4" t="s">
        <v>21</v>
      </c>
      <c r="D34" s="4" t="s">
        <v>433</v>
      </c>
      <c r="E34" s="11" t="s">
        <v>434</v>
      </c>
      <c r="F34" s="9">
        <f>IFERROR(VLOOKUP($B34,'SCHEDA PEZZI SPECIALI'!$A$38:$F$400,4,FALSE),"")</f>
        <v>2.9483999999999999</v>
      </c>
      <c r="G34" s="5"/>
      <c r="H34" s="4" t="s">
        <v>437</v>
      </c>
      <c r="I34" s="11">
        <v>1</v>
      </c>
    </row>
    <row r="35" spans="1:9" x14ac:dyDescent="0.3">
      <c r="A35" s="11">
        <v>31</v>
      </c>
      <c r="B35" s="4" t="s">
        <v>22</v>
      </c>
      <c r="C35" s="4" t="s">
        <v>23</v>
      </c>
      <c r="D35" s="4" t="s">
        <v>433</v>
      </c>
      <c r="E35" s="11" t="s">
        <v>434</v>
      </c>
      <c r="F35" s="9">
        <f>IFERROR(VLOOKUP($B35,'SCHEDA PEZZI SPECIALI'!$A$38:$F$400,4,FALSE),"")</f>
        <v>0.21840000000000001</v>
      </c>
      <c r="G35" s="5"/>
      <c r="H35" s="4" t="s">
        <v>438</v>
      </c>
      <c r="I35" s="11">
        <v>1</v>
      </c>
    </row>
    <row r="36" spans="1:9" x14ac:dyDescent="0.3">
      <c r="A36" s="11">
        <v>32</v>
      </c>
      <c r="B36" s="4" t="s">
        <v>24</v>
      </c>
      <c r="C36" s="4" t="s">
        <v>25</v>
      </c>
      <c r="D36" s="4" t="s">
        <v>433</v>
      </c>
      <c r="E36" s="11" t="s">
        <v>434</v>
      </c>
      <c r="F36" s="9">
        <f>IFERROR(VLOOKUP($B36,'SCHEDA PEZZI SPECIALI'!$A$38:$F$400,4,FALSE),"")</f>
        <v>0.65239999999999998</v>
      </c>
      <c r="G36" s="5"/>
      <c r="H36" s="4" t="s">
        <v>438</v>
      </c>
      <c r="I36" s="11">
        <v>1</v>
      </c>
    </row>
    <row r="37" spans="1:9" x14ac:dyDescent="0.3">
      <c r="A37" s="11">
        <v>33</v>
      </c>
      <c r="B37" s="4" t="s">
        <v>73</v>
      </c>
      <c r="C37" s="4" t="s">
        <v>74</v>
      </c>
      <c r="D37" s="4" t="s">
        <v>433</v>
      </c>
      <c r="E37" s="11" t="s">
        <v>434</v>
      </c>
      <c r="F37" s="9">
        <f>IFERROR(VLOOKUP($B37,'SCHEDA STRUTTURA'!$A$13:$E$413,5,FALSE),"")</f>
        <v>29.669999999999998</v>
      </c>
      <c r="G37" s="5"/>
      <c r="H37" s="4" t="s">
        <v>439</v>
      </c>
      <c r="I37" s="11">
        <v>1</v>
      </c>
    </row>
    <row r="38" spans="1:9" x14ac:dyDescent="0.3">
      <c r="A38" s="11">
        <v>34</v>
      </c>
      <c r="B38" s="4" t="s">
        <v>115</v>
      </c>
      <c r="C38" s="4" t="s">
        <v>116</v>
      </c>
      <c r="D38" s="4" t="s">
        <v>433</v>
      </c>
      <c r="E38" s="11" t="s">
        <v>434</v>
      </c>
      <c r="F38" s="9">
        <f>IFERROR(VLOOKUP($B38,'SCHEDA STRUTTURA'!$A$13:$E$413,5,FALSE),"")</f>
        <v>25.07</v>
      </c>
      <c r="G38" s="5"/>
      <c r="H38" s="4" t="s">
        <v>439</v>
      </c>
      <c r="I38" s="11">
        <v>1</v>
      </c>
    </row>
    <row r="39" spans="1:9" x14ac:dyDescent="0.3">
      <c r="A39" s="11">
        <v>35</v>
      </c>
      <c r="B39" s="4" t="s">
        <v>79</v>
      </c>
      <c r="C39" s="4" t="s">
        <v>80</v>
      </c>
      <c r="D39" s="4" t="s">
        <v>433</v>
      </c>
      <c r="E39" s="11" t="s">
        <v>434</v>
      </c>
      <c r="F39" s="9">
        <f>IFERROR(VLOOKUP($B39,'SCHEDA STRUTTURA'!$A$13:$E$413,5,FALSE),"")</f>
        <v>36.119999999999997</v>
      </c>
      <c r="G39" s="5"/>
      <c r="H39" s="4" t="s">
        <v>439</v>
      </c>
      <c r="I39" s="11">
        <v>1</v>
      </c>
    </row>
    <row r="40" spans="1:9" x14ac:dyDescent="0.3">
      <c r="A40" s="11">
        <v>36</v>
      </c>
      <c r="B40" s="4" t="s">
        <v>121</v>
      </c>
      <c r="C40" s="4" t="s">
        <v>122</v>
      </c>
      <c r="D40" s="4" t="s">
        <v>433</v>
      </c>
      <c r="E40" s="11" t="s">
        <v>434</v>
      </c>
      <c r="F40" s="9">
        <f>IFERROR(VLOOKUP($B40,'SCHEDA STRUTTURA'!$A$13:$E$413,5,FALSE),"")</f>
        <v>30.52</v>
      </c>
      <c r="G40" s="5"/>
      <c r="H40" s="4" t="s">
        <v>439</v>
      </c>
      <c r="I40" s="11">
        <v>1</v>
      </c>
    </row>
    <row r="41" spans="1:9" x14ac:dyDescent="0.3">
      <c r="A41" s="11">
        <v>37</v>
      </c>
      <c r="B41" s="4" t="s">
        <v>81</v>
      </c>
      <c r="C41" s="4" t="s">
        <v>82</v>
      </c>
      <c r="D41" s="4" t="s">
        <v>433</v>
      </c>
      <c r="E41" s="11" t="s">
        <v>434</v>
      </c>
      <c r="F41" s="9">
        <f>IFERROR(VLOOKUP($B41,'SCHEDA STRUTTURA'!$A$13:$E$413,5,FALSE),"")</f>
        <v>37.409999999999997</v>
      </c>
      <c r="G41" s="5"/>
      <c r="H41" s="4" t="s">
        <v>439</v>
      </c>
      <c r="I41" s="11">
        <v>1</v>
      </c>
    </row>
    <row r="42" spans="1:9" x14ac:dyDescent="0.3">
      <c r="A42" s="11">
        <v>38</v>
      </c>
      <c r="B42" s="4" t="s">
        <v>123</v>
      </c>
      <c r="C42" s="4" t="s">
        <v>124</v>
      </c>
      <c r="D42" s="4" t="s">
        <v>433</v>
      </c>
      <c r="E42" s="11" t="s">
        <v>434</v>
      </c>
      <c r="F42" s="9">
        <f>IFERROR(VLOOKUP($B42,'SCHEDA STRUTTURA'!$A$13:$E$413,5,FALSE),"")</f>
        <v>31.61</v>
      </c>
      <c r="G42" s="5"/>
      <c r="H42" s="4" t="s">
        <v>439</v>
      </c>
      <c r="I42" s="11">
        <v>1</v>
      </c>
    </row>
    <row r="43" spans="1:9" x14ac:dyDescent="0.3">
      <c r="A43" s="11">
        <v>39</v>
      </c>
      <c r="B43" s="4" t="s">
        <v>83</v>
      </c>
      <c r="C43" s="4" t="s">
        <v>84</v>
      </c>
      <c r="D43" s="4" t="s">
        <v>433</v>
      </c>
      <c r="E43" s="11" t="s">
        <v>434</v>
      </c>
      <c r="F43" s="9">
        <f>IFERROR(VLOOKUP($B43,'SCHEDA STRUTTURA'!$A$13:$E$413,5,FALSE),"")</f>
        <v>38.700000000000003</v>
      </c>
      <c r="G43" s="5"/>
      <c r="H43" s="4" t="s">
        <v>439</v>
      </c>
      <c r="I43" s="11">
        <v>1</v>
      </c>
    </row>
    <row r="44" spans="1:9" x14ac:dyDescent="0.3">
      <c r="A44" s="11">
        <v>40</v>
      </c>
      <c r="B44" s="4" t="s">
        <v>125</v>
      </c>
      <c r="C44" s="4" t="s">
        <v>126</v>
      </c>
      <c r="D44" s="4" t="s">
        <v>433</v>
      </c>
      <c r="E44" s="11" t="s">
        <v>434</v>
      </c>
      <c r="F44" s="9">
        <f>IFERROR(VLOOKUP($B44,'SCHEDA STRUTTURA'!$A$13:$E$413,5,FALSE),"")</f>
        <v>32.700000000000003</v>
      </c>
      <c r="G44" s="5"/>
      <c r="H44" s="4" t="s">
        <v>439</v>
      </c>
      <c r="I44" s="11">
        <v>1</v>
      </c>
    </row>
    <row r="45" spans="1:9" x14ac:dyDescent="0.3">
      <c r="A45" s="11">
        <v>41</v>
      </c>
      <c r="B45" s="4" t="s">
        <v>85</v>
      </c>
      <c r="C45" s="4" t="s">
        <v>86</v>
      </c>
      <c r="D45" s="4" t="s">
        <v>433</v>
      </c>
      <c r="E45" s="11" t="s">
        <v>434</v>
      </c>
      <c r="F45" s="9">
        <f>IFERROR(VLOOKUP($B45,'SCHEDA STRUTTURA'!$A$13:$E$413,5,FALSE),"")</f>
        <v>39.99</v>
      </c>
      <c r="G45" s="5"/>
      <c r="H45" s="4" t="s">
        <v>439</v>
      </c>
      <c r="I45" s="11">
        <v>1</v>
      </c>
    </row>
    <row r="46" spans="1:9" x14ac:dyDescent="0.3">
      <c r="A46" s="11">
        <v>42</v>
      </c>
      <c r="B46" s="4" t="s">
        <v>127</v>
      </c>
      <c r="C46" s="4" t="s">
        <v>128</v>
      </c>
      <c r="D46" s="4" t="s">
        <v>433</v>
      </c>
      <c r="E46" s="11" t="s">
        <v>434</v>
      </c>
      <c r="F46" s="9">
        <f>IFERROR(VLOOKUP($B46,'SCHEDA STRUTTURA'!$A$13:$E$413,5,FALSE),"")</f>
        <v>33.79</v>
      </c>
      <c r="G46" s="5"/>
      <c r="H46" s="4" t="s">
        <v>439</v>
      </c>
      <c r="I46" s="11">
        <v>1</v>
      </c>
    </row>
    <row r="47" spans="1:9" x14ac:dyDescent="0.3">
      <c r="A47" s="11">
        <v>43</v>
      </c>
      <c r="B47" s="4" t="s">
        <v>87</v>
      </c>
      <c r="C47" s="4" t="s">
        <v>88</v>
      </c>
      <c r="D47" s="4" t="s">
        <v>433</v>
      </c>
      <c r="E47" s="11" t="s">
        <v>434</v>
      </c>
      <c r="F47" s="9">
        <f>IFERROR(VLOOKUP($B47,'SCHEDA STRUTTURA'!$A$13:$E$413,5,FALSE),"")</f>
        <v>41.28</v>
      </c>
      <c r="G47" s="5"/>
      <c r="H47" s="4" t="s">
        <v>439</v>
      </c>
      <c r="I47" s="11">
        <v>1</v>
      </c>
    </row>
    <row r="48" spans="1:9" x14ac:dyDescent="0.3">
      <c r="A48" s="11">
        <v>44</v>
      </c>
      <c r="B48" s="4" t="s">
        <v>129</v>
      </c>
      <c r="C48" s="4" t="s">
        <v>130</v>
      </c>
      <c r="D48" s="4" t="s">
        <v>433</v>
      </c>
      <c r="E48" s="11" t="s">
        <v>434</v>
      </c>
      <c r="F48" s="9">
        <f>IFERROR(VLOOKUP($B48,'SCHEDA STRUTTURA'!$A$13:$E$413,5,FALSE),"")</f>
        <v>34.880000000000003</v>
      </c>
      <c r="G48" s="5"/>
      <c r="H48" s="4" t="s">
        <v>439</v>
      </c>
      <c r="I48" s="11">
        <v>1</v>
      </c>
    </row>
    <row r="49" spans="1:9" x14ac:dyDescent="0.3">
      <c r="A49" s="11">
        <v>45</v>
      </c>
      <c r="B49" s="4" t="s">
        <v>89</v>
      </c>
      <c r="C49" s="4" t="s">
        <v>90</v>
      </c>
      <c r="D49" s="4" t="s">
        <v>433</v>
      </c>
      <c r="E49" s="11" t="s">
        <v>434</v>
      </c>
      <c r="F49" s="9">
        <f>IFERROR(VLOOKUP($B49,'SCHEDA STRUTTURA'!$A$13:$E$413,5,FALSE),"")</f>
        <v>42.57</v>
      </c>
      <c r="G49" s="5"/>
      <c r="H49" s="4" t="s">
        <v>439</v>
      </c>
      <c r="I49" s="11">
        <v>1</v>
      </c>
    </row>
    <row r="50" spans="1:9" x14ac:dyDescent="0.3">
      <c r="A50" s="11">
        <v>46</v>
      </c>
      <c r="B50" s="4" t="s">
        <v>131</v>
      </c>
      <c r="C50" s="4" t="s">
        <v>132</v>
      </c>
      <c r="D50" s="4" t="s">
        <v>433</v>
      </c>
      <c r="E50" s="11" t="s">
        <v>434</v>
      </c>
      <c r="F50" s="9">
        <f>IFERROR(VLOOKUP($B50,'SCHEDA STRUTTURA'!$A$13:$E$413,5,FALSE),"")</f>
        <v>35.97</v>
      </c>
      <c r="G50" s="5"/>
      <c r="H50" s="4" t="s">
        <v>439</v>
      </c>
      <c r="I50" s="11">
        <v>1</v>
      </c>
    </row>
    <row r="51" spans="1:9" x14ac:dyDescent="0.3">
      <c r="A51" s="11">
        <v>47</v>
      </c>
      <c r="B51" s="4" t="s">
        <v>91</v>
      </c>
      <c r="C51" s="4" t="s">
        <v>92</v>
      </c>
      <c r="D51" s="4" t="s">
        <v>433</v>
      </c>
      <c r="E51" s="11" t="s">
        <v>434</v>
      </c>
      <c r="F51" s="9">
        <f>IFERROR(VLOOKUP($B51,'SCHEDA STRUTTURA'!$A$13:$E$413,5,FALSE),"")</f>
        <v>43.86</v>
      </c>
      <c r="G51" s="5"/>
      <c r="H51" s="4" t="s">
        <v>439</v>
      </c>
      <c r="I51" s="11">
        <v>1</v>
      </c>
    </row>
    <row r="52" spans="1:9" x14ac:dyDescent="0.3">
      <c r="A52" s="11">
        <v>48</v>
      </c>
      <c r="B52" s="4" t="s">
        <v>133</v>
      </c>
      <c r="C52" s="4" t="s">
        <v>134</v>
      </c>
      <c r="D52" s="4" t="s">
        <v>433</v>
      </c>
      <c r="E52" s="11" t="s">
        <v>434</v>
      </c>
      <c r="F52" s="9">
        <f>IFERROR(VLOOKUP($B52,'SCHEDA STRUTTURA'!$A$13:$E$413,5,FALSE),"")</f>
        <v>37.06</v>
      </c>
      <c r="G52" s="5"/>
      <c r="H52" s="4" t="s">
        <v>439</v>
      </c>
      <c r="I52" s="11">
        <v>1</v>
      </c>
    </row>
    <row r="53" spans="1:9" x14ac:dyDescent="0.3">
      <c r="A53" s="11">
        <v>49</v>
      </c>
      <c r="B53" s="4" t="s">
        <v>93</v>
      </c>
      <c r="C53" s="4" t="s">
        <v>94</v>
      </c>
      <c r="D53" s="4" t="s">
        <v>433</v>
      </c>
      <c r="E53" s="11" t="s">
        <v>434</v>
      </c>
      <c r="F53" s="9">
        <f>IFERROR(VLOOKUP($B53,'SCHEDA STRUTTURA'!$A$13:$E$413,5,FALSE),"")</f>
        <v>45.15</v>
      </c>
      <c r="G53" s="5"/>
      <c r="H53" s="4" t="s">
        <v>439</v>
      </c>
      <c r="I53" s="11">
        <v>1</v>
      </c>
    </row>
    <row r="54" spans="1:9" x14ac:dyDescent="0.3">
      <c r="A54" s="11">
        <v>50</v>
      </c>
      <c r="B54" s="4" t="s">
        <v>135</v>
      </c>
      <c r="C54" s="4" t="s">
        <v>136</v>
      </c>
      <c r="D54" s="4" t="s">
        <v>433</v>
      </c>
      <c r="E54" s="11" t="s">
        <v>434</v>
      </c>
      <c r="F54" s="9">
        <f>IFERROR(VLOOKUP($B54,'SCHEDA STRUTTURA'!$A$13:$E$413,5,FALSE),"")</f>
        <v>38.15</v>
      </c>
      <c r="G54" s="5"/>
      <c r="H54" s="4" t="s">
        <v>439</v>
      </c>
      <c r="I54" s="11">
        <v>1</v>
      </c>
    </row>
    <row r="55" spans="1:9" x14ac:dyDescent="0.3">
      <c r="A55" s="11">
        <v>51</v>
      </c>
      <c r="B55" s="4" t="s">
        <v>95</v>
      </c>
      <c r="C55" s="4" t="s">
        <v>96</v>
      </c>
      <c r="D55" s="4" t="s">
        <v>433</v>
      </c>
      <c r="E55" s="11" t="s">
        <v>434</v>
      </c>
      <c r="F55" s="9">
        <f>IFERROR(VLOOKUP($B55,'SCHEDA STRUTTURA'!$A$13:$E$413,5,FALSE),"")</f>
        <v>46.440000000000005</v>
      </c>
      <c r="G55" s="5"/>
      <c r="H55" s="4" t="s">
        <v>439</v>
      </c>
      <c r="I55" s="11">
        <v>1</v>
      </c>
    </row>
    <row r="56" spans="1:9" x14ac:dyDescent="0.3">
      <c r="A56" s="11">
        <v>52</v>
      </c>
      <c r="B56" s="4" t="s">
        <v>137</v>
      </c>
      <c r="C56" s="4" t="s">
        <v>138</v>
      </c>
      <c r="D56" s="4" t="s">
        <v>433</v>
      </c>
      <c r="E56" s="11" t="s">
        <v>434</v>
      </c>
      <c r="F56" s="9">
        <f>IFERROR(VLOOKUP($B56,'SCHEDA STRUTTURA'!$A$13:$E$413,5,FALSE),"")</f>
        <v>39.24</v>
      </c>
      <c r="G56" s="5"/>
      <c r="H56" s="4" t="s">
        <v>439</v>
      </c>
      <c r="I56" s="11">
        <v>1</v>
      </c>
    </row>
    <row r="57" spans="1:9" x14ac:dyDescent="0.3">
      <c r="A57" s="11">
        <v>53</v>
      </c>
      <c r="B57" s="4" t="s">
        <v>97</v>
      </c>
      <c r="C57" s="4" t="s">
        <v>98</v>
      </c>
      <c r="D57" s="4" t="s">
        <v>433</v>
      </c>
      <c r="E57" s="11" t="s">
        <v>434</v>
      </c>
      <c r="F57" s="9">
        <f>IFERROR(VLOOKUP($B57,'SCHEDA STRUTTURA'!$A$13:$E$413,5,FALSE),"")</f>
        <v>47.730000000000004</v>
      </c>
      <c r="G57" s="5"/>
      <c r="H57" s="4" t="s">
        <v>439</v>
      </c>
      <c r="I57" s="11">
        <v>1</v>
      </c>
    </row>
    <row r="58" spans="1:9" x14ac:dyDescent="0.3">
      <c r="A58" s="11">
        <v>54</v>
      </c>
      <c r="B58" s="4" t="s">
        <v>139</v>
      </c>
      <c r="C58" s="4" t="s">
        <v>140</v>
      </c>
      <c r="D58" s="4" t="s">
        <v>433</v>
      </c>
      <c r="E58" s="11" t="s">
        <v>434</v>
      </c>
      <c r="F58" s="9">
        <f>IFERROR(VLOOKUP($B58,'SCHEDA STRUTTURA'!$A$13:$E$413,5,FALSE),"")</f>
        <v>40.330000000000005</v>
      </c>
      <c r="G58" s="5"/>
      <c r="H58" s="4" t="s">
        <v>439</v>
      </c>
      <c r="I58" s="11">
        <v>1</v>
      </c>
    </row>
    <row r="59" spans="1:9" x14ac:dyDescent="0.3">
      <c r="A59" s="11">
        <v>55</v>
      </c>
      <c r="B59" s="4" t="s">
        <v>99</v>
      </c>
      <c r="C59" s="4" t="s">
        <v>100</v>
      </c>
      <c r="D59" s="4" t="s">
        <v>433</v>
      </c>
      <c r="E59" s="11" t="s">
        <v>434</v>
      </c>
      <c r="F59" s="9">
        <f>IFERROR(VLOOKUP($B59,'SCHEDA STRUTTURA'!$A$13:$E$413,5,FALSE),"")</f>
        <v>49.019999999999996</v>
      </c>
      <c r="G59" s="5"/>
      <c r="H59" s="4" t="s">
        <v>439</v>
      </c>
      <c r="I59" s="11">
        <v>1</v>
      </c>
    </row>
    <row r="60" spans="1:9" x14ac:dyDescent="0.3">
      <c r="A60" s="11">
        <v>56</v>
      </c>
      <c r="B60" s="4" t="s">
        <v>141</v>
      </c>
      <c r="C60" s="4" t="s">
        <v>142</v>
      </c>
      <c r="D60" s="4" t="s">
        <v>433</v>
      </c>
      <c r="E60" s="11" t="s">
        <v>434</v>
      </c>
      <c r="F60" s="9">
        <f>IFERROR(VLOOKUP($B60,'SCHEDA STRUTTURA'!$A$13:$E$413,5,FALSE),"")</f>
        <v>41.42</v>
      </c>
      <c r="G60" s="5"/>
      <c r="H60" s="4" t="s">
        <v>439</v>
      </c>
      <c r="I60" s="11">
        <v>1</v>
      </c>
    </row>
    <row r="61" spans="1:9" x14ac:dyDescent="0.3">
      <c r="A61" s="11">
        <v>57</v>
      </c>
      <c r="B61" s="4" t="s">
        <v>101</v>
      </c>
      <c r="C61" s="4" t="s">
        <v>102</v>
      </c>
      <c r="D61" s="4" t="s">
        <v>433</v>
      </c>
      <c r="E61" s="11" t="s">
        <v>434</v>
      </c>
      <c r="F61" s="9">
        <f>IFERROR(VLOOKUP($B61,'SCHEDA STRUTTURA'!$A$13:$E$413,5,FALSE),"")</f>
        <v>50.31</v>
      </c>
      <c r="G61" s="5"/>
      <c r="H61" s="4" t="s">
        <v>439</v>
      </c>
      <c r="I61" s="11">
        <v>1</v>
      </c>
    </row>
    <row r="62" spans="1:9" x14ac:dyDescent="0.3">
      <c r="A62" s="11">
        <v>58</v>
      </c>
      <c r="B62" s="4" t="s">
        <v>143</v>
      </c>
      <c r="C62" s="4" t="s">
        <v>144</v>
      </c>
      <c r="D62" s="4" t="s">
        <v>433</v>
      </c>
      <c r="E62" s="11" t="s">
        <v>434</v>
      </c>
      <c r="F62" s="9">
        <f>IFERROR(VLOOKUP($B62,'SCHEDA STRUTTURA'!$A$13:$E$413,5,FALSE),"")</f>
        <v>42.51</v>
      </c>
      <c r="G62" s="5"/>
      <c r="H62" s="4" t="s">
        <v>439</v>
      </c>
      <c r="I62" s="11">
        <v>1</v>
      </c>
    </row>
    <row r="63" spans="1:9" x14ac:dyDescent="0.3">
      <c r="A63" s="11">
        <v>59</v>
      </c>
      <c r="B63" s="4" t="s">
        <v>103</v>
      </c>
      <c r="C63" s="4" t="s">
        <v>104</v>
      </c>
      <c r="D63" s="4" t="s">
        <v>433</v>
      </c>
      <c r="E63" s="11" t="s">
        <v>434</v>
      </c>
      <c r="F63" s="9">
        <f>IFERROR(VLOOKUP($B63,'SCHEDA STRUTTURA'!$A$13:$E$413,5,FALSE),"")</f>
        <v>51.6</v>
      </c>
      <c r="G63" s="5"/>
      <c r="H63" s="4" t="s">
        <v>439</v>
      </c>
      <c r="I63" s="11">
        <v>1</v>
      </c>
    </row>
    <row r="64" spans="1:9" x14ac:dyDescent="0.3">
      <c r="A64" s="11">
        <v>60</v>
      </c>
      <c r="B64" s="4" t="s">
        <v>145</v>
      </c>
      <c r="C64" s="4" t="s">
        <v>146</v>
      </c>
      <c r="D64" s="4" t="s">
        <v>433</v>
      </c>
      <c r="E64" s="11" t="s">
        <v>434</v>
      </c>
      <c r="F64" s="9">
        <f>IFERROR(VLOOKUP($B64,'SCHEDA STRUTTURA'!$A$13:$E$413,5,FALSE),"")</f>
        <v>43.6</v>
      </c>
      <c r="G64" s="5"/>
      <c r="H64" s="4" t="s">
        <v>439</v>
      </c>
      <c r="I64" s="11">
        <v>1</v>
      </c>
    </row>
    <row r="65" spans="1:9" x14ac:dyDescent="0.3">
      <c r="A65" s="11">
        <v>61</v>
      </c>
      <c r="B65" s="4" t="s">
        <v>105</v>
      </c>
      <c r="C65" s="4" t="s">
        <v>106</v>
      </c>
      <c r="D65" s="4" t="s">
        <v>433</v>
      </c>
      <c r="E65" s="11" t="s">
        <v>434</v>
      </c>
      <c r="F65" s="9">
        <f>IFERROR(VLOOKUP($B65,'SCHEDA STRUTTURA'!$A$13:$E$413,5,FALSE),"")</f>
        <v>52.889999999999993</v>
      </c>
      <c r="G65" s="5"/>
      <c r="H65" s="4" t="s">
        <v>439</v>
      </c>
      <c r="I65" s="11">
        <v>1</v>
      </c>
    </row>
    <row r="66" spans="1:9" x14ac:dyDescent="0.3">
      <c r="A66" s="11">
        <v>62</v>
      </c>
      <c r="B66" s="4" t="s">
        <v>147</v>
      </c>
      <c r="C66" s="4" t="s">
        <v>148</v>
      </c>
      <c r="D66" s="4" t="s">
        <v>433</v>
      </c>
      <c r="E66" s="11" t="s">
        <v>434</v>
      </c>
      <c r="F66" s="9">
        <f>IFERROR(VLOOKUP($B66,'SCHEDA STRUTTURA'!$A$13:$E$413,5,FALSE),"")</f>
        <v>44.69</v>
      </c>
      <c r="G66" s="5"/>
      <c r="H66" s="4" t="s">
        <v>439</v>
      </c>
      <c r="I66" s="11">
        <v>1</v>
      </c>
    </row>
    <row r="67" spans="1:9" x14ac:dyDescent="0.3">
      <c r="A67" s="11">
        <v>63</v>
      </c>
      <c r="B67" s="4" t="s">
        <v>107</v>
      </c>
      <c r="C67" s="4" t="s">
        <v>108</v>
      </c>
      <c r="D67" s="4" t="s">
        <v>433</v>
      </c>
      <c r="E67" s="11" t="s">
        <v>434</v>
      </c>
      <c r="F67" s="9">
        <f>IFERROR(VLOOKUP($B67,'SCHEDA STRUTTURA'!$A$13:$E$413,5,FALSE),"")</f>
        <v>54.180000000000007</v>
      </c>
      <c r="G67" s="5"/>
      <c r="H67" s="4" t="s">
        <v>439</v>
      </c>
      <c r="I67" s="11">
        <v>1</v>
      </c>
    </row>
    <row r="68" spans="1:9" x14ac:dyDescent="0.3">
      <c r="A68" s="11">
        <v>64</v>
      </c>
      <c r="B68" s="4" t="s">
        <v>149</v>
      </c>
      <c r="C68" s="4" t="s">
        <v>150</v>
      </c>
      <c r="D68" s="4" t="s">
        <v>433</v>
      </c>
      <c r="E68" s="11" t="s">
        <v>434</v>
      </c>
      <c r="F68" s="9">
        <f>IFERROR(VLOOKUP($B68,'SCHEDA STRUTTURA'!$A$13:$E$413,5,FALSE),"")</f>
        <v>45.78</v>
      </c>
      <c r="G68" s="5"/>
      <c r="H68" s="4" t="s">
        <v>439</v>
      </c>
      <c r="I68" s="11">
        <v>1</v>
      </c>
    </row>
    <row r="69" spans="1:9" x14ac:dyDescent="0.3">
      <c r="A69" s="11">
        <v>65</v>
      </c>
      <c r="B69" s="4" t="s">
        <v>109</v>
      </c>
      <c r="C69" s="4" t="s">
        <v>110</v>
      </c>
      <c r="D69" s="4" t="s">
        <v>433</v>
      </c>
      <c r="E69" s="11" t="s">
        <v>434</v>
      </c>
      <c r="F69" s="9">
        <f>IFERROR(VLOOKUP($B69,'SCHEDA STRUTTURA'!$A$13:$E$413,5,FALSE),"")</f>
        <v>55.47</v>
      </c>
      <c r="G69" s="5"/>
      <c r="H69" s="4" t="s">
        <v>439</v>
      </c>
      <c r="I69" s="11">
        <v>1</v>
      </c>
    </row>
    <row r="70" spans="1:9" x14ac:dyDescent="0.3">
      <c r="A70" s="11">
        <v>66</v>
      </c>
      <c r="B70" s="4" t="s">
        <v>151</v>
      </c>
      <c r="C70" s="4" t="s">
        <v>152</v>
      </c>
      <c r="D70" s="4" t="s">
        <v>433</v>
      </c>
      <c r="E70" s="11" t="s">
        <v>434</v>
      </c>
      <c r="F70" s="9">
        <f>IFERROR(VLOOKUP($B70,'SCHEDA STRUTTURA'!$A$13:$E$413,5,FALSE),"")</f>
        <v>46.87</v>
      </c>
      <c r="G70" s="5"/>
      <c r="H70" s="4" t="s">
        <v>439</v>
      </c>
      <c r="I70" s="11">
        <v>1</v>
      </c>
    </row>
    <row r="71" spans="1:9" x14ac:dyDescent="0.3">
      <c r="A71" s="11">
        <v>67</v>
      </c>
      <c r="B71" s="4" t="s">
        <v>111</v>
      </c>
      <c r="C71" s="4" t="s">
        <v>112</v>
      </c>
      <c r="D71" s="4" t="s">
        <v>433</v>
      </c>
      <c r="E71" s="11" t="s">
        <v>434</v>
      </c>
      <c r="F71" s="9">
        <f>IFERROR(VLOOKUP($B71,'SCHEDA STRUTTURA'!$A$13:$E$413,5,FALSE),"")</f>
        <v>56.760000000000005</v>
      </c>
      <c r="G71" s="5"/>
      <c r="H71" s="4" t="s">
        <v>439</v>
      </c>
      <c r="I71" s="11">
        <v>1</v>
      </c>
    </row>
    <row r="72" spans="1:9" x14ac:dyDescent="0.3">
      <c r="A72" s="11">
        <v>68</v>
      </c>
      <c r="B72" s="4" t="s">
        <v>153</v>
      </c>
      <c r="C72" s="4" t="s">
        <v>154</v>
      </c>
      <c r="D72" s="4" t="s">
        <v>433</v>
      </c>
      <c r="E72" s="11" t="s">
        <v>434</v>
      </c>
      <c r="F72" s="9">
        <f>IFERROR(VLOOKUP($B72,'SCHEDA STRUTTURA'!$A$13:$E$413,5,FALSE),"")</f>
        <v>47.960000000000008</v>
      </c>
      <c r="G72" s="5"/>
      <c r="H72" s="4" t="s">
        <v>439</v>
      </c>
      <c r="I72" s="11">
        <v>1</v>
      </c>
    </row>
    <row r="73" spans="1:9" x14ac:dyDescent="0.3">
      <c r="A73" s="11">
        <v>69</v>
      </c>
      <c r="B73" s="4" t="s">
        <v>113</v>
      </c>
      <c r="C73" s="4" t="s">
        <v>114</v>
      </c>
      <c r="D73" s="4" t="s">
        <v>433</v>
      </c>
      <c r="E73" s="11" t="s">
        <v>434</v>
      </c>
      <c r="F73" s="9">
        <f>IFERROR(VLOOKUP($B73,'SCHEDA STRUTTURA'!$A$13:$E$413,5,FALSE),"")</f>
        <v>58.050000000000004</v>
      </c>
      <c r="G73" s="5"/>
      <c r="H73" s="4" t="s">
        <v>439</v>
      </c>
      <c r="I73" s="11">
        <v>1</v>
      </c>
    </row>
    <row r="74" spans="1:9" x14ac:dyDescent="0.3">
      <c r="A74" s="11">
        <v>70</v>
      </c>
      <c r="B74" s="4" t="s">
        <v>155</v>
      </c>
      <c r="C74" s="4" t="s">
        <v>156</v>
      </c>
      <c r="D74" s="4" t="s">
        <v>433</v>
      </c>
      <c r="E74" s="11" t="s">
        <v>434</v>
      </c>
      <c r="F74" s="9">
        <f>IFERROR(VLOOKUP($B74,'SCHEDA STRUTTURA'!$A$13:$E$413,5,FALSE),"")</f>
        <v>49.050000000000004</v>
      </c>
      <c r="G74" s="5"/>
      <c r="H74" s="4" t="s">
        <v>439</v>
      </c>
      <c r="I74" s="11">
        <v>1</v>
      </c>
    </row>
    <row r="75" spans="1:9" x14ac:dyDescent="0.3">
      <c r="A75" s="11">
        <v>71</v>
      </c>
      <c r="B75" s="4" t="s">
        <v>75</v>
      </c>
      <c r="C75" s="4" t="s">
        <v>76</v>
      </c>
      <c r="D75" s="4" t="s">
        <v>433</v>
      </c>
      <c r="E75" s="11" t="s">
        <v>434</v>
      </c>
      <c r="F75" s="9">
        <f>IFERROR(VLOOKUP($B75,'SCHEDA STRUTTURA'!$A$13:$E$413,5,FALSE),"")</f>
        <v>29.669999999999998</v>
      </c>
      <c r="G75" s="5"/>
      <c r="H75" s="4" t="s">
        <v>440</v>
      </c>
      <c r="I75" s="11">
        <v>1</v>
      </c>
    </row>
    <row r="76" spans="1:9" x14ac:dyDescent="0.3">
      <c r="A76" s="11">
        <v>72</v>
      </c>
      <c r="B76" s="4" t="s">
        <v>117</v>
      </c>
      <c r="C76" s="4" t="s">
        <v>118</v>
      </c>
      <c r="D76" s="4" t="s">
        <v>433</v>
      </c>
      <c r="E76" s="11" t="s">
        <v>434</v>
      </c>
      <c r="F76" s="9">
        <f>IFERROR(VLOOKUP($B76,'SCHEDA STRUTTURA'!$A$13:$E$413,5,FALSE),"")</f>
        <v>25.07</v>
      </c>
      <c r="G76" s="5"/>
      <c r="H76" s="4" t="s">
        <v>440</v>
      </c>
      <c r="I76" s="11">
        <v>1</v>
      </c>
    </row>
    <row r="77" spans="1:9" x14ac:dyDescent="0.3">
      <c r="A77" s="11">
        <v>73</v>
      </c>
      <c r="B77" s="4" t="s">
        <v>77</v>
      </c>
      <c r="C77" s="4" t="s">
        <v>78</v>
      </c>
      <c r="D77" s="4" t="s">
        <v>433</v>
      </c>
      <c r="E77" s="11" t="s">
        <v>434</v>
      </c>
      <c r="F77" s="9">
        <f>IFERROR(VLOOKUP($B77,'SCHEDA STRUTTURA'!$A$13:$E$413,5,FALSE),"")</f>
        <v>29.669999999999998</v>
      </c>
      <c r="G77" s="5"/>
      <c r="H77" s="4" t="s">
        <v>441</v>
      </c>
      <c r="I77" s="11">
        <v>1</v>
      </c>
    </row>
    <row r="78" spans="1:9" x14ac:dyDescent="0.3">
      <c r="A78" s="11">
        <v>74</v>
      </c>
      <c r="B78" s="4" t="s">
        <v>119</v>
      </c>
      <c r="C78" s="4" t="s">
        <v>120</v>
      </c>
      <c r="D78" s="4" t="s">
        <v>433</v>
      </c>
      <c r="E78" s="11" t="s">
        <v>434</v>
      </c>
      <c r="F78" s="9">
        <f>IFERROR(VLOOKUP($B78,'SCHEDA STRUTTURA'!$A$13:$E$413,5,FALSE),"")</f>
        <v>25.07</v>
      </c>
      <c r="G78" s="5"/>
      <c r="H78" s="4" t="s">
        <v>441</v>
      </c>
      <c r="I78" s="11">
        <v>1</v>
      </c>
    </row>
    <row r="79" spans="1:9" x14ac:dyDescent="0.3">
      <c r="A79" s="11">
        <v>75</v>
      </c>
      <c r="B79" s="4" t="s">
        <v>26</v>
      </c>
      <c r="C79" s="4" t="s">
        <v>27</v>
      </c>
      <c r="D79" s="4" t="s">
        <v>433</v>
      </c>
      <c r="E79" s="11" t="s">
        <v>434</v>
      </c>
      <c r="F79" s="9">
        <f>IFERROR(VLOOKUP($B79,'SCHEDA PEZZI SPECIALI'!$A$38:$F$400,4,FALSE),"")</f>
        <v>2.1528</v>
      </c>
      <c r="G79" s="5"/>
      <c r="H79" s="4" t="s">
        <v>439</v>
      </c>
      <c r="I79" s="11">
        <v>1</v>
      </c>
    </row>
    <row r="80" spans="1:9" x14ac:dyDescent="0.3">
      <c r="A80" s="11">
        <v>76</v>
      </c>
      <c r="B80" s="4" t="s">
        <v>28</v>
      </c>
      <c r="C80" s="4" t="s">
        <v>29</v>
      </c>
      <c r="D80" s="4" t="s">
        <v>433</v>
      </c>
      <c r="E80" s="11" t="s">
        <v>434</v>
      </c>
      <c r="F80" s="9">
        <f>IFERROR(VLOOKUP($B80,'SCHEDA PEZZI SPECIALI'!$A$38:$F$400,4,FALSE),"")</f>
        <v>2.7256</v>
      </c>
      <c r="G80" s="5"/>
      <c r="H80" s="4" t="s">
        <v>439</v>
      </c>
      <c r="I80" s="11">
        <v>1</v>
      </c>
    </row>
    <row r="81" spans="1:9" x14ac:dyDescent="0.3">
      <c r="A81" s="11">
        <v>77</v>
      </c>
      <c r="B81" s="4" t="s">
        <v>30</v>
      </c>
      <c r="C81" s="4" t="s">
        <v>31</v>
      </c>
      <c r="D81" s="4" t="s">
        <v>433</v>
      </c>
      <c r="E81" s="11" t="s">
        <v>434</v>
      </c>
      <c r="F81" s="9">
        <f>IFERROR(VLOOKUP($B81,'SCHEDA PEZZI SPECIALI'!$A$38:$F$400,4,FALSE),"")</f>
        <v>2.6856960000000001</v>
      </c>
      <c r="G81" s="5"/>
      <c r="H81" s="4" t="s">
        <v>440</v>
      </c>
      <c r="I81" s="11">
        <v>1</v>
      </c>
    </row>
    <row r="82" spans="1:9" x14ac:dyDescent="0.3">
      <c r="A82" s="11">
        <v>78</v>
      </c>
      <c r="B82" s="4" t="s">
        <v>32</v>
      </c>
      <c r="C82" s="4" t="s">
        <v>33</v>
      </c>
      <c r="D82" s="4" t="s">
        <v>433</v>
      </c>
      <c r="E82" s="11" t="s">
        <v>434</v>
      </c>
      <c r="F82" s="9">
        <f>IFERROR(VLOOKUP($B82,'SCHEDA PEZZI SPECIALI'!$A$38:$F$400,4,FALSE),"")</f>
        <v>2.6856960000000001</v>
      </c>
      <c r="G82" s="5"/>
      <c r="H82" s="4" t="s">
        <v>440</v>
      </c>
      <c r="I82" s="11">
        <v>1</v>
      </c>
    </row>
    <row r="83" spans="1:9" x14ac:dyDescent="0.3">
      <c r="A83" s="11">
        <v>79</v>
      </c>
      <c r="B83" s="4" t="s">
        <v>34</v>
      </c>
      <c r="C83" s="4" t="s">
        <v>35</v>
      </c>
      <c r="D83" s="4" t="s">
        <v>433</v>
      </c>
      <c r="E83" s="11" t="s">
        <v>434</v>
      </c>
      <c r="F83" s="9">
        <f>IFERROR(VLOOKUP($B83,'SCHEDA PEZZI SPECIALI'!$A$38:$F$400,4,FALSE),"")</f>
        <v>7.0012800000000004</v>
      </c>
      <c r="G83" s="5"/>
      <c r="H83" s="4" t="s">
        <v>440</v>
      </c>
      <c r="I83" s="11">
        <v>1</v>
      </c>
    </row>
    <row r="84" spans="1:9" x14ac:dyDescent="0.3">
      <c r="A84" s="11">
        <v>80</v>
      </c>
      <c r="B84" s="4" t="s">
        <v>36</v>
      </c>
      <c r="C84" s="4" t="s">
        <v>37</v>
      </c>
      <c r="D84" s="4" t="s">
        <v>433</v>
      </c>
      <c r="E84" s="11" t="s">
        <v>434</v>
      </c>
      <c r="F84" s="9">
        <f>IFERROR(VLOOKUP($B84,'SCHEDA PEZZI SPECIALI'!$A$38:$F$400,4,FALSE),"")</f>
        <v>2.169</v>
      </c>
      <c r="G84" s="5"/>
      <c r="H84" s="4" t="s">
        <v>441</v>
      </c>
      <c r="I84" s="11">
        <v>1</v>
      </c>
    </row>
    <row r="85" spans="1:9" x14ac:dyDescent="0.3">
      <c r="A85" s="11">
        <v>81</v>
      </c>
      <c r="B85" s="4" t="s">
        <v>38</v>
      </c>
      <c r="C85" s="4" t="s">
        <v>39</v>
      </c>
      <c r="D85" s="4" t="s">
        <v>433</v>
      </c>
      <c r="E85" s="11" t="s">
        <v>434</v>
      </c>
      <c r="F85" s="9">
        <f>IFERROR(VLOOKUP($B85,'SCHEDA PEZZI SPECIALI'!$A$38:$F$400,4,FALSE),"")</f>
        <v>2.169</v>
      </c>
      <c r="G85" s="5"/>
      <c r="H85" s="4" t="s">
        <v>441</v>
      </c>
      <c r="I85" s="11">
        <v>1</v>
      </c>
    </row>
    <row r="86" spans="1:9" x14ac:dyDescent="0.3">
      <c r="A86" s="11">
        <v>82</v>
      </c>
      <c r="B86" s="4" t="s">
        <v>40</v>
      </c>
      <c r="C86" s="4" t="s">
        <v>41</v>
      </c>
      <c r="D86" s="4" t="s">
        <v>433</v>
      </c>
      <c r="E86" s="11" t="s">
        <v>434</v>
      </c>
      <c r="F86" s="9">
        <f>IFERROR(VLOOKUP($B86,'SCHEDA PEZZI SPECIALI'!$A$38:$F$400,4,FALSE),"")</f>
        <v>7.3788</v>
      </c>
      <c r="G86" s="5"/>
      <c r="H86" s="4" t="s">
        <v>441</v>
      </c>
      <c r="I86" s="11">
        <v>1</v>
      </c>
    </row>
    <row r="87" spans="1:9" x14ac:dyDescent="0.3">
      <c r="A87" s="11">
        <v>83</v>
      </c>
      <c r="B87" s="4" t="s">
        <v>165</v>
      </c>
      <c r="C87" s="4" t="s">
        <v>166</v>
      </c>
      <c r="D87" s="4" t="s">
        <v>433</v>
      </c>
      <c r="E87" s="11" t="s">
        <v>434</v>
      </c>
      <c r="F87" s="9">
        <f>IFERROR(VLOOKUP($B87,'SCHEDA STRUTTURA'!$A$13:$E$413,5,FALSE),"")</f>
        <v>38.700000000000003</v>
      </c>
      <c r="G87" s="5"/>
      <c r="H87" s="4" t="s">
        <v>442</v>
      </c>
      <c r="I87" s="11">
        <v>2</v>
      </c>
    </row>
    <row r="88" spans="1:9" x14ac:dyDescent="0.3">
      <c r="A88" s="11">
        <v>84</v>
      </c>
      <c r="B88" s="4" t="s">
        <v>187</v>
      </c>
      <c r="C88" s="4" t="s">
        <v>188</v>
      </c>
      <c r="D88" s="4" t="s">
        <v>433</v>
      </c>
      <c r="E88" s="11" t="s">
        <v>434</v>
      </c>
      <c r="F88" s="9">
        <f>IFERROR(VLOOKUP($B88,'SCHEDA STRUTTURA'!$A$13:$E$413,5,FALSE),"")</f>
        <v>32.700000000000003</v>
      </c>
      <c r="G88" s="5"/>
      <c r="H88" s="4" t="s">
        <v>443</v>
      </c>
      <c r="I88" s="11">
        <v>1</v>
      </c>
    </row>
    <row r="89" spans="1:9" x14ac:dyDescent="0.3">
      <c r="A89" s="11">
        <v>85</v>
      </c>
      <c r="B89" s="4" t="s">
        <v>157</v>
      </c>
      <c r="C89" s="4" t="s">
        <v>158</v>
      </c>
      <c r="D89" s="4" t="s">
        <v>433</v>
      </c>
      <c r="E89" s="11" t="s">
        <v>434</v>
      </c>
      <c r="F89" s="9">
        <f>IFERROR(VLOOKUP($B89,'SCHEDA STRUTTURA'!$A$13:$E$413,5,FALSE),"")</f>
        <v>33.54</v>
      </c>
      <c r="G89" s="5"/>
      <c r="H89" s="4" t="s">
        <v>443</v>
      </c>
      <c r="I89" s="11">
        <v>1</v>
      </c>
    </row>
    <row r="90" spans="1:9" x14ac:dyDescent="0.3">
      <c r="A90" s="11">
        <v>86</v>
      </c>
      <c r="B90" s="4" t="s">
        <v>179</v>
      </c>
      <c r="C90" s="4" t="s">
        <v>180</v>
      </c>
      <c r="D90" s="4" t="s">
        <v>433</v>
      </c>
      <c r="E90" s="11" t="s">
        <v>434</v>
      </c>
      <c r="F90" s="9">
        <f>IFERROR(VLOOKUP($B90,'SCHEDA STRUTTURA'!$A$13:$E$413,5,FALSE),"")</f>
        <v>28.340000000000003</v>
      </c>
      <c r="G90" s="5"/>
      <c r="H90" s="4" t="s">
        <v>443</v>
      </c>
      <c r="I90" s="11">
        <v>1</v>
      </c>
    </row>
    <row r="91" spans="1:9" x14ac:dyDescent="0.3">
      <c r="A91" s="11">
        <v>87</v>
      </c>
      <c r="B91" s="4" t="s">
        <v>159</v>
      </c>
      <c r="C91" s="4" t="s">
        <v>160</v>
      </c>
      <c r="D91" s="4" t="s">
        <v>433</v>
      </c>
      <c r="E91" s="11" t="s">
        <v>434</v>
      </c>
      <c r="F91" s="9">
        <f>IFERROR(VLOOKUP($B91,'SCHEDA STRUTTURA'!$A$13:$E$413,5,FALSE),"")</f>
        <v>34.830000000000005</v>
      </c>
      <c r="G91" s="5"/>
      <c r="H91" s="4" t="s">
        <v>443</v>
      </c>
      <c r="I91" s="11">
        <v>1</v>
      </c>
    </row>
    <row r="92" spans="1:9" x14ac:dyDescent="0.3">
      <c r="A92" s="11">
        <v>88</v>
      </c>
      <c r="B92" s="4" t="s">
        <v>181</v>
      </c>
      <c r="C92" s="4" t="s">
        <v>182</v>
      </c>
      <c r="D92" s="4" t="s">
        <v>433</v>
      </c>
      <c r="E92" s="11" t="s">
        <v>434</v>
      </c>
      <c r="F92" s="9">
        <f>IFERROR(VLOOKUP($B92,'SCHEDA STRUTTURA'!$A$13:$E$413,5,FALSE),"")</f>
        <v>29.430000000000003</v>
      </c>
      <c r="G92" s="5"/>
      <c r="H92" s="4" t="s">
        <v>443</v>
      </c>
      <c r="I92" s="11">
        <v>1</v>
      </c>
    </row>
    <row r="93" spans="1:9" x14ac:dyDescent="0.3">
      <c r="A93" s="11">
        <v>89</v>
      </c>
      <c r="B93" s="4" t="s">
        <v>161</v>
      </c>
      <c r="C93" s="4" t="s">
        <v>162</v>
      </c>
      <c r="D93" s="4" t="s">
        <v>433</v>
      </c>
      <c r="E93" s="11" t="s">
        <v>434</v>
      </c>
      <c r="F93" s="9">
        <f>IFERROR(VLOOKUP($B93,'SCHEDA STRUTTURA'!$A$13:$E$413,5,FALSE),"")</f>
        <v>36.119999999999997</v>
      </c>
      <c r="G93" s="5"/>
      <c r="H93" s="4" t="s">
        <v>443</v>
      </c>
      <c r="I93" s="11">
        <v>1</v>
      </c>
    </row>
    <row r="94" spans="1:9" x14ac:dyDescent="0.3">
      <c r="A94" s="11">
        <v>90</v>
      </c>
      <c r="B94" s="4" t="s">
        <v>183</v>
      </c>
      <c r="C94" s="4" t="s">
        <v>184</v>
      </c>
      <c r="D94" s="4" t="s">
        <v>433</v>
      </c>
      <c r="E94" s="11" t="s">
        <v>434</v>
      </c>
      <c r="F94" s="9">
        <f>IFERROR(VLOOKUP($B94,'SCHEDA STRUTTURA'!$A$13:$E$413,5,FALSE),"")</f>
        <v>30.52</v>
      </c>
      <c r="G94" s="5"/>
      <c r="H94" s="4" t="s">
        <v>443</v>
      </c>
      <c r="I94" s="11">
        <v>1</v>
      </c>
    </row>
    <row r="95" spans="1:9" x14ac:dyDescent="0.3">
      <c r="A95" s="11">
        <v>91</v>
      </c>
      <c r="B95" s="4" t="s">
        <v>163</v>
      </c>
      <c r="C95" s="4" t="s">
        <v>164</v>
      </c>
      <c r="D95" s="4" t="s">
        <v>433</v>
      </c>
      <c r="E95" s="11" t="s">
        <v>434</v>
      </c>
      <c r="F95" s="9">
        <f>IFERROR(VLOOKUP($B95,'SCHEDA STRUTTURA'!$A$13:$E$413,5,FALSE),"")</f>
        <v>37.409999999999997</v>
      </c>
      <c r="G95" s="5"/>
      <c r="H95" s="4" t="s">
        <v>443</v>
      </c>
      <c r="I95" s="11">
        <v>1</v>
      </c>
    </row>
    <row r="96" spans="1:9" x14ac:dyDescent="0.3">
      <c r="A96" s="11">
        <v>92</v>
      </c>
      <c r="B96" s="4" t="s">
        <v>185</v>
      </c>
      <c r="C96" s="4" t="s">
        <v>186</v>
      </c>
      <c r="D96" s="4" t="s">
        <v>433</v>
      </c>
      <c r="E96" s="11" t="s">
        <v>434</v>
      </c>
      <c r="F96" s="9">
        <f>IFERROR(VLOOKUP($B96,'SCHEDA STRUTTURA'!$A$13:$E$413,5,FALSE),"")</f>
        <v>31.61</v>
      </c>
      <c r="G96" s="5"/>
      <c r="H96" s="4" t="s">
        <v>443</v>
      </c>
      <c r="I96" s="11">
        <v>1</v>
      </c>
    </row>
    <row r="97" spans="1:9" x14ac:dyDescent="0.3">
      <c r="A97" s="11">
        <v>93</v>
      </c>
      <c r="B97" s="4" t="s">
        <v>167</v>
      </c>
      <c r="C97" s="4" t="s">
        <v>168</v>
      </c>
      <c r="D97" s="4" t="s">
        <v>433</v>
      </c>
      <c r="E97" s="11" t="s">
        <v>434</v>
      </c>
      <c r="F97" s="9">
        <f>IFERROR(VLOOKUP($B97,'SCHEDA STRUTTURA'!$A$13:$E$413,5,FALSE),"")</f>
        <v>39.99</v>
      </c>
      <c r="G97" s="5"/>
      <c r="H97" s="4" t="s">
        <v>443</v>
      </c>
      <c r="I97" s="11">
        <v>1</v>
      </c>
    </row>
    <row r="98" spans="1:9" x14ac:dyDescent="0.3">
      <c r="A98" s="11">
        <v>94</v>
      </c>
      <c r="B98" s="4" t="s">
        <v>189</v>
      </c>
      <c r="C98" s="4" t="s">
        <v>190</v>
      </c>
      <c r="D98" s="4" t="s">
        <v>433</v>
      </c>
      <c r="E98" s="11" t="s">
        <v>434</v>
      </c>
      <c r="F98" s="9">
        <f>IFERROR(VLOOKUP($B98,'SCHEDA STRUTTURA'!$A$13:$E$413,5,FALSE),"")</f>
        <v>33.79</v>
      </c>
      <c r="G98" s="5"/>
      <c r="H98" s="4" t="s">
        <v>443</v>
      </c>
      <c r="I98" s="11">
        <v>1</v>
      </c>
    </row>
    <row r="99" spans="1:9" x14ac:dyDescent="0.3">
      <c r="A99" s="11">
        <v>95</v>
      </c>
      <c r="B99" s="4" t="s">
        <v>169</v>
      </c>
      <c r="C99" s="4" t="s">
        <v>170</v>
      </c>
      <c r="D99" s="4" t="s">
        <v>433</v>
      </c>
      <c r="E99" s="11" t="s">
        <v>434</v>
      </c>
      <c r="F99" s="9">
        <f>IFERROR(VLOOKUP($B99,'SCHEDA STRUTTURA'!$A$13:$E$413,5,FALSE),"")</f>
        <v>41.28</v>
      </c>
      <c r="G99" s="5"/>
      <c r="H99" s="4" t="s">
        <v>443</v>
      </c>
      <c r="I99" s="11">
        <v>1</v>
      </c>
    </row>
    <row r="100" spans="1:9" x14ac:dyDescent="0.3">
      <c r="A100" s="11">
        <v>96</v>
      </c>
      <c r="B100" s="4" t="s">
        <v>191</v>
      </c>
      <c r="C100" s="4" t="s">
        <v>192</v>
      </c>
      <c r="D100" s="4" t="s">
        <v>433</v>
      </c>
      <c r="E100" s="11" t="s">
        <v>434</v>
      </c>
      <c r="F100" s="9">
        <f>IFERROR(VLOOKUP($B100,'SCHEDA STRUTTURA'!$A$13:$E$413,5,FALSE),"")</f>
        <v>34.880000000000003</v>
      </c>
      <c r="G100" s="5"/>
      <c r="H100" s="4" t="s">
        <v>443</v>
      </c>
      <c r="I100" s="11">
        <v>1</v>
      </c>
    </row>
    <row r="101" spans="1:9" x14ac:dyDescent="0.3">
      <c r="A101" s="11">
        <v>97</v>
      </c>
      <c r="B101" s="4" t="s">
        <v>171</v>
      </c>
      <c r="C101" s="4" t="s">
        <v>172</v>
      </c>
      <c r="D101" s="4" t="s">
        <v>433</v>
      </c>
      <c r="E101" s="11" t="s">
        <v>434</v>
      </c>
      <c r="F101" s="9">
        <f>IFERROR(VLOOKUP($B101,'SCHEDA STRUTTURA'!$A$13:$E$413,5,FALSE),"")</f>
        <v>42.57</v>
      </c>
      <c r="G101" s="5"/>
      <c r="H101" s="4" t="s">
        <v>443</v>
      </c>
      <c r="I101" s="11">
        <v>1</v>
      </c>
    </row>
    <row r="102" spans="1:9" x14ac:dyDescent="0.3">
      <c r="A102" s="11">
        <v>98</v>
      </c>
      <c r="B102" s="4" t="s">
        <v>193</v>
      </c>
      <c r="C102" s="4" t="s">
        <v>194</v>
      </c>
      <c r="D102" s="4" t="s">
        <v>433</v>
      </c>
      <c r="E102" s="11" t="s">
        <v>434</v>
      </c>
      <c r="F102" s="9">
        <f>IFERROR(VLOOKUP($B102,'SCHEDA STRUTTURA'!$A$13:$E$413,5,FALSE),"")</f>
        <v>35.97</v>
      </c>
      <c r="G102" s="5"/>
      <c r="H102" s="4" t="s">
        <v>443</v>
      </c>
      <c r="I102" s="11">
        <v>1</v>
      </c>
    </row>
    <row r="103" spans="1:9" x14ac:dyDescent="0.3">
      <c r="A103" s="11">
        <v>99</v>
      </c>
      <c r="B103" s="4" t="s">
        <v>173</v>
      </c>
      <c r="C103" s="4" t="s">
        <v>174</v>
      </c>
      <c r="D103" s="4" t="s">
        <v>433</v>
      </c>
      <c r="E103" s="11" t="s">
        <v>434</v>
      </c>
      <c r="F103" s="9">
        <f>IFERROR(VLOOKUP($B103,'SCHEDA STRUTTURA'!$A$13:$E$413,5,FALSE),"")</f>
        <v>43.86</v>
      </c>
      <c r="G103" s="5"/>
      <c r="H103" s="4" t="s">
        <v>443</v>
      </c>
      <c r="I103" s="11">
        <v>1</v>
      </c>
    </row>
    <row r="104" spans="1:9" x14ac:dyDescent="0.3">
      <c r="A104" s="11">
        <v>100</v>
      </c>
      <c r="B104" s="4" t="s">
        <v>195</v>
      </c>
      <c r="C104" s="4" t="s">
        <v>196</v>
      </c>
      <c r="D104" s="4" t="s">
        <v>433</v>
      </c>
      <c r="E104" s="11" t="s">
        <v>434</v>
      </c>
      <c r="F104" s="9">
        <f>IFERROR(VLOOKUP($B104,'SCHEDA STRUTTURA'!$A$13:$E$413,5,FALSE),"")</f>
        <v>37.06</v>
      </c>
      <c r="G104" s="5"/>
      <c r="H104" s="4" t="s">
        <v>443</v>
      </c>
      <c r="I104" s="11">
        <v>1</v>
      </c>
    </row>
    <row r="105" spans="1:9" x14ac:dyDescent="0.3">
      <c r="A105" s="11">
        <v>101</v>
      </c>
      <c r="B105" s="4" t="s">
        <v>175</v>
      </c>
      <c r="C105" s="4" t="s">
        <v>176</v>
      </c>
      <c r="D105" s="4" t="s">
        <v>433</v>
      </c>
      <c r="E105" s="11" t="s">
        <v>434</v>
      </c>
      <c r="F105" s="9">
        <f>IFERROR(VLOOKUP($B105,'SCHEDA STRUTTURA'!$A$13:$E$413,5,FALSE),"")</f>
        <v>45.15</v>
      </c>
      <c r="G105" s="5"/>
      <c r="H105" s="4" t="s">
        <v>443</v>
      </c>
      <c r="I105" s="11">
        <v>1</v>
      </c>
    </row>
    <row r="106" spans="1:9" x14ac:dyDescent="0.3">
      <c r="A106" s="11">
        <v>102</v>
      </c>
      <c r="B106" s="4" t="s">
        <v>197</v>
      </c>
      <c r="C106" s="4" t="s">
        <v>198</v>
      </c>
      <c r="D106" s="4" t="s">
        <v>433</v>
      </c>
      <c r="E106" s="11" t="s">
        <v>434</v>
      </c>
      <c r="F106" s="9">
        <f>IFERROR(VLOOKUP($B106,'SCHEDA STRUTTURA'!$A$13:$E$413,5,FALSE),"")</f>
        <v>38.15</v>
      </c>
      <c r="G106" s="5"/>
      <c r="H106" s="4" t="s">
        <v>443</v>
      </c>
      <c r="I106" s="11">
        <v>1</v>
      </c>
    </row>
    <row r="107" spans="1:9" x14ac:dyDescent="0.3">
      <c r="A107" s="11">
        <v>103</v>
      </c>
      <c r="B107" s="4" t="s">
        <v>177</v>
      </c>
      <c r="C107" s="4" t="s">
        <v>178</v>
      </c>
      <c r="D107" s="4" t="s">
        <v>433</v>
      </c>
      <c r="E107" s="11" t="s">
        <v>434</v>
      </c>
      <c r="F107" s="9">
        <f>IFERROR(VLOOKUP($B107,'SCHEDA STRUTTURA'!$A$13:$E$413,5,FALSE),"")</f>
        <v>46.440000000000005</v>
      </c>
      <c r="G107" s="5"/>
      <c r="H107" s="4" t="s">
        <v>443</v>
      </c>
      <c r="I107" s="11">
        <v>1</v>
      </c>
    </row>
    <row r="108" spans="1:9" x14ac:dyDescent="0.3">
      <c r="A108" s="11">
        <v>104</v>
      </c>
      <c r="B108" s="4" t="s">
        <v>199</v>
      </c>
      <c r="C108" s="4" t="s">
        <v>200</v>
      </c>
      <c r="D108" s="4" t="s">
        <v>433</v>
      </c>
      <c r="E108" s="11" t="s">
        <v>434</v>
      </c>
      <c r="F108" s="9">
        <f>IFERROR(VLOOKUP($B108,'SCHEDA STRUTTURA'!$A$13:$E$413,5,FALSE),"")</f>
        <v>39.24</v>
      </c>
      <c r="G108" s="5"/>
      <c r="H108" s="4" t="s">
        <v>443</v>
      </c>
      <c r="I108" s="11">
        <v>1</v>
      </c>
    </row>
    <row r="109" spans="1:9" x14ac:dyDescent="0.3">
      <c r="A109" s="11">
        <v>105</v>
      </c>
      <c r="B109" s="4" t="s">
        <v>10</v>
      </c>
      <c r="C109" s="4" t="s">
        <v>11</v>
      </c>
      <c r="D109" s="4" t="s">
        <v>433</v>
      </c>
      <c r="E109" s="11" t="s">
        <v>434</v>
      </c>
      <c r="F109" s="9">
        <f>IFERROR(VLOOKUP($B109,'SCHEDA PEZZI SPECIALI'!$A$38:$F$400,4,FALSE),"")</f>
        <v>0.624</v>
      </c>
      <c r="G109" s="5"/>
      <c r="H109" s="4" t="s">
        <v>442</v>
      </c>
      <c r="I109" s="11">
        <v>2</v>
      </c>
    </row>
    <row r="110" spans="1:9" x14ac:dyDescent="0.3">
      <c r="A110" s="11">
        <v>106</v>
      </c>
      <c r="B110" s="4" t="s">
        <v>12</v>
      </c>
      <c r="C110" s="4" t="s">
        <v>13</v>
      </c>
      <c r="D110" s="4" t="s">
        <v>433</v>
      </c>
      <c r="E110" s="11" t="s">
        <v>434</v>
      </c>
      <c r="F110" s="9">
        <f>IFERROR(VLOOKUP($B110,'SCHEDA PEZZI SPECIALI'!$A$38:$F$400,4,FALSE),"")</f>
        <v>0.78620000000000001</v>
      </c>
      <c r="G110" s="5"/>
      <c r="H110" s="4" t="s">
        <v>442</v>
      </c>
      <c r="I110" s="11">
        <v>2</v>
      </c>
    </row>
    <row r="111" spans="1:9" x14ac:dyDescent="0.3">
      <c r="A111" s="11">
        <v>107</v>
      </c>
      <c r="B111" s="4" t="s">
        <v>14</v>
      </c>
      <c r="C111" s="4" t="s">
        <v>15</v>
      </c>
      <c r="D111" s="4" t="s">
        <v>433</v>
      </c>
      <c r="E111" s="11" t="s">
        <v>434</v>
      </c>
      <c r="F111" s="9">
        <f>IFERROR(VLOOKUP($B111,'SCHEDA PEZZI SPECIALI'!$A$38:$F$400,4,FALSE),"")</f>
        <v>0.28079999999999999</v>
      </c>
      <c r="G111" s="5"/>
      <c r="H111" s="4" t="s">
        <v>442</v>
      </c>
      <c r="I111" s="11">
        <v>2</v>
      </c>
    </row>
    <row r="112" spans="1:9" x14ac:dyDescent="0.3">
      <c r="A112" s="11">
        <v>108</v>
      </c>
      <c r="B112" s="4" t="s">
        <v>201</v>
      </c>
      <c r="C112" s="4" t="s">
        <v>202</v>
      </c>
      <c r="D112" s="4" t="s">
        <v>433</v>
      </c>
      <c r="E112" s="11" t="s">
        <v>434</v>
      </c>
      <c r="F112" s="9">
        <f>IFERROR(VLOOKUP($B112,'SCHEDA STRUTTURA'!$A$13:$E$413,5,FALSE),"")</f>
        <v>28.638000000000002</v>
      </c>
      <c r="G112" s="5"/>
      <c r="H112" s="4" t="s">
        <v>444</v>
      </c>
      <c r="I112" s="11">
        <v>2</v>
      </c>
    </row>
    <row r="113" spans="1:9" x14ac:dyDescent="0.3">
      <c r="A113" s="11">
        <v>109</v>
      </c>
      <c r="B113" s="4" t="s">
        <v>241</v>
      </c>
      <c r="C113" s="4" t="s">
        <v>242</v>
      </c>
      <c r="D113" s="4" t="s">
        <v>433</v>
      </c>
      <c r="E113" s="11" t="s">
        <v>434</v>
      </c>
      <c r="F113" s="9">
        <f>IFERROR(VLOOKUP($B113,'SCHEDA STRUTTURA'!$A$13:$E$413,5,FALSE),"")</f>
        <v>24.198000000000004</v>
      </c>
      <c r="G113" s="5"/>
      <c r="H113" s="4" t="s">
        <v>443</v>
      </c>
      <c r="I113" s="11">
        <v>1</v>
      </c>
    </row>
    <row r="114" spans="1:9" x14ac:dyDescent="0.3">
      <c r="A114" s="11">
        <v>110</v>
      </c>
      <c r="B114" s="4" t="s">
        <v>205</v>
      </c>
      <c r="C114" s="4" t="s">
        <v>206</v>
      </c>
      <c r="D114" s="4" t="s">
        <v>433</v>
      </c>
      <c r="E114" s="11" t="s">
        <v>434</v>
      </c>
      <c r="F114" s="9">
        <f>IFERROR(VLOOKUP($B114,'SCHEDA STRUTTURA'!$A$13:$E$413,5,FALSE),"")</f>
        <v>35.088000000000001</v>
      </c>
      <c r="G114" s="5"/>
      <c r="H114" s="4" t="s">
        <v>443</v>
      </c>
      <c r="I114" s="11">
        <v>1</v>
      </c>
    </row>
    <row r="115" spans="1:9" x14ac:dyDescent="0.3">
      <c r="A115" s="11">
        <v>111</v>
      </c>
      <c r="B115" s="4" t="s">
        <v>245</v>
      </c>
      <c r="C115" s="4" t="s">
        <v>246</v>
      </c>
      <c r="D115" s="4" t="s">
        <v>433</v>
      </c>
      <c r="E115" s="11" t="s">
        <v>434</v>
      </c>
      <c r="F115" s="9">
        <f>IFERROR(VLOOKUP($B115,'SCHEDA STRUTTURA'!$A$13:$E$413,5,FALSE),"")</f>
        <v>29.648000000000003</v>
      </c>
      <c r="G115" s="5"/>
      <c r="H115" s="4" t="s">
        <v>443</v>
      </c>
      <c r="I115" s="11">
        <v>1</v>
      </c>
    </row>
    <row r="116" spans="1:9" x14ac:dyDescent="0.3">
      <c r="A116" s="11">
        <v>112</v>
      </c>
      <c r="B116" s="4" t="s">
        <v>207</v>
      </c>
      <c r="C116" s="4" t="s">
        <v>208</v>
      </c>
      <c r="D116" s="4" t="s">
        <v>433</v>
      </c>
      <c r="E116" s="11" t="s">
        <v>434</v>
      </c>
      <c r="F116" s="9">
        <f>IFERROR(VLOOKUP($B116,'SCHEDA STRUTTURA'!$A$13:$E$413,5,FALSE),"")</f>
        <v>36.378</v>
      </c>
      <c r="G116" s="5"/>
      <c r="H116" s="4" t="s">
        <v>443</v>
      </c>
      <c r="I116" s="11">
        <v>1</v>
      </c>
    </row>
    <row r="117" spans="1:9" x14ac:dyDescent="0.3">
      <c r="A117" s="11">
        <v>113</v>
      </c>
      <c r="B117" s="4" t="s">
        <v>247</v>
      </c>
      <c r="C117" s="4" t="s">
        <v>248</v>
      </c>
      <c r="D117" s="4" t="s">
        <v>433</v>
      </c>
      <c r="E117" s="11" t="s">
        <v>434</v>
      </c>
      <c r="F117" s="9">
        <f>IFERROR(VLOOKUP($B117,'SCHEDA STRUTTURA'!$A$13:$E$413,5,FALSE),"")</f>
        <v>30.738</v>
      </c>
      <c r="G117" s="5"/>
      <c r="H117" s="4" t="s">
        <v>443</v>
      </c>
      <c r="I117" s="11">
        <v>1</v>
      </c>
    </row>
    <row r="118" spans="1:9" x14ac:dyDescent="0.3">
      <c r="A118" s="11">
        <v>114</v>
      </c>
      <c r="B118" s="4" t="s">
        <v>209</v>
      </c>
      <c r="C118" s="4" t="s">
        <v>210</v>
      </c>
      <c r="D118" s="4" t="s">
        <v>433</v>
      </c>
      <c r="E118" s="11" t="s">
        <v>434</v>
      </c>
      <c r="F118" s="9">
        <f>IFERROR(VLOOKUP($B118,'SCHEDA STRUTTURA'!$A$13:$E$413,5,FALSE),"")</f>
        <v>37.667999999999999</v>
      </c>
      <c r="G118" s="5"/>
      <c r="H118" s="4" t="s">
        <v>443</v>
      </c>
      <c r="I118" s="11">
        <v>1</v>
      </c>
    </row>
    <row r="119" spans="1:9" x14ac:dyDescent="0.3">
      <c r="A119" s="11">
        <v>115</v>
      </c>
      <c r="B119" s="4" t="s">
        <v>249</v>
      </c>
      <c r="C119" s="4" t="s">
        <v>250</v>
      </c>
      <c r="D119" s="4" t="s">
        <v>433</v>
      </c>
      <c r="E119" s="11" t="s">
        <v>434</v>
      </c>
      <c r="F119" s="9">
        <f>IFERROR(VLOOKUP($B119,'SCHEDA STRUTTURA'!$A$13:$E$413,5,FALSE),"")</f>
        <v>31.827999999999999</v>
      </c>
      <c r="G119" s="5"/>
      <c r="H119" s="4" t="s">
        <v>443</v>
      </c>
      <c r="I119" s="11">
        <v>1</v>
      </c>
    </row>
    <row r="120" spans="1:9" x14ac:dyDescent="0.3">
      <c r="A120" s="11">
        <v>116</v>
      </c>
      <c r="B120" s="4" t="s">
        <v>211</v>
      </c>
      <c r="C120" s="4" t="s">
        <v>212</v>
      </c>
      <c r="D120" s="4" t="s">
        <v>433</v>
      </c>
      <c r="E120" s="11" t="s">
        <v>434</v>
      </c>
      <c r="F120" s="9">
        <f>IFERROR(VLOOKUP($B120,'SCHEDA STRUTTURA'!$A$13:$E$413,5,FALSE),"")</f>
        <v>38.957999999999998</v>
      </c>
      <c r="G120" s="5"/>
      <c r="H120" s="4" t="s">
        <v>443</v>
      </c>
      <c r="I120" s="11">
        <v>1</v>
      </c>
    </row>
    <row r="121" spans="1:9" x14ac:dyDescent="0.3">
      <c r="A121" s="11">
        <v>117</v>
      </c>
      <c r="B121" s="4" t="s">
        <v>251</v>
      </c>
      <c r="C121" s="4" t="s">
        <v>252</v>
      </c>
      <c r="D121" s="4" t="s">
        <v>433</v>
      </c>
      <c r="E121" s="11" t="s">
        <v>434</v>
      </c>
      <c r="F121" s="9">
        <f>IFERROR(VLOOKUP($B121,'SCHEDA STRUTTURA'!$A$13:$E$413,5,FALSE),"")</f>
        <v>32.917999999999999</v>
      </c>
      <c r="G121" s="5"/>
      <c r="H121" s="4" t="s">
        <v>443</v>
      </c>
      <c r="I121" s="11">
        <v>1</v>
      </c>
    </row>
    <row r="122" spans="1:9" x14ac:dyDescent="0.3">
      <c r="A122" s="11">
        <v>118</v>
      </c>
      <c r="B122" s="4" t="s">
        <v>213</v>
      </c>
      <c r="C122" s="4" t="s">
        <v>214</v>
      </c>
      <c r="D122" s="4" t="s">
        <v>433</v>
      </c>
      <c r="E122" s="11" t="s">
        <v>434</v>
      </c>
      <c r="F122" s="9">
        <f>IFERROR(VLOOKUP($B122,'SCHEDA STRUTTURA'!$A$13:$E$413,5,FALSE),"")</f>
        <v>40.248000000000005</v>
      </c>
      <c r="G122" s="5"/>
      <c r="H122" s="4" t="s">
        <v>443</v>
      </c>
      <c r="I122" s="11">
        <v>1</v>
      </c>
    </row>
    <row r="123" spans="1:9" x14ac:dyDescent="0.3">
      <c r="A123" s="11">
        <v>119</v>
      </c>
      <c r="B123" s="4" t="s">
        <v>253</v>
      </c>
      <c r="C123" s="4" t="s">
        <v>254</v>
      </c>
      <c r="D123" s="4" t="s">
        <v>433</v>
      </c>
      <c r="E123" s="11" t="s">
        <v>434</v>
      </c>
      <c r="F123" s="9">
        <f>IFERROR(VLOOKUP($B123,'SCHEDA STRUTTURA'!$A$13:$E$413,5,FALSE),"")</f>
        <v>34.008000000000003</v>
      </c>
      <c r="G123" s="5"/>
      <c r="H123" s="4" t="s">
        <v>443</v>
      </c>
      <c r="I123" s="11">
        <v>1</v>
      </c>
    </row>
    <row r="124" spans="1:9" x14ac:dyDescent="0.3">
      <c r="A124" s="11">
        <v>120</v>
      </c>
      <c r="B124" s="4" t="s">
        <v>215</v>
      </c>
      <c r="C124" s="4" t="s">
        <v>216</v>
      </c>
      <c r="D124" s="4" t="s">
        <v>433</v>
      </c>
      <c r="E124" s="11" t="s">
        <v>434</v>
      </c>
      <c r="F124" s="9">
        <f>IFERROR(VLOOKUP($B124,'SCHEDA STRUTTURA'!$A$13:$E$413,5,FALSE),"")</f>
        <v>41.538000000000004</v>
      </c>
      <c r="G124" s="5"/>
      <c r="H124" s="4" t="s">
        <v>443</v>
      </c>
      <c r="I124" s="11">
        <v>1</v>
      </c>
    </row>
    <row r="125" spans="1:9" x14ac:dyDescent="0.3">
      <c r="A125" s="11">
        <v>121</v>
      </c>
      <c r="B125" s="4" t="s">
        <v>255</v>
      </c>
      <c r="C125" s="4" t="s">
        <v>256</v>
      </c>
      <c r="D125" s="4" t="s">
        <v>433</v>
      </c>
      <c r="E125" s="11" t="s">
        <v>434</v>
      </c>
      <c r="F125" s="9">
        <f>IFERROR(VLOOKUP($B125,'SCHEDA STRUTTURA'!$A$13:$E$413,5,FALSE),"")</f>
        <v>35.098000000000006</v>
      </c>
      <c r="G125" s="5"/>
      <c r="H125" s="4" t="s">
        <v>443</v>
      </c>
      <c r="I125" s="11">
        <v>1</v>
      </c>
    </row>
    <row r="126" spans="1:9" x14ac:dyDescent="0.3">
      <c r="A126" s="11">
        <v>122</v>
      </c>
      <c r="B126" s="4" t="s">
        <v>217</v>
      </c>
      <c r="C126" s="4" t="s">
        <v>218</v>
      </c>
      <c r="D126" s="4" t="s">
        <v>433</v>
      </c>
      <c r="E126" s="11" t="s">
        <v>434</v>
      </c>
      <c r="F126" s="9">
        <f>IFERROR(VLOOKUP($B126,'SCHEDA STRUTTURA'!$A$13:$E$413,5,FALSE),"")</f>
        <v>42.827999999999996</v>
      </c>
      <c r="G126" s="5"/>
      <c r="H126" s="4" t="s">
        <v>443</v>
      </c>
      <c r="I126" s="11">
        <v>1</v>
      </c>
    </row>
    <row r="127" spans="1:9" x14ac:dyDescent="0.3">
      <c r="A127" s="11">
        <v>123</v>
      </c>
      <c r="B127" s="4" t="s">
        <v>257</v>
      </c>
      <c r="C127" s="4" t="s">
        <v>258</v>
      </c>
      <c r="D127" s="4" t="s">
        <v>433</v>
      </c>
      <c r="E127" s="11" t="s">
        <v>434</v>
      </c>
      <c r="F127" s="9">
        <f>IFERROR(VLOOKUP($B127,'SCHEDA STRUTTURA'!$A$13:$E$413,5,FALSE),"")</f>
        <v>36.188000000000002</v>
      </c>
      <c r="G127" s="5"/>
      <c r="H127" s="4" t="s">
        <v>443</v>
      </c>
      <c r="I127" s="11">
        <v>1</v>
      </c>
    </row>
    <row r="128" spans="1:9" x14ac:dyDescent="0.3">
      <c r="A128" s="11">
        <v>124</v>
      </c>
      <c r="B128" s="4" t="s">
        <v>219</v>
      </c>
      <c r="C128" s="4" t="s">
        <v>220</v>
      </c>
      <c r="D128" s="4" t="s">
        <v>433</v>
      </c>
      <c r="E128" s="11" t="s">
        <v>434</v>
      </c>
      <c r="F128" s="9">
        <f>IFERROR(VLOOKUP($B128,'SCHEDA STRUTTURA'!$A$13:$E$413,5,FALSE),"")</f>
        <v>44.118000000000002</v>
      </c>
      <c r="G128" s="5"/>
      <c r="H128" s="4" t="s">
        <v>443</v>
      </c>
      <c r="I128" s="11">
        <v>1</v>
      </c>
    </row>
    <row r="129" spans="1:9" x14ac:dyDescent="0.3">
      <c r="A129" s="11">
        <v>125</v>
      </c>
      <c r="B129" s="4" t="s">
        <v>259</v>
      </c>
      <c r="C129" s="4" t="s">
        <v>260</v>
      </c>
      <c r="D129" s="4" t="s">
        <v>433</v>
      </c>
      <c r="E129" s="11" t="s">
        <v>434</v>
      </c>
      <c r="F129" s="9">
        <f>IFERROR(VLOOKUP($B129,'SCHEDA STRUTTURA'!$A$13:$E$413,5,FALSE),"")</f>
        <v>37.277999999999999</v>
      </c>
      <c r="G129" s="5"/>
      <c r="H129" s="4" t="s">
        <v>443</v>
      </c>
      <c r="I129" s="11">
        <v>1</v>
      </c>
    </row>
    <row r="130" spans="1:9" x14ac:dyDescent="0.3">
      <c r="A130" s="11">
        <v>126</v>
      </c>
      <c r="B130" s="4" t="s">
        <v>221</v>
      </c>
      <c r="C130" s="4" t="s">
        <v>222</v>
      </c>
      <c r="D130" s="4" t="s">
        <v>433</v>
      </c>
      <c r="E130" s="11" t="s">
        <v>434</v>
      </c>
      <c r="F130" s="9">
        <f>IFERROR(VLOOKUP($B130,'SCHEDA STRUTTURA'!$A$13:$E$413,5,FALSE),"")</f>
        <v>45.408000000000001</v>
      </c>
      <c r="G130" s="5"/>
      <c r="H130" s="4" t="s">
        <v>443</v>
      </c>
      <c r="I130" s="11">
        <v>1</v>
      </c>
    </row>
    <row r="131" spans="1:9" x14ac:dyDescent="0.3">
      <c r="A131" s="11">
        <v>127</v>
      </c>
      <c r="B131" s="4" t="s">
        <v>261</v>
      </c>
      <c r="C131" s="4" t="s">
        <v>262</v>
      </c>
      <c r="D131" s="4" t="s">
        <v>433</v>
      </c>
      <c r="E131" s="11" t="s">
        <v>434</v>
      </c>
      <c r="F131" s="9">
        <f>IFERROR(VLOOKUP($B131,'SCHEDA STRUTTURA'!$A$13:$E$413,5,FALSE),"")</f>
        <v>38.368000000000002</v>
      </c>
      <c r="G131" s="5"/>
      <c r="H131" s="4" t="s">
        <v>443</v>
      </c>
      <c r="I131" s="11">
        <v>1</v>
      </c>
    </row>
    <row r="132" spans="1:9" x14ac:dyDescent="0.3">
      <c r="A132" s="11">
        <v>128</v>
      </c>
      <c r="B132" s="4" t="s">
        <v>223</v>
      </c>
      <c r="C132" s="4" t="s">
        <v>224</v>
      </c>
      <c r="D132" s="4" t="s">
        <v>433</v>
      </c>
      <c r="E132" s="11" t="s">
        <v>434</v>
      </c>
      <c r="F132" s="9">
        <f>IFERROR(VLOOKUP($B132,'SCHEDA STRUTTURA'!$A$13:$E$413,5,FALSE),"")</f>
        <v>46.698</v>
      </c>
      <c r="G132" s="5"/>
      <c r="H132" s="4" t="s">
        <v>443</v>
      </c>
      <c r="I132" s="11">
        <v>1</v>
      </c>
    </row>
    <row r="133" spans="1:9" x14ac:dyDescent="0.3">
      <c r="A133" s="11">
        <v>129</v>
      </c>
      <c r="B133" s="4" t="s">
        <v>263</v>
      </c>
      <c r="C133" s="4" t="s">
        <v>264</v>
      </c>
      <c r="D133" s="4" t="s">
        <v>433</v>
      </c>
      <c r="E133" s="11" t="s">
        <v>434</v>
      </c>
      <c r="F133" s="9">
        <f>IFERROR(VLOOKUP($B133,'SCHEDA STRUTTURA'!$A$13:$E$413,5,FALSE),"")</f>
        <v>39.458000000000006</v>
      </c>
      <c r="G133" s="5"/>
      <c r="H133" s="4" t="s">
        <v>443</v>
      </c>
      <c r="I133" s="11">
        <v>1</v>
      </c>
    </row>
    <row r="134" spans="1:9" x14ac:dyDescent="0.3">
      <c r="A134" s="11">
        <v>130</v>
      </c>
      <c r="B134" s="4" t="s">
        <v>225</v>
      </c>
      <c r="C134" s="4" t="s">
        <v>226</v>
      </c>
      <c r="D134" s="4" t="s">
        <v>433</v>
      </c>
      <c r="E134" s="11" t="s">
        <v>434</v>
      </c>
      <c r="F134" s="9">
        <f>IFERROR(VLOOKUP($B134,'SCHEDA STRUTTURA'!$A$13:$E$413,5,FALSE),"")</f>
        <v>47.988000000000007</v>
      </c>
      <c r="G134" s="5"/>
      <c r="H134" s="4" t="s">
        <v>443</v>
      </c>
      <c r="I134" s="11">
        <v>1</v>
      </c>
    </row>
    <row r="135" spans="1:9" x14ac:dyDescent="0.3">
      <c r="A135" s="11">
        <v>131</v>
      </c>
      <c r="B135" s="4" t="s">
        <v>265</v>
      </c>
      <c r="C135" s="4" t="s">
        <v>266</v>
      </c>
      <c r="D135" s="4" t="s">
        <v>433</v>
      </c>
      <c r="E135" s="11" t="s">
        <v>434</v>
      </c>
      <c r="F135" s="9">
        <f>IFERROR(VLOOKUP($B135,'SCHEDA STRUTTURA'!$A$13:$E$413,5,FALSE),"")</f>
        <v>40.548000000000002</v>
      </c>
      <c r="G135" s="5"/>
      <c r="H135" s="4" t="s">
        <v>443</v>
      </c>
      <c r="I135" s="11">
        <v>1</v>
      </c>
    </row>
    <row r="136" spans="1:9" x14ac:dyDescent="0.3">
      <c r="A136" s="11">
        <v>132</v>
      </c>
      <c r="B136" s="4" t="s">
        <v>227</v>
      </c>
      <c r="C136" s="4" t="s">
        <v>228</v>
      </c>
      <c r="D136" s="4" t="s">
        <v>433</v>
      </c>
      <c r="E136" s="11" t="s">
        <v>434</v>
      </c>
      <c r="F136" s="9">
        <f>IFERROR(VLOOKUP($B136,'SCHEDA STRUTTURA'!$A$13:$E$413,5,FALSE),"")</f>
        <v>49.277999999999999</v>
      </c>
      <c r="G136" s="5"/>
      <c r="H136" s="4" t="s">
        <v>443</v>
      </c>
      <c r="I136" s="11">
        <v>1</v>
      </c>
    </row>
    <row r="137" spans="1:9" x14ac:dyDescent="0.3">
      <c r="A137" s="11">
        <v>133</v>
      </c>
      <c r="B137" s="4" t="s">
        <v>267</v>
      </c>
      <c r="C137" s="4" t="s">
        <v>268</v>
      </c>
      <c r="D137" s="4" t="s">
        <v>433</v>
      </c>
      <c r="E137" s="11" t="s">
        <v>434</v>
      </c>
      <c r="F137" s="9">
        <f>IFERROR(VLOOKUP($B137,'SCHEDA STRUTTURA'!$A$13:$E$413,5,FALSE),"")</f>
        <v>41.637999999999998</v>
      </c>
      <c r="G137" s="5"/>
      <c r="H137" s="4" t="s">
        <v>443</v>
      </c>
      <c r="I137" s="11">
        <v>1</v>
      </c>
    </row>
    <row r="138" spans="1:9" x14ac:dyDescent="0.3">
      <c r="A138" s="11">
        <v>134</v>
      </c>
      <c r="B138" s="4" t="s">
        <v>229</v>
      </c>
      <c r="C138" s="4" t="s">
        <v>230</v>
      </c>
      <c r="D138" s="4" t="s">
        <v>433</v>
      </c>
      <c r="E138" s="11" t="s">
        <v>434</v>
      </c>
      <c r="F138" s="9">
        <f>IFERROR(VLOOKUP($B138,'SCHEDA STRUTTURA'!$A$13:$E$413,5,FALSE),"")</f>
        <v>50.567999999999998</v>
      </c>
      <c r="G138" s="5"/>
      <c r="H138" s="4" t="s">
        <v>443</v>
      </c>
      <c r="I138" s="11">
        <v>1</v>
      </c>
    </row>
    <row r="139" spans="1:9" x14ac:dyDescent="0.3">
      <c r="A139" s="11">
        <v>135</v>
      </c>
      <c r="B139" s="4" t="s">
        <v>269</v>
      </c>
      <c r="C139" s="4" t="s">
        <v>270</v>
      </c>
      <c r="D139" s="4" t="s">
        <v>433</v>
      </c>
      <c r="E139" s="11" t="s">
        <v>434</v>
      </c>
      <c r="F139" s="9">
        <f>IFERROR(VLOOKUP($B139,'SCHEDA STRUTTURA'!$A$13:$E$413,5,FALSE),"")</f>
        <v>42.728000000000002</v>
      </c>
      <c r="G139" s="5"/>
      <c r="H139" s="4" t="s">
        <v>443</v>
      </c>
      <c r="I139" s="11">
        <v>1</v>
      </c>
    </row>
    <row r="140" spans="1:9" x14ac:dyDescent="0.3">
      <c r="A140" s="11">
        <v>136</v>
      </c>
      <c r="B140" s="4" t="s">
        <v>231</v>
      </c>
      <c r="C140" s="4" t="s">
        <v>232</v>
      </c>
      <c r="D140" s="4" t="s">
        <v>433</v>
      </c>
      <c r="E140" s="11" t="s">
        <v>434</v>
      </c>
      <c r="F140" s="9">
        <f>IFERROR(VLOOKUP($B140,'SCHEDA STRUTTURA'!$A$13:$E$413,5,FALSE),"")</f>
        <v>51.857999999999997</v>
      </c>
      <c r="G140" s="5"/>
      <c r="H140" s="4" t="s">
        <v>443</v>
      </c>
      <c r="I140" s="11">
        <v>1</v>
      </c>
    </row>
    <row r="141" spans="1:9" x14ac:dyDescent="0.3">
      <c r="A141" s="11">
        <v>137</v>
      </c>
      <c r="B141" s="4" t="s">
        <v>271</v>
      </c>
      <c r="C141" s="4" t="s">
        <v>272</v>
      </c>
      <c r="D141" s="4" t="s">
        <v>433</v>
      </c>
      <c r="E141" s="11" t="s">
        <v>434</v>
      </c>
      <c r="F141" s="9">
        <f>IFERROR(VLOOKUP($B141,'SCHEDA STRUTTURA'!$A$13:$E$413,5,FALSE),"")</f>
        <v>43.817999999999998</v>
      </c>
      <c r="G141" s="5"/>
      <c r="H141" s="4" t="s">
        <v>443</v>
      </c>
      <c r="I141" s="11">
        <v>1</v>
      </c>
    </row>
    <row r="142" spans="1:9" x14ac:dyDescent="0.3">
      <c r="A142" s="11">
        <v>138</v>
      </c>
      <c r="B142" s="4" t="s">
        <v>233</v>
      </c>
      <c r="C142" s="4" t="s">
        <v>234</v>
      </c>
      <c r="D142" s="4" t="s">
        <v>433</v>
      </c>
      <c r="E142" s="11" t="s">
        <v>434</v>
      </c>
      <c r="F142" s="9">
        <f>IFERROR(VLOOKUP($B142,'SCHEDA STRUTTURA'!$A$13:$E$413,5,FALSE),"")</f>
        <v>53.148000000000003</v>
      </c>
      <c r="G142" s="5"/>
      <c r="H142" s="4" t="s">
        <v>443</v>
      </c>
      <c r="I142" s="11">
        <v>1</v>
      </c>
    </row>
    <row r="143" spans="1:9" x14ac:dyDescent="0.3">
      <c r="A143" s="11">
        <v>139</v>
      </c>
      <c r="B143" s="4" t="s">
        <v>273</v>
      </c>
      <c r="C143" s="4" t="s">
        <v>274</v>
      </c>
      <c r="D143" s="4" t="s">
        <v>433</v>
      </c>
      <c r="E143" s="11" t="s">
        <v>434</v>
      </c>
      <c r="F143" s="9">
        <f>IFERROR(VLOOKUP($B143,'SCHEDA STRUTTURA'!$A$13:$E$413,5,FALSE),"")</f>
        <v>44.908000000000001</v>
      </c>
      <c r="G143" s="5"/>
      <c r="H143" s="4" t="s">
        <v>443</v>
      </c>
      <c r="I143" s="11">
        <v>1</v>
      </c>
    </row>
    <row r="144" spans="1:9" x14ac:dyDescent="0.3">
      <c r="A144" s="11">
        <v>140</v>
      </c>
      <c r="B144" s="4" t="s">
        <v>235</v>
      </c>
      <c r="C144" s="4" t="s">
        <v>236</v>
      </c>
      <c r="D144" s="4" t="s">
        <v>433</v>
      </c>
      <c r="E144" s="11" t="s">
        <v>434</v>
      </c>
      <c r="F144" s="9">
        <f>IFERROR(VLOOKUP($B144,'SCHEDA STRUTTURA'!$A$13:$E$413,5,FALSE),"")</f>
        <v>54.437999999999995</v>
      </c>
      <c r="G144" s="5"/>
      <c r="H144" s="4" t="s">
        <v>443</v>
      </c>
      <c r="I144" s="11">
        <v>1</v>
      </c>
    </row>
    <row r="145" spans="1:9" x14ac:dyDescent="0.3">
      <c r="A145" s="11">
        <v>141</v>
      </c>
      <c r="B145" s="4" t="s">
        <v>275</v>
      </c>
      <c r="C145" s="4" t="s">
        <v>276</v>
      </c>
      <c r="D145" s="4" t="s">
        <v>433</v>
      </c>
      <c r="E145" s="11" t="s">
        <v>434</v>
      </c>
      <c r="F145" s="9">
        <f>IFERROR(VLOOKUP($B145,'SCHEDA STRUTTURA'!$A$13:$E$413,5,FALSE),"")</f>
        <v>45.997999999999998</v>
      </c>
      <c r="G145" s="5"/>
      <c r="H145" s="4" t="s">
        <v>443</v>
      </c>
      <c r="I145" s="11">
        <v>1</v>
      </c>
    </row>
    <row r="146" spans="1:9" x14ac:dyDescent="0.3">
      <c r="A146" s="11">
        <v>142</v>
      </c>
      <c r="B146" s="4" t="s">
        <v>237</v>
      </c>
      <c r="C146" s="4" t="s">
        <v>238</v>
      </c>
      <c r="D146" s="4" t="s">
        <v>433</v>
      </c>
      <c r="E146" s="11" t="s">
        <v>434</v>
      </c>
      <c r="F146" s="9">
        <f>IFERROR(VLOOKUP($B146,'SCHEDA STRUTTURA'!$A$13:$E$413,5,FALSE),"")</f>
        <v>55.728000000000009</v>
      </c>
      <c r="G146" s="5"/>
      <c r="H146" s="4" t="s">
        <v>443</v>
      </c>
      <c r="I146" s="11">
        <v>1</v>
      </c>
    </row>
    <row r="147" spans="1:9" x14ac:dyDescent="0.3">
      <c r="A147" s="11">
        <v>143</v>
      </c>
      <c r="B147" s="4" t="s">
        <v>277</v>
      </c>
      <c r="C147" s="4" t="s">
        <v>278</v>
      </c>
      <c r="D147" s="4" t="s">
        <v>433</v>
      </c>
      <c r="E147" s="11" t="s">
        <v>434</v>
      </c>
      <c r="F147" s="9">
        <f>IFERROR(VLOOKUP($B147,'SCHEDA STRUTTURA'!$A$13:$E$413,5,FALSE),"")</f>
        <v>47.088000000000008</v>
      </c>
      <c r="G147" s="5"/>
      <c r="H147" s="4" t="s">
        <v>443</v>
      </c>
      <c r="I147" s="11">
        <v>1</v>
      </c>
    </row>
    <row r="148" spans="1:9" x14ac:dyDescent="0.3">
      <c r="A148" s="11">
        <v>144</v>
      </c>
      <c r="B148" s="4" t="s">
        <v>239</v>
      </c>
      <c r="C148" s="4" t="s">
        <v>240</v>
      </c>
      <c r="D148" s="4" t="s">
        <v>433</v>
      </c>
      <c r="E148" s="11" t="s">
        <v>434</v>
      </c>
      <c r="F148" s="9">
        <f>IFERROR(VLOOKUP($B148,'SCHEDA STRUTTURA'!$A$13:$E$413,5,FALSE),"")</f>
        <v>57.018000000000001</v>
      </c>
      <c r="G148" s="5"/>
      <c r="H148" s="4" t="s">
        <v>443</v>
      </c>
      <c r="I148" s="11">
        <v>1</v>
      </c>
    </row>
    <row r="149" spans="1:9" x14ac:dyDescent="0.3">
      <c r="A149" s="13">
        <v>145</v>
      </c>
      <c r="B149" t="s">
        <v>279</v>
      </c>
      <c r="C149" t="s">
        <v>280</v>
      </c>
      <c r="D149" t="s">
        <v>433</v>
      </c>
      <c r="E149" s="13" t="s">
        <v>434</v>
      </c>
      <c r="F149" s="14">
        <f>IFERROR(VLOOKUP($B149,'SCHEDA STRUTTURA'!$A$13:$E$413,5,FALSE),"")</f>
        <v>48.177999999999997</v>
      </c>
      <c r="G149" s="12"/>
      <c r="H149" t="s">
        <v>443</v>
      </c>
      <c r="I149" s="13">
        <v>1</v>
      </c>
    </row>
    <row r="150" spans="1:9" x14ac:dyDescent="0.3">
      <c r="A150" s="13">
        <v>146</v>
      </c>
      <c r="B150" t="s">
        <v>203</v>
      </c>
      <c r="C150" t="s">
        <v>204</v>
      </c>
      <c r="D150" t="s">
        <v>433</v>
      </c>
      <c r="E150" s="13" t="s">
        <v>434</v>
      </c>
      <c r="F150" s="14">
        <f>IFERROR(VLOOKUP($B150,'SCHEDA STRUTTURA'!$A$13:$E$413,5,FALSE),"")</f>
        <v>28.638000000000002</v>
      </c>
      <c r="G150" s="12"/>
      <c r="H150" t="s">
        <v>445</v>
      </c>
      <c r="I150" s="13">
        <v>1</v>
      </c>
    </row>
    <row r="151" spans="1:9" x14ac:dyDescent="0.3">
      <c r="A151" s="13">
        <v>147</v>
      </c>
      <c r="B151" t="s">
        <v>243</v>
      </c>
      <c r="C151" t="s">
        <v>244</v>
      </c>
      <c r="D151" t="s">
        <v>433</v>
      </c>
      <c r="E151" s="13" t="s">
        <v>434</v>
      </c>
      <c r="F151" s="14">
        <f>IFERROR(VLOOKUP($B151,'SCHEDA STRUTTURA'!$A$13:$E$413,5,FALSE),"")</f>
        <v>24.198000000000004</v>
      </c>
      <c r="G151" s="12"/>
      <c r="H151" t="s">
        <v>445</v>
      </c>
      <c r="I151" s="13">
        <v>1</v>
      </c>
    </row>
    <row r="152" spans="1:9" x14ac:dyDescent="0.3">
      <c r="A152" s="13">
        <v>148</v>
      </c>
      <c r="B152" t="s">
        <v>42</v>
      </c>
      <c r="C152" t="s">
        <v>43</v>
      </c>
      <c r="D152" t="s">
        <v>433</v>
      </c>
      <c r="E152" s="13" t="s">
        <v>434</v>
      </c>
      <c r="F152" s="9">
        <f>IFERROR(VLOOKUP($B152,'SCHEDA PEZZI SPECIALI'!$A$38:$F$400,4,FALSE),"")</f>
        <v>4.5708000000000002</v>
      </c>
      <c r="G152" s="12"/>
      <c r="H152" t="s">
        <v>443</v>
      </c>
      <c r="I152" s="13">
        <v>1</v>
      </c>
    </row>
    <row r="153" spans="1:9" x14ac:dyDescent="0.3">
      <c r="A153" s="13">
        <v>149</v>
      </c>
      <c r="B153" t="s">
        <v>44</v>
      </c>
      <c r="C153" t="s">
        <v>45</v>
      </c>
      <c r="D153" t="s">
        <v>433</v>
      </c>
      <c r="E153" s="13" t="s">
        <v>434</v>
      </c>
      <c r="F153" s="14">
        <f>IFERROR(VLOOKUP($B153,'SCHEDA PEZZI SPECIALI'!$A$38:$F$400,4,FALSE),"")</f>
        <v>2.54</v>
      </c>
      <c r="G153" s="12"/>
      <c r="H153" t="s">
        <v>443</v>
      </c>
      <c r="I153" s="13">
        <v>1</v>
      </c>
    </row>
    <row r="154" spans="1:9" x14ac:dyDescent="0.3">
      <c r="A154" s="13">
        <v>150</v>
      </c>
      <c r="B154" t="s">
        <v>46</v>
      </c>
      <c r="C154" t="s">
        <v>47</v>
      </c>
      <c r="D154" t="s">
        <v>433</v>
      </c>
      <c r="E154" s="13" t="s">
        <v>434</v>
      </c>
      <c r="F154" s="9">
        <f>IFERROR(VLOOKUP($B154,'SCHEDA PEZZI SPECIALI'!$A$38:$F$400,4,FALSE),"")</f>
        <v>0.51949999999999996</v>
      </c>
      <c r="G154" s="12"/>
      <c r="H154" t="s">
        <v>446</v>
      </c>
      <c r="I154" s="13">
        <v>2</v>
      </c>
    </row>
    <row r="155" spans="1:9" x14ac:dyDescent="0.3">
      <c r="A155" s="13">
        <v>151</v>
      </c>
      <c r="B155" t="s">
        <v>48</v>
      </c>
      <c r="C155" t="s">
        <v>49</v>
      </c>
      <c r="D155" t="s">
        <v>433</v>
      </c>
      <c r="E155" s="13" t="s">
        <v>434</v>
      </c>
      <c r="F155" s="9">
        <f>IFERROR(VLOOKUP($B155,'SCHEDA PEZZI SPECIALI'!$A$38:$F$400,4,FALSE),"")</f>
        <v>0.51949999999999996</v>
      </c>
      <c r="G155" s="12"/>
      <c r="H155" t="s">
        <v>446</v>
      </c>
      <c r="I155" s="13">
        <v>3</v>
      </c>
    </row>
    <row r="156" spans="1:9" x14ac:dyDescent="0.3">
      <c r="A156" s="13">
        <v>152</v>
      </c>
      <c r="B156" t="s">
        <v>50</v>
      </c>
      <c r="C156" t="s">
        <v>51</v>
      </c>
      <c r="D156" t="s">
        <v>433</v>
      </c>
      <c r="E156" s="13" t="s">
        <v>434</v>
      </c>
      <c r="F156" s="9">
        <f>IFERROR(VLOOKUP($B156,'SCHEDA PEZZI SPECIALI'!$A$38:$F$400,4,FALSE),"")</f>
        <v>0.45137500000000003</v>
      </c>
      <c r="G156" s="12"/>
      <c r="H156" t="s">
        <v>447</v>
      </c>
      <c r="I156" s="13">
        <v>1</v>
      </c>
    </row>
    <row r="157" spans="1:9" x14ac:dyDescent="0.3">
      <c r="A157" s="13">
        <v>153</v>
      </c>
      <c r="B157" t="s">
        <v>52</v>
      </c>
      <c r="C157" t="s">
        <v>53</v>
      </c>
      <c r="D157" t="s">
        <v>433</v>
      </c>
      <c r="E157" s="13" t="s">
        <v>434</v>
      </c>
      <c r="F157" s="9">
        <f>IFERROR(VLOOKUP($B157,'SCHEDA PEZZI SPECIALI'!$A$38:$F$400,4,FALSE),"")</f>
        <v>0.136355</v>
      </c>
      <c r="G157" s="12"/>
      <c r="H157" t="s">
        <v>447</v>
      </c>
      <c r="I157" s="13">
        <v>1</v>
      </c>
    </row>
    <row r="158" spans="1:9" x14ac:dyDescent="0.3">
      <c r="A158" s="13">
        <v>154</v>
      </c>
      <c r="B158" t="s">
        <v>54</v>
      </c>
      <c r="C158" t="s">
        <v>55</v>
      </c>
      <c r="D158" t="s">
        <v>433</v>
      </c>
      <c r="E158" s="13" t="s">
        <v>434</v>
      </c>
      <c r="F158" s="9" t="str">
        <f>IFERROR(VLOOKUP($B158,'SCHEDA PEZZI SPECIALI'!$A$38:$F$400,4,FALSE),"")</f>
        <v/>
      </c>
      <c r="G158" s="12"/>
      <c r="H158" t="s">
        <v>447</v>
      </c>
      <c r="I158" s="13">
        <v>1</v>
      </c>
    </row>
    <row r="159" spans="1:9" x14ac:dyDescent="0.3">
      <c r="A159" s="13">
        <v>155</v>
      </c>
      <c r="C159" t="s">
        <v>448</v>
      </c>
      <c r="D159" t="s">
        <v>433</v>
      </c>
      <c r="E159" s="13" t="s">
        <v>434</v>
      </c>
      <c r="F159" s="14"/>
      <c r="G159" s="12"/>
      <c r="I159" s="13"/>
    </row>
    <row r="160" spans="1:9" x14ac:dyDescent="0.3">
      <c r="A160" s="13">
        <v>156</v>
      </c>
      <c r="B160" t="s">
        <v>340</v>
      </c>
      <c r="C160" t="s">
        <v>341</v>
      </c>
      <c r="D160" t="s">
        <v>449</v>
      </c>
      <c r="E160" s="13" t="s">
        <v>434</v>
      </c>
      <c r="F160" s="14" t="str">
        <f>IFERROR(VLOOKUP($B160,'SCHEDA BULLONERIA'!$A$40:$D$400,3,FALSE),"")</f>
        <v/>
      </c>
      <c r="G160" s="12" t="str">
        <f>IFERROR(VLOOKUP($B160,'SCHEDA BULLONERIA'!$A$40:$D$400,4,FALSE),"")</f>
        <v/>
      </c>
      <c r="H160" t="s">
        <v>447</v>
      </c>
      <c r="I160" s="13">
        <v>1</v>
      </c>
    </row>
    <row r="161" spans="1:9" x14ac:dyDescent="0.3">
      <c r="A161" s="13">
        <v>157</v>
      </c>
      <c r="B161" t="s">
        <v>342</v>
      </c>
      <c r="C161" t="s">
        <v>343</v>
      </c>
      <c r="D161" t="s">
        <v>449</v>
      </c>
      <c r="E161" s="13" t="s">
        <v>434</v>
      </c>
      <c r="F161" s="14">
        <f>IFERROR(VLOOKUP($B161,'SCHEDA BULLONERIA'!$A$40:$D$400,3,FALSE),"")</f>
        <v>2.4500000000000001E-2</v>
      </c>
      <c r="G161" s="12" t="str">
        <f>IFERROR(VLOOKUP($B161,'SCHEDA BULLONERIA'!$A$40:$D$400,4,FALSE),"")</f>
        <v/>
      </c>
      <c r="H161" t="s">
        <v>439</v>
      </c>
      <c r="I161" s="13">
        <v>1</v>
      </c>
    </row>
    <row r="162" spans="1:9" x14ac:dyDescent="0.3">
      <c r="A162" s="13">
        <v>158</v>
      </c>
      <c r="B162" t="s">
        <v>344</v>
      </c>
      <c r="C162" t="s">
        <v>345</v>
      </c>
      <c r="D162" t="s">
        <v>449</v>
      </c>
      <c r="E162" s="13" t="s">
        <v>434</v>
      </c>
      <c r="F162" s="14">
        <f>IFERROR(VLOOKUP($B162,'SCHEDA BULLONERIA'!$A$40:$D$400,3,FALSE),"")</f>
        <v>3.0499999999999999E-2</v>
      </c>
      <c r="G162" s="12" t="str">
        <f>IFERROR(VLOOKUP($B162,'SCHEDA BULLONERIA'!$A$40:$D$400,4,FALSE),"")</f>
        <v/>
      </c>
      <c r="H162" t="s">
        <v>442</v>
      </c>
      <c r="I162" s="13">
        <v>3</v>
      </c>
    </row>
    <row r="163" spans="1:9" x14ac:dyDescent="0.3">
      <c r="A163" s="13">
        <v>159</v>
      </c>
      <c r="B163" t="s">
        <v>346</v>
      </c>
      <c r="C163" t="s">
        <v>347</v>
      </c>
      <c r="D163" t="s">
        <v>449</v>
      </c>
      <c r="E163" s="13" t="s">
        <v>434</v>
      </c>
      <c r="F163" s="14">
        <f>IFERROR(VLOOKUP($B163,'SCHEDA BULLONERIA'!$A$40:$D$400,3,FALSE),"")</f>
        <v>0.21</v>
      </c>
      <c r="G163" s="12" t="str">
        <f>IFERROR(VLOOKUP($B163,'SCHEDA BULLONERIA'!$A$40:$D$400,4,FALSE),"")</f>
        <v/>
      </c>
      <c r="H163" t="s">
        <v>439</v>
      </c>
      <c r="I163" s="13">
        <v>1</v>
      </c>
    </row>
    <row r="164" spans="1:9" x14ac:dyDescent="0.3">
      <c r="A164" s="13">
        <v>160</v>
      </c>
      <c r="B164" t="s">
        <v>348</v>
      </c>
      <c r="C164" t="s">
        <v>349</v>
      </c>
      <c r="D164" t="s">
        <v>449</v>
      </c>
      <c r="E164" s="13" t="s">
        <v>434</v>
      </c>
      <c r="F164" s="14">
        <f>IFERROR(VLOOKUP($B164,'SCHEDA BULLONERIA'!$A$40:$D$400,3,FALSE),"")</f>
        <v>9.5000000000000001E-2</v>
      </c>
      <c r="G164" s="12" t="str">
        <f>IFERROR(VLOOKUP($B164,'SCHEDA BULLONERIA'!$A$40:$D$400,4,FALSE),"")</f>
        <v/>
      </c>
      <c r="H164" t="s">
        <v>436</v>
      </c>
      <c r="I164" s="13">
        <v>1</v>
      </c>
    </row>
    <row r="165" spans="1:9" x14ac:dyDescent="0.3">
      <c r="A165" s="13">
        <v>161</v>
      </c>
      <c r="B165" t="s">
        <v>350</v>
      </c>
      <c r="C165" t="s">
        <v>351</v>
      </c>
      <c r="D165" t="s">
        <v>449</v>
      </c>
      <c r="E165" s="13" t="s">
        <v>434</v>
      </c>
      <c r="F165" s="14">
        <f>IFERROR(VLOOKUP($B165,'SCHEDA BULLONERIA'!$A$40:$D$400,3,FALSE),"")</f>
        <v>2.4500000000000001E-2</v>
      </c>
      <c r="G165" s="12" t="str">
        <f>IFERROR(VLOOKUP($B165,'SCHEDA BULLONERIA'!$A$40:$D$400,4,FALSE),"")</f>
        <v/>
      </c>
      <c r="H165" t="s">
        <v>435</v>
      </c>
      <c r="I165" s="13">
        <v>5</v>
      </c>
    </row>
    <row r="166" spans="1:9" x14ac:dyDescent="0.3">
      <c r="A166" s="13">
        <v>162</v>
      </c>
      <c r="B166" t="s">
        <v>352</v>
      </c>
      <c r="C166" t="s">
        <v>353</v>
      </c>
      <c r="D166" t="s">
        <v>449</v>
      </c>
      <c r="E166" s="13" t="s">
        <v>434</v>
      </c>
      <c r="F166" s="14">
        <f>IFERROR(VLOOKUP($B166,'SCHEDA BULLONERIA'!$A$40:$D$400,3,FALSE),"")</f>
        <v>3.0499999999999999E-2</v>
      </c>
      <c r="G166" s="12" t="str">
        <f>IFERROR(VLOOKUP($B166,'SCHEDA BULLONERIA'!$A$40:$D$400,4,FALSE),"")</f>
        <v/>
      </c>
      <c r="H166" t="s">
        <v>442</v>
      </c>
      <c r="I166" s="13">
        <v>3</v>
      </c>
    </row>
    <row r="167" spans="1:9" x14ac:dyDescent="0.3">
      <c r="A167" s="13">
        <v>163</v>
      </c>
      <c r="B167" t="s">
        <v>354</v>
      </c>
      <c r="C167" t="s">
        <v>355</v>
      </c>
      <c r="D167" t="s">
        <v>449</v>
      </c>
      <c r="E167" s="13" t="s">
        <v>434</v>
      </c>
      <c r="F167" s="14">
        <f>IFERROR(VLOOKUP($B167,'SCHEDA BULLONERIA'!$A$40:$D$400,3,FALSE),"")</f>
        <v>5.1999999999999998E-2</v>
      </c>
      <c r="G167" s="12" t="str">
        <f>IFERROR(VLOOKUP($B167,'SCHEDA BULLONERIA'!$A$40:$D$400,4,FALSE),"")</f>
        <v/>
      </c>
      <c r="H167" t="s">
        <v>438</v>
      </c>
      <c r="I167" s="13">
        <v>1</v>
      </c>
    </row>
    <row r="168" spans="1:9" x14ac:dyDescent="0.3">
      <c r="A168" s="13">
        <v>164</v>
      </c>
      <c r="B168" t="s">
        <v>356</v>
      </c>
      <c r="C168" t="s">
        <v>357</v>
      </c>
      <c r="D168" t="s">
        <v>449</v>
      </c>
      <c r="E168" s="13" t="s">
        <v>434</v>
      </c>
      <c r="F168" s="14">
        <f>IFERROR(VLOOKUP($B168,'SCHEDA BULLONERIA'!$A$40:$D$400,3,FALSE),"")</f>
        <v>0.11</v>
      </c>
      <c r="G168" s="12" t="str">
        <f>IFERROR(VLOOKUP($B168,'SCHEDA BULLONERIA'!$A$40:$D$400,4,FALSE),"")</f>
        <v/>
      </c>
      <c r="H168" t="s">
        <v>443</v>
      </c>
      <c r="I168" s="13">
        <v>1</v>
      </c>
    </row>
    <row r="169" spans="1:9" x14ac:dyDescent="0.3">
      <c r="A169" s="13">
        <v>165</v>
      </c>
      <c r="B169" t="s">
        <v>358</v>
      </c>
      <c r="C169" t="s">
        <v>359</v>
      </c>
      <c r="D169" t="s">
        <v>449</v>
      </c>
      <c r="E169" s="13" t="s">
        <v>434</v>
      </c>
      <c r="F169" s="14">
        <f>IFERROR(VLOOKUP($B169,'SCHEDA BULLONERIA'!$A$40:$D$400,3,FALSE),"")</f>
        <v>3.0999999999999999E-3</v>
      </c>
      <c r="G169" s="12" t="str">
        <f>IFERROR(VLOOKUP($B169,'SCHEDA BULLONERIA'!$A$40:$D$400,4,FALSE),"")</f>
        <v/>
      </c>
      <c r="H169" t="s">
        <v>447</v>
      </c>
      <c r="I169" s="13">
        <v>3</v>
      </c>
    </row>
    <row r="170" spans="1:9" x14ac:dyDescent="0.3">
      <c r="A170" s="13">
        <v>166</v>
      </c>
      <c r="B170" t="s">
        <v>360</v>
      </c>
      <c r="C170" t="s">
        <v>361</v>
      </c>
      <c r="D170" t="s">
        <v>449</v>
      </c>
      <c r="E170" s="13" t="s">
        <v>434</v>
      </c>
      <c r="F170" s="14">
        <f>IFERROR(VLOOKUP($B170,'SCHEDA BULLONERIA'!$A$40:$D$400,3,FALSE),"")</f>
        <v>4.1999999999999997E-3</v>
      </c>
      <c r="G170" s="12" t="str">
        <f>IFERROR(VLOOKUP($B170,'SCHEDA BULLONERIA'!$A$40:$D$400,4,FALSE),"")</f>
        <v/>
      </c>
      <c r="H170" t="s">
        <v>438</v>
      </c>
      <c r="I170" s="13">
        <v>1</v>
      </c>
    </row>
    <row r="171" spans="1:9" x14ac:dyDescent="0.3">
      <c r="A171" s="13">
        <v>167</v>
      </c>
      <c r="B171" t="s">
        <v>362</v>
      </c>
      <c r="C171" t="s">
        <v>363</v>
      </c>
      <c r="D171" t="s">
        <v>449</v>
      </c>
      <c r="E171" s="13" t="s">
        <v>434</v>
      </c>
      <c r="F171" s="14">
        <f>IFERROR(VLOOKUP($B171,'SCHEDA BULLONERIA'!$A$40:$D$400,3,FALSE),"")</f>
        <v>2.5999999999999999E-2</v>
      </c>
      <c r="G171" s="12" t="str">
        <f>IFERROR(VLOOKUP($B171,'SCHEDA BULLONERIA'!$A$40:$D$400,4,FALSE),"")</f>
        <v/>
      </c>
      <c r="H171" t="s">
        <v>436</v>
      </c>
      <c r="I171" s="13">
        <v>1</v>
      </c>
    </row>
    <row r="172" spans="1:9" x14ac:dyDescent="0.3">
      <c r="A172" s="13">
        <v>168</v>
      </c>
      <c r="B172" t="s">
        <v>364</v>
      </c>
      <c r="C172" t="s">
        <v>365</v>
      </c>
      <c r="D172" t="s">
        <v>449</v>
      </c>
      <c r="E172" s="13" t="s">
        <v>434</v>
      </c>
      <c r="F172" s="14">
        <f>IFERROR(VLOOKUP($B172,'SCHEDA BULLONERIA'!$A$40:$D$400,3,FALSE),"")</f>
        <v>5.4000000000000003E-3</v>
      </c>
      <c r="G172" s="12" t="str">
        <f>IFERROR(VLOOKUP($B172,'SCHEDA BULLONERIA'!$A$40:$D$400,4,FALSE),"")</f>
        <v/>
      </c>
      <c r="H172" t="s">
        <v>438</v>
      </c>
      <c r="I172" s="13">
        <v>1</v>
      </c>
    </row>
    <row r="173" spans="1:9" x14ac:dyDescent="0.3">
      <c r="A173" s="13">
        <v>169</v>
      </c>
      <c r="B173" t="s">
        <v>366</v>
      </c>
      <c r="C173" t="s">
        <v>367</v>
      </c>
      <c r="D173" t="s">
        <v>449</v>
      </c>
      <c r="E173" s="13" t="s">
        <v>434</v>
      </c>
      <c r="F173" s="14">
        <f>IFERROR(VLOOKUP($B173,'SCHEDA BULLONERIA'!$A$40:$D$400,3,FALSE),"")</f>
        <v>6.1999999999999998E-3</v>
      </c>
      <c r="G173" s="12" t="str">
        <f>IFERROR(VLOOKUP($B173,'SCHEDA BULLONERIA'!$A$40:$D$400,4,FALSE),"")</f>
        <v/>
      </c>
      <c r="H173" t="s">
        <v>445</v>
      </c>
      <c r="I173" s="13">
        <v>1</v>
      </c>
    </row>
    <row r="174" spans="1:9" x14ac:dyDescent="0.3">
      <c r="A174" s="13">
        <v>170</v>
      </c>
      <c r="B174" t="s">
        <v>368</v>
      </c>
      <c r="C174" t="s">
        <v>367</v>
      </c>
      <c r="D174" t="s">
        <v>449</v>
      </c>
      <c r="E174" s="13" t="s">
        <v>434</v>
      </c>
      <c r="F174" s="14">
        <f>IFERROR(VLOOKUP($B174,'SCHEDA BULLONERIA'!$A$40:$D$400,3,FALSE),"")</f>
        <v>7.0000000000000001E-3</v>
      </c>
      <c r="G174" s="12" t="str">
        <f>IFERROR(VLOOKUP($B174,'SCHEDA BULLONERIA'!$A$40:$D$400,4,FALSE),"")</f>
        <v/>
      </c>
      <c r="H174" t="s">
        <v>450</v>
      </c>
      <c r="I174" s="13">
        <v>2</v>
      </c>
    </row>
    <row r="175" spans="1:9" x14ac:dyDescent="0.3">
      <c r="A175" s="13">
        <v>171</v>
      </c>
      <c r="B175" t="s">
        <v>369</v>
      </c>
      <c r="C175" t="s">
        <v>370</v>
      </c>
      <c r="D175" t="s">
        <v>449</v>
      </c>
      <c r="E175" s="13" t="s">
        <v>434</v>
      </c>
      <c r="F175" s="14">
        <f>IFERROR(VLOOKUP($B175,'SCHEDA BULLONERIA'!$A$40:$D$400,3,FALSE),"")</f>
        <v>4.9000000000000002E-2</v>
      </c>
      <c r="G175" s="12" t="str">
        <f>IFERROR(VLOOKUP($B175,'SCHEDA BULLONERIA'!$A$40:$D$400,4,FALSE),"")</f>
        <v/>
      </c>
      <c r="H175" t="s">
        <v>451</v>
      </c>
      <c r="I175" s="13">
        <v>6</v>
      </c>
    </row>
    <row r="176" spans="1:9" x14ac:dyDescent="0.3">
      <c r="A176" s="13">
        <v>172</v>
      </c>
      <c r="B176" t="s">
        <v>371</v>
      </c>
      <c r="C176" t="s">
        <v>372</v>
      </c>
      <c r="D176" t="s">
        <v>449</v>
      </c>
      <c r="E176" s="13" t="s">
        <v>434</v>
      </c>
      <c r="F176" s="14">
        <f>IFERROR(VLOOKUP($B176,'SCHEDA BULLONERIA'!$A$40:$D$400,3,FALSE),"")</f>
        <v>1.12E-2</v>
      </c>
      <c r="G176" s="12" t="str">
        <f>IFERROR(VLOOKUP($B176,'SCHEDA BULLONERIA'!$A$40:$D$400,4,FALSE),"")</f>
        <v/>
      </c>
      <c r="H176" t="s">
        <v>440</v>
      </c>
      <c r="I176" s="13">
        <v>1</v>
      </c>
    </row>
    <row r="177" spans="1:9" x14ac:dyDescent="0.3">
      <c r="A177" s="13">
        <v>173</v>
      </c>
      <c r="B177" t="s">
        <v>373</v>
      </c>
      <c r="C177" t="s">
        <v>374</v>
      </c>
      <c r="D177" t="s">
        <v>449</v>
      </c>
      <c r="E177" s="13" t="s">
        <v>434</v>
      </c>
      <c r="F177" s="14">
        <f>IFERROR(VLOOKUP($B177,'SCHEDA BULLONERIA'!$A$40:$D$400,3,FALSE),"")</f>
        <v>1.29E-2</v>
      </c>
      <c r="G177" s="12" t="str">
        <f>IFERROR(VLOOKUP($B177,'SCHEDA BULLONERIA'!$A$40:$D$400,4,FALSE),"")</f>
        <v/>
      </c>
      <c r="H177" t="s">
        <v>452</v>
      </c>
      <c r="I177" s="13">
        <v>8</v>
      </c>
    </row>
    <row r="178" spans="1:9" x14ac:dyDescent="0.3">
      <c r="A178" s="13">
        <v>174</v>
      </c>
      <c r="B178" t="s">
        <v>375</v>
      </c>
      <c r="C178" t="s">
        <v>376</v>
      </c>
      <c r="D178" t="s">
        <v>449</v>
      </c>
      <c r="E178" s="13" t="s">
        <v>434</v>
      </c>
      <c r="F178" s="14">
        <f>IFERROR(VLOOKUP($B178,'SCHEDA BULLONERIA'!$A$40:$D$400,3,FALSE),"")</f>
        <v>1.4500000000000001E-2</v>
      </c>
      <c r="G178" s="12" t="str">
        <f>IFERROR(VLOOKUP($B178,'SCHEDA BULLONERIA'!$A$40:$D$400,4,FALSE),"")</f>
        <v/>
      </c>
      <c r="H178" t="s">
        <v>440</v>
      </c>
      <c r="I178" s="13">
        <v>1</v>
      </c>
    </row>
    <row r="179" spans="1:9" x14ac:dyDescent="0.3">
      <c r="A179" s="13">
        <v>175</v>
      </c>
      <c r="B179" t="s">
        <v>377</v>
      </c>
      <c r="C179" t="s">
        <v>378</v>
      </c>
      <c r="D179" t="s">
        <v>449</v>
      </c>
      <c r="E179" s="13" t="s">
        <v>434</v>
      </c>
      <c r="F179" s="14">
        <f>IFERROR(VLOOKUP($B179,'SCHEDA BULLONERIA'!$A$40:$D$400,3,FALSE),"")</f>
        <v>4.7999999999999996E-3</v>
      </c>
      <c r="G179" s="12" t="str">
        <f>IFERROR(VLOOKUP($B179,'SCHEDA BULLONERIA'!$A$40:$D$400,4,FALSE),"")</f>
        <v/>
      </c>
      <c r="H179" t="s">
        <v>436</v>
      </c>
      <c r="I179" s="13">
        <v>2</v>
      </c>
    </row>
    <row r="180" spans="1:9" x14ac:dyDescent="0.3">
      <c r="A180" s="13">
        <v>176</v>
      </c>
      <c r="B180" t="s">
        <v>379</v>
      </c>
      <c r="C180" t="s">
        <v>380</v>
      </c>
      <c r="D180" t="s">
        <v>449</v>
      </c>
      <c r="E180" s="13" t="s">
        <v>434</v>
      </c>
      <c r="F180" s="14">
        <f>IFERROR(VLOOKUP($B180,'SCHEDA BULLONERIA'!$A$40:$D$400,3,FALSE),"")</f>
        <v>8.9999999999999993E-3</v>
      </c>
      <c r="G180" s="12" t="str">
        <f>IFERROR(VLOOKUP($B180,'SCHEDA BULLONERIA'!$A$40:$D$400,4,FALSE),"")</f>
        <v/>
      </c>
      <c r="H180" t="s">
        <v>453</v>
      </c>
      <c r="I180" s="13">
        <v>12</v>
      </c>
    </row>
    <row r="181" spans="1:9" x14ac:dyDescent="0.3">
      <c r="A181" s="13">
        <v>177</v>
      </c>
      <c r="B181" t="s">
        <v>381</v>
      </c>
      <c r="C181" t="s">
        <v>382</v>
      </c>
      <c r="D181" t="s">
        <v>449</v>
      </c>
      <c r="E181" s="13" t="s">
        <v>434</v>
      </c>
      <c r="F181" s="14">
        <f>IFERROR(VLOOKUP($B181,'SCHEDA BULLONERIA'!$A$40:$D$400,3,FALSE),"")</f>
        <v>3.5999999999999997E-2</v>
      </c>
      <c r="G181" s="12" t="str">
        <f>IFERROR(VLOOKUP($B181,'SCHEDA BULLONERIA'!$A$40:$D$400,4,FALSE),"")</f>
        <v/>
      </c>
      <c r="H181" t="s">
        <v>442</v>
      </c>
      <c r="I181" s="13">
        <v>2</v>
      </c>
    </row>
    <row r="182" spans="1:9" x14ac:dyDescent="0.3">
      <c r="A182" s="13">
        <v>178</v>
      </c>
      <c r="B182" t="s">
        <v>383</v>
      </c>
      <c r="C182" t="s">
        <v>384</v>
      </c>
      <c r="D182" t="s">
        <v>449</v>
      </c>
      <c r="E182" s="13" t="s">
        <v>434</v>
      </c>
      <c r="F182" s="14">
        <f>IFERROR(VLOOKUP($B182,'SCHEDA BULLONERIA'!$A$40:$D$400,3,FALSE),"")</f>
        <v>1.1000000000000001E-3</v>
      </c>
      <c r="G182" s="12" t="str">
        <f>IFERROR(VLOOKUP($B182,'SCHEDA BULLONERIA'!$A$40:$D$400,4,FALSE),"")</f>
        <v/>
      </c>
      <c r="H182" t="s">
        <v>454</v>
      </c>
      <c r="I182" s="13">
        <v>5</v>
      </c>
    </row>
    <row r="183" spans="1:9" x14ac:dyDescent="0.3">
      <c r="A183" s="13">
        <v>179</v>
      </c>
      <c r="B183" t="s">
        <v>385</v>
      </c>
      <c r="C183" t="s">
        <v>386</v>
      </c>
      <c r="D183" t="s">
        <v>449</v>
      </c>
      <c r="E183" s="13" t="s">
        <v>434</v>
      </c>
      <c r="F183" s="14">
        <f>IFERROR(VLOOKUP($B183,'SCHEDA BULLONERIA'!$A$40:$D$400,3,FALSE),"")</f>
        <v>2.0999999999999999E-3</v>
      </c>
      <c r="G183" s="12" t="str">
        <f>IFERROR(VLOOKUP($B183,'SCHEDA BULLONERIA'!$A$40:$D$400,4,FALSE),"")</f>
        <v/>
      </c>
      <c r="H183" t="s">
        <v>455</v>
      </c>
      <c r="I183" s="13">
        <v>5</v>
      </c>
    </row>
    <row r="184" spans="1:9" x14ac:dyDescent="0.3">
      <c r="A184" s="13">
        <v>180</v>
      </c>
      <c r="B184" t="s">
        <v>387</v>
      </c>
      <c r="C184" t="s">
        <v>388</v>
      </c>
      <c r="D184" t="s">
        <v>449</v>
      </c>
      <c r="E184" s="13" t="s">
        <v>434</v>
      </c>
      <c r="F184" s="14">
        <f>IFERROR(VLOOKUP($B184,'SCHEDA BULLONERIA'!$A$40:$D$400,3,FALSE),"")</f>
        <v>4.7999999999999996E-3</v>
      </c>
      <c r="G184" s="12" t="str">
        <f>IFERROR(VLOOKUP($B184,'SCHEDA BULLONERIA'!$A$40:$D$400,4,FALSE),"")</f>
        <v/>
      </c>
      <c r="H184" t="s">
        <v>456</v>
      </c>
      <c r="I184" s="13">
        <v>15</v>
      </c>
    </row>
    <row r="185" spans="1:9" x14ac:dyDescent="0.3">
      <c r="A185" s="13">
        <v>181</v>
      </c>
      <c r="B185" t="s">
        <v>389</v>
      </c>
      <c r="C185" t="s">
        <v>390</v>
      </c>
      <c r="D185" t="s">
        <v>449</v>
      </c>
      <c r="E185" s="13" t="s">
        <v>434</v>
      </c>
      <c r="F185" s="14">
        <f>IFERROR(VLOOKUP($B185,'SCHEDA BULLONERIA'!$A$40:$D$400,3,FALSE),"")</f>
        <v>3.8999999999999998E-3</v>
      </c>
      <c r="G185" s="12" t="str">
        <f>IFERROR(VLOOKUP($B185,'SCHEDA BULLONERIA'!$A$40:$D$400,4,FALSE),"")</f>
        <v/>
      </c>
      <c r="H185" t="s">
        <v>457</v>
      </c>
      <c r="I185" s="13">
        <v>25</v>
      </c>
    </row>
    <row r="186" spans="1:9" x14ac:dyDescent="0.3">
      <c r="A186" s="13">
        <v>182</v>
      </c>
      <c r="B186" t="s">
        <v>391</v>
      </c>
      <c r="C186" t="s">
        <v>392</v>
      </c>
      <c r="D186" t="s">
        <v>449</v>
      </c>
      <c r="E186" s="13" t="s">
        <v>434</v>
      </c>
      <c r="F186" s="14">
        <f>IFERROR(VLOOKUP($B186,'SCHEDA BULLONERIA'!$A$40:$D$400,3,FALSE),"")</f>
        <v>1.35E-2</v>
      </c>
      <c r="G186" s="12" t="str">
        <f>IFERROR(VLOOKUP($B186,'SCHEDA BULLONERIA'!$A$40:$D$400,4,FALSE),"")</f>
        <v/>
      </c>
      <c r="H186" t="s">
        <v>458</v>
      </c>
      <c r="I186" s="13">
        <v>5</v>
      </c>
    </row>
    <row r="187" spans="1:9" x14ac:dyDescent="0.3">
      <c r="A187" s="13">
        <v>183</v>
      </c>
      <c r="B187" t="s">
        <v>393</v>
      </c>
      <c r="C187" t="s">
        <v>394</v>
      </c>
      <c r="D187" t="s">
        <v>449</v>
      </c>
      <c r="E187" s="13" t="s">
        <v>434</v>
      </c>
      <c r="F187" s="14">
        <f>IFERROR(VLOOKUP($B187,'SCHEDA BULLONERIA'!$A$40:$D$400,3,FALSE),"")</f>
        <v>5.0000000000000001E-4</v>
      </c>
      <c r="G187" s="12" t="str">
        <f>IFERROR(VLOOKUP($B187,'SCHEDA BULLONERIA'!$A$40:$D$400,4,FALSE),"")</f>
        <v/>
      </c>
      <c r="H187" t="s">
        <v>454</v>
      </c>
      <c r="I187" s="13">
        <v>6</v>
      </c>
    </row>
    <row r="188" spans="1:9" x14ac:dyDescent="0.3">
      <c r="A188" s="13">
        <v>184</v>
      </c>
      <c r="B188" t="s">
        <v>395</v>
      </c>
      <c r="C188" t="s">
        <v>396</v>
      </c>
      <c r="D188" t="s">
        <v>449</v>
      </c>
      <c r="E188" s="13" t="s">
        <v>434</v>
      </c>
      <c r="F188" s="14">
        <f>IFERROR(VLOOKUP($B188,'SCHEDA BULLONERIA'!$A$40:$D$400,3,FALSE),"")</f>
        <v>1.1000000000000001E-3</v>
      </c>
      <c r="G188" s="12" t="str">
        <f>IFERROR(VLOOKUP($B188,'SCHEDA BULLONERIA'!$A$40:$D$400,4,FALSE),"")</f>
        <v/>
      </c>
      <c r="H188" t="s">
        <v>455</v>
      </c>
      <c r="I188" s="13">
        <v>10</v>
      </c>
    </row>
    <row r="189" spans="1:9" x14ac:dyDescent="0.3">
      <c r="A189" s="13">
        <v>185</v>
      </c>
      <c r="B189" t="s">
        <v>397</v>
      </c>
      <c r="C189" t="s">
        <v>398</v>
      </c>
      <c r="D189" t="s">
        <v>449</v>
      </c>
      <c r="E189" s="13" t="s">
        <v>434</v>
      </c>
      <c r="F189" s="14">
        <f>IFERROR(VLOOKUP($B189,'SCHEDA BULLONERIA'!$A$40:$D$400,3,FALSE),"")</f>
        <v>2.0999999999999999E-3</v>
      </c>
      <c r="G189" s="12" t="str">
        <f>IFERROR(VLOOKUP($B189,'SCHEDA BULLONERIA'!$A$40:$D$400,4,FALSE),"")</f>
        <v/>
      </c>
      <c r="H189" t="s">
        <v>456</v>
      </c>
      <c r="I189" s="13">
        <v>32</v>
      </c>
    </row>
    <row r="190" spans="1:9" x14ac:dyDescent="0.3">
      <c r="A190" s="13">
        <v>186</v>
      </c>
      <c r="B190" t="s">
        <v>399</v>
      </c>
      <c r="C190" t="s">
        <v>400</v>
      </c>
      <c r="D190" t="s">
        <v>449</v>
      </c>
      <c r="E190" s="13" t="s">
        <v>434</v>
      </c>
      <c r="F190" s="14">
        <f>IFERROR(VLOOKUP($B190,'SCHEDA BULLONERIA'!$A$40:$D$400,3,FALSE),"")</f>
        <v>4.1999999999999997E-3</v>
      </c>
      <c r="G190" s="12" t="str">
        <f>IFERROR(VLOOKUP($B190,'SCHEDA BULLONERIA'!$A$40:$D$400,4,FALSE),"")</f>
        <v/>
      </c>
      <c r="H190" t="s">
        <v>437</v>
      </c>
      <c r="I190" s="13">
        <v>1</v>
      </c>
    </row>
    <row r="191" spans="1:9" x14ac:dyDescent="0.3">
      <c r="A191" s="13">
        <v>187</v>
      </c>
      <c r="B191" t="s">
        <v>405</v>
      </c>
      <c r="C191" t="s">
        <v>406</v>
      </c>
      <c r="D191" t="s">
        <v>459</v>
      </c>
      <c r="E191" s="13" t="s">
        <v>434</v>
      </c>
      <c r="F191" s="14">
        <f>IF(ISNUMBER(VLOOKUP($B191,'SCHEDA ELETTROMECCANICA'!$A$5:$D$400,3,FALSE)),VLOOKUP($B191,'SCHEDA ELETTROMECCANICA'!$A$5:$D$400,3,FALSE),"")</f>
        <v>50</v>
      </c>
      <c r="G191" s="12">
        <f>IF(ISNUMBER(VLOOKUP($B191,'SCHEDA ELETTROMECCANICA'!$A$5:$D$400,4,FALSE)),VLOOKUP($B191,'SCHEDA ELETTROMECCANICA'!$A$5:$D$400,4,FALSE),"")</f>
        <v>300</v>
      </c>
      <c r="H191" t="s">
        <v>443</v>
      </c>
      <c r="I191" s="13">
        <v>1</v>
      </c>
    </row>
    <row r="192" spans="1:9" x14ac:dyDescent="0.3">
      <c r="A192" s="13">
        <v>188</v>
      </c>
      <c r="B192" t="s">
        <v>407</v>
      </c>
      <c r="C192" t="s">
        <v>408</v>
      </c>
      <c r="D192" t="s">
        <v>460</v>
      </c>
      <c r="E192" s="13" t="s">
        <v>434</v>
      </c>
      <c r="F192" s="14">
        <f>IF(ISNUMBER(VLOOKUP($B192,'SCHEDA ELETTROMECCANICA'!$A$5:$D$400,3,FALSE)),VLOOKUP($B192,'SCHEDA ELETTROMECCANICA'!$A$5:$D$400,3,FALSE),"")</f>
        <v>2</v>
      </c>
      <c r="G192" s="12">
        <f>IF(ISNUMBER(VLOOKUP($B192,'SCHEDA ELETTROMECCANICA'!$A$5:$D$400,4,FALSE)),VLOOKUP($B192,'SCHEDA ELETTROMECCANICA'!$A$5:$D$400,4,FALSE),"")</f>
        <v>13</v>
      </c>
      <c r="H192" t="s">
        <v>439</v>
      </c>
      <c r="I192" s="13">
        <v>1</v>
      </c>
    </row>
    <row r="193" spans="1:9" x14ac:dyDescent="0.3">
      <c r="A193" s="13">
        <v>189</v>
      </c>
      <c r="B193" t="s">
        <v>409</v>
      </c>
      <c r="C193" t="s">
        <v>410</v>
      </c>
      <c r="D193" t="s">
        <v>461</v>
      </c>
      <c r="E193" s="13" t="s">
        <v>434</v>
      </c>
      <c r="F193" s="14" t="str">
        <f>IF(ISNUMBER(VLOOKUP($B193,'SCHEDA ELETTROMECCANICA'!$A$5:$D$400,3,FALSE)),VLOOKUP($B193,'SCHEDA ELETTROMECCANICA'!$A$5:$D$400,3,FALSE),"")</f>
        <v/>
      </c>
      <c r="G193" s="12" t="str">
        <f>IF(ISNUMBER(VLOOKUP($B193,'SCHEDA ELETTROMECCANICA'!$A$5:$D$400,4,FALSE)),VLOOKUP($B193,'SCHEDA ELETTROMECCANICA'!$A$5:$D$400,4,FALSE),"")</f>
        <v/>
      </c>
      <c r="H193" t="s">
        <v>445</v>
      </c>
      <c r="I193" s="13">
        <v>1</v>
      </c>
    </row>
    <row r="194" spans="1:9" x14ac:dyDescent="0.3">
      <c r="A194" s="13">
        <v>190</v>
      </c>
      <c r="B194" t="s">
        <v>411</v>
      </c>
      <c r="C194" t="s">
        <v>412</v>
      </c>
      <c r="D194" t="s">
        <v>461</v>
      </c>
      <c r="E194" s="13" t="s">
        <v>434</v>
      </c>
      <c r="F194" s="14" t="str">
        <f>IF(ISNUMBER(VLOOKUP($B194,'SCHEDA ELETTROMECCANICA'!$A$5:$D$400,3,FALSE)),VLOOKUP($B194,'SCHEDA ELETTROMECCANICA'!$A$5:$D$400,3,FALSE),"")</f>
        <v/>
      </c>
      <c r="G194" s="12" t="str">
        <f>IF(ISNUMBER(VLOOKUP($B194,'SCHEDA ELETTROMECCANICA'!$A$5:$D$400,4,FALSE)),VLOOKUP($B194,'SCHEDA ELETTROMECCANICA'!$A$5:$D$400,4,FALSE),"")</f>
        <v/>
      </c>
      <c r="H194" t="s">
        <v>446</v>
      </c>
      <c r="I194" s="13">
        <v>3</v>
      </c>
    </row>
    <row r="195" spans="1:9" x14ac:dyDescent="0.3">
      <c r="A195" s="13">
        <v>191</v>
      </c>
      <c r="B195" t="s">
        <v>413</v>
      </c>
      <c r="C195" t="s">
        <v>414</v>
      </c>
      <c r="D195" t="s">
        <v>462</v>
      </c>
      <c r="E195" s="13" t="s">
        <v>434</v>
      </c>
      <c r="F195" s="14" t="str">
        <f>IF(ISNUMBER(VLOOKUP($B195,'SCHEDA ELETTROMECCANICA'!$A$5:$D$400,3,FALSE)),VLOOKUP($B195,'SCHEDA ELETTROMECCANICA'!$A$5:$D$400,3,FALSE),"")</f>
        <v/>
      </c>
      <c r="G195" s="12" t="str">
        <f>IF(ISNUMBER(VLOOKUP($B195,'SCHEDA ELETTROMECCANICA'!$A$5:$D$400,4,FALSE)),VLOOKUP($B195,'SCHEDA ELETTROMECCANICA'!$A$5:$D$400,4,FALSE),"")</f>
        <v/>
      </c>
      <c r="H195" t="s">
        <v>438</v>
      </c>
      <c r="I195" s="13">
        <v>1</v>
      </c>
    </row>
    <row r="196" spans="1:9" x14ac:dyDescent="0.3">
      <c r="A196" s="13">
        <v>192</v>
      </c>
      <c r="B196" t="s">
        <v>415</v>
      </c>
      <c r="C196" t="s">
        <v>416</v>
      </c>
      <c r="D196" t="s">
        <v>462</v>
      </c>
      <c r="E196" s="13" t="s">
        <v>434</v>
      </c>
      <c r="F196" s="14" t="str">
        <f>IF(ISNUMBER(VLOOKUP($B196,'SCHEDA ELETTROMECCANICA'!$A$5:$D$400,3,FALSE)),VLOOKUP($B196,'SCHEDA ELETTROMECCANICA'!$A$5:$D$400,3,FALSE),"")</f>
        <v/>
      </c>
      <c r="G196" s="12" t="str">
        <f>IF(ISNUMBER(VLOOKUP($B196,'SCHEDA ELETTROMECCANICA'!$A$5:$D$400,4,FALSE)),VLOOKUP($B196,'SCHEDA ELETTROMECCANICA'!$A$5:$D$400,4,FALSE),"")</f>
        <v/>
      </c>
      <c r="H196" t="s">
        <v>447</v>
      </c>
      <c r="I196" s="13">
        <v>1</v>
      </c>
    </row>
    <row r="197" spans="1:9" x14ac:dyDescent="0.3">
      <c r="A197" s="13">
        <v>193</v>
      </c>
      <c r="B197" t="s">
        <v>417</v>
      </c>
      <c r="C197" t="s">
        <v>418</v>
      </c>
      <c r="D197" t="s">
        <v>462</v>
      </c>
      <c r="E197" s="13" t="s">
        <v>434</v>
      </c>
      <c r="F197" s="14" t="str">
        <f>IF(ISNUMBER(VLOOKUP($B197,'SCHEDA ELETTROMECCANICA'!$A$5:$D$400,3,FALSE)),VLOOKUP($B197,'SCHEDA ELETTROMECCANICA'!$A$5:$D$400,3,FALSE),"")</f>
        <v/>
      </c>
      <c r="G197" s="12" t="str">
        <f>IF(ISNUMBER(VLOOKUP($B197,'SCHEDA ELETTROMECCANICA'!$A$5:$D$400,4,FALSE)),VLOOKUP($B197,'SCHEDA ELETTROMECCANICA'!$A$5:$D$400,4,FALSE),"")</f>
        <v/>
      </c>
      <c r="H197" t="s">
        <v>447</v>
      </c>
      <c r="I197" s="13">
        <v>1</v>
      </c>
    </row>
    <row r="198" spans="1:9" x14ac:dyDescent="0.3">
      <c r="A198" s="13">
        <v>194</v>
      </c>
      <c r="B198" t="s">
        <v>419</v>
      </c>
      <c r="C198" t="s">
        <v>420</v>
      </c>
      <c r="D198" t="s">
        <v>462</v>
      </c>
      <c r="E198" s="13" t="s">
        <v>434</v>
      </c>
      <c r="F198" s="14" t="str">
        <f>IF(ISNUMBER(VLOOKUP($B198,'SCHEDA ELETTROMECCANICA'!$A$5:$D$400,3,FALSE)),VLOOKUP($B198,'SCHEDA ELETTROMECCANICA'!$A$5:$D$400,3,FALSE),"")</f>
        <v/>
      </c>
      <c r="G198" s="12" t="str">
        <f>IF(ISNUMBER(VLOOKUP($B198,'SCHEDA ELETTROMECCANICA'!$A$5:$D$400,4,FALSE)),VLOOKUP($B198,'SCHEDA ELETTROMECCANICA'!$A$5:$D$400,4,FALSE),"")</f>
        <v/>
      </c>
      <c r="H198" t="s">
        <v>447</v>
      </c>
      <c r="I198" s="13">
        <v>1</v>
      </c>
    </row>
    <row r="199" spans="1:9" x14ac:dyDescent="0.3">
      <c r="A199" s="13">
        <v>195</v>
      </c>
      <c r="B199" t="s">
        <v>421</v>
      </c>
      <c r="C199" t="s">
        <v>422</v>
      </c>
      <c r="D199" t="s">
        <v>462</v>
      </c>
      <c r="E199" s="13" t="s">
        <v>434</v>
      </c>
      <c r="F199" s="14" t="str">
        <f>IF(ISNUMBER(VLOOKUP($B199,'SCHEDA ELETTROMECCANICA'!$A$5:$D$400,3,FALSE)),VLOOKUP($B199,'SCHEDA ELETTROMECCANICA'!$A$5:$D$400,3,FALSE),"")</f>
        <v/>
      </c>
      <c r="G199" s="12" t="str">
        <f>IF(ISNUMBER(VLOOKUP($B199,'SCHEDA ELETTROMECCANICA'!$A$5:$D$400,4,FALSE)),VLOOKUP($B199,'SCHEDA ELETTROMECCANICA'!$A$5:$D$400,4,FALSE),"")</f>
        <v/>
      </c>
      <c r="H199" t="s">
        <v>447</v>
      </c>
      <c r="I199" s="13">
        <v>1</v>
      </c>
    </row>
    <row r="200" spans="1:9" x14ac:dyDescent="0.3">
      <c r="A200" s="13">
        <v>196</v>
      </c>
      <c r="B200" t="s">
        <v>423</v>
      </c>
      <c r="C200" t="s">
        <v>424</v>
      </c>
      <c r="D200" t="s">
        <v>462</v>
      </c>
      <c r="E200" s="13" t="s">
        <v>434</v>
      </c>
      <c r="F200" s="14" t="str">
        <f>IF(ISNUMBER(VLOOKUP($B200,'SCHEDA ELETTROMECCANICA'!$A$5:$D$400,3,FALSE)),VLOOKUP($B200,'SCHEDA ELETTROMECCANICA'!$A$5:$D$400,3,FALSE),"")</f>
        <v/>
      </c>
      <c r="G200" s="12" t="str">
        <f>IF(ISNUMBER(VLOOKUP($B200,'SCHEDA ELETTROMECCANICA'!$A$5:$D$400,4,FALSE)),VLOOKUP($B200,'SCHEDA ELETTROMECCANICA'!$A$5:$D$400,4,FALSE),"")</f>
        <v/>
      </c>
      <c r="H200" t="s">
        <v>437</v>
      </c>
      <c r="I200" s="13">
        <v>1</v>
      </c>
    </row>
    <row r="201" spans="1:9" x14ac:dyDescent="0.3">
      <c r="A201" s="13">
        <v>197</v>
      </c>
      <c r="C201" t="s">
        <v>463</v>
      </c>
      <c r="D201" t="s">
        <v>464</v>
      </c>
      <c r="E201" s="13" t="s">
        <v>434</v>
      </c>
      <c r="F201" s="14"/>
      <c r="G201" s="12"/>
      <c r="I201" s="13"/>
    </row>
    <row r="202" spans="1:9" x14ac:dyDescent="0.3">
      <c r="A202" s="13">
        <v>198</v>
      </c>
      <c r="C202" t="s">
        <v>465</v>
      </c>
      <c r="D202" t="s">
        <v>464</v>
      </c>
      <c r="E202" s="13" t="s">
        <v>434</v>
      </c>
      <c r="F202" s="14"/>
      <c r="G202" s="12"/>
      <c r="I202" s="13"/>
    </row>
  </sheetData>
  <autoFilter ref="A4:I20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5" customWidth="1"/>
    <col min="4" max="4" width="26" customWidth="1"/>
    <col min="5" max="5" width="60" customWidth="1"/>
    <col min="6" max="6" width="26" customWidth="1"/>
    <col min="7" max="7" width="7" customWidth="1"/>
    <col min="8" max="13" width="11" customWidth="1"/>
    <col min="14" max="14" width="18" customWidth="1"/>
    <col min="15" max="15" width="6" customWidth="1"/>
    <col min="16" max="16" width="14" customWidth="1"/>
    <col min="17" max="17" width="16" customWidth="1"/>
    <col min="18" max="18" width="14" customWidth="1"/>
  </cols>
  <sheetData>
    <row r="1" spans="1:18" ht="27.6" customHeight="1" x14ac:dyDescent="0.3">
      <c r="A1" s="8" t="s">
        <v>466</v>
      </c>
      <c r="B1" s="8" t="s">
        <v>467</v>
      </c>
      <c r="C1" s="8" t="s">
        <v>468</v>
      </c>
      <c r="D1" s="8" t="s">
        <v>57</v>
      </c>
      <c r="E1" s="8" t="s">
        <v>4</v>
      </c>
      <c r="F1" s="8" t="s">
        <v>428</v>
      </c>
      <c r="G1" s="8" t="s">
        <v>469</v>
      </c>
      <c r="H1" s="8" t="s">
        <v>470</v>
      </c>
      <c r="I1" s="8" t="s">
        <v>471</v>
      </c>
      <c r="J1" s="8" t="s">
        <v>472</v>
      </c>
      <c r="K1" s="8" t="s">
        <v>473</v>
      </c>
      <c r="L1" s="8" t="s">
        <v>474</v>
      </c>
      <c r="M1" s="8" t="s">
        <v>475</v>
      </c>
      <c r="N1" s="8" t="s">
        <v>476</v>
      </c>
      <c r="O1" s="8" t="s">
        <v>429</v>
      </c>
      <c r="P1" s="8" t="s">
        <v>58</v>
      </c>
      <c r="Q1" s="8" t="s">
        <v>430</v>
      </c>
      <c r="R1" s="10" t="s">
        <v>477</v>
      </c>
    </row>
    <row r="2" spans="1:18" x14ac:dyDescent="0.3">
      <c r="A2" s="4" t="s">
        <v>443</v>
      </c>
      <c r="B2" s="4"/>
      <c r="C2" s="11">
        <v>1</v>
      </c>
      <c r="D2" s="4" t="s">
        <v>165</v>
      </c>
      <c r="E2" s="4" t="s">
        <v>166</v>
      </c>
      <c r="F2" s="4" t="s">
        <v>433</v>
      </c>
      <c r="G2" s="11">
        <v>1</v>
      </c>
      <c r="H2" s="11"/>
      <c r="I2" s="11"/>
      <c r="J2" s="11"/>
      <c r="K2" s="11"/>
      <c r="L2" s="11"/>
      <c r="M2" s="11"/>
      <c r="N2" s="11"/>
      <c r="O2" s="11" t="s">
        <v>434</v>
      </c>
      <c r="P2" s="9"/>
      <c r="Q2" s="5">
        <f>IFERROR(VLOOKUP($D2,LISTINO!$B:$I,6,FALSE),IFERROR(VLOOKUP($E2,LISTINO!$C:$I,5,FALSE),""))</f>
        <v>0</v>
      </c>
      <c r="R2" s="12">
        <f t="shared" ref="R2:R65" si="0">IF(AND(ISNUMBER(G2),ISNUMBER(Q2)),G2*Q2,"")</f>
        <v>0</v>
      </c>
    </row>
    <row r="3" spans="1:18" x14ac:dyDescent="0.3">
      <c r="A3" s="4" t="s">
        <v>443</v>
      </c>
      <c r="B3" s="4"/>
      <c r="C3" s="11">
        <v>1</v>
      </c>
      <c r="D3" s="4" t="s">
        <v>187</v>
      </c>
      <c r="E3" s="4" t="s">
        <v>188</v>
      </c>
      <c r="F3" s="4" t="s">
        <v>433</v>
      </c>
      <c r="G3" s="11">
        <v>0</v>
      </c>
      <c r="H3" s="11"/>
      <c r="I3" s="11"/>
      <c r="J3" s="11"/>
      <c r="K3" s="11"/>
      <c r="L3" s="11"/>
      <c r="M3" s="11"/>
      <c r="N3" s="11"/>
      <c r="O3" s="11" t="s">
        <v>434</v>
      </c>
      <c r="P3" s="9"/>
      <c r="Q3" s="5">
        <f>IFERROR(VLOOKUP($D3,LISTINO!$B:$I,6,FALSE),IFERROR(VLOOKUP($E3,LISTINO!$C:$I,5,FALSE),""))</f>
        <v>0</v>
      </c>
      <c r="R3" s="12">
        <f t="shared" si="0"/>
        <v>0</v>
      </c>
    </row>
    <row r="4" spans="1:18" x14ac:dyDescent="0.3">
      <c r="A4" s="4" t="s">
        <v>443</v>
      </c>
      <c r="B4" s="4"/>
      <c r="C4" s="11">
        <v>1</v>
      </c>
      <c r="D4" s="4" t="s">
        <v>157</v>
      </c>
      <c r="E4" s="4" t="s">
        <v>158</v>
      </c>
      <c r="F4" s="4" t="s">
        <v>433</v>
      </c>
      <c r="G4" s="11">
        <v>0</v>
      </c>
      <c r="H4" s="11"/>
      <c r="I4" s="11"/>
      <c r="J4" s="11"/>
      <c r="K4" s="11"/>
      <c r="L4" s="11"/>
      <c r="M4" s="11"/>
      <c r="N4" s="11"/>
      <c r="O4" s="11" t="s">
        <v>434</v>
      </c>
      <c r="P4" s="9"/>
      <c r="Q4" s="5">
        <f>IFERROR(VLOOKUP($D4,LISTINO!$B:$I,6,FALSE),IFERROR(VLOOKUP($E4,LISTINO!$C:$I,5,FALSE),""))</f>
        <v>0</v>
      </c>
      <c r="R4" s="12">
        <f t="shared" si="0"/>
        <v>0</v>
      </c>
    </row>
    <row r="5" spans="1:18" x14ac:dyDescent="0.3">
      <c r="A5" s="4" t="s">
        <v>443</v>
      </c>
      <c r="B5" s="4"/>
      <c r="C5" s="11">
        <v>1</v>
      </c>
      <c r="D5" s="4" t="s">
        <v>179</v>
      </c>
      <c r="E5" s="4" t="s">
        <v>180</v>
      </c>
      <c r="F5" s="4" t="s">
        <v>433</v>
      </c>
      <c r="G5" s="11">
        <v>0</v>
      </c>
      <c r="H5" s="11"/>
      <c r="I5" s="11"/>
      <c r="J5" s="11"/>
      <c r="K5" s="11"/>
      <c r="L5" s="11"/>
      <c r="M5" s="11"/>
      <c r="N5" s="11"/>
      <c r="O5" s="11" t="s">
        <v>434</v>
      </c>
      <c r="P5" s="9"/>
      <c r="Q5" s="5">
        <f>IFERROR(VLOOKUP($D5,LISTINO!$B:$I,6,FALSE),IFERROR(VLOOKUP($E5,LISTINO!$C:$I,5,FALSE),""))</f>
        <v>0</v>
      </c>
      <c r="R5" s="12">
        <f t="shared" si="0"/>
        <v>0</v>
      </c>
    </row>
    <row r="6" spans="1:18" x14ac:dyDescent="0.3">
      <c r="A6" s="4" t="s">
        <v>443</v>
      </c>
      <c r="B6" s="4"/>
      <c r="C6" s="11">
        <v>1</v>
      </c>
      <c r="D6" s="4" t="s">
        <v>159</v>
      </c>
      <c r="E6" s="4" t="s">
        <v>160</v>
      </c>
      <c r="F6" s="4" t="s">
        <v>433</v>
      </c>
      <c r="G6" s="11">
        <v>0</v>
      </c>
      <c r="H6" s="11"/>
      <c r="I6" s="11"/>
      <c r="J6" s="11"/>
      <c r="K6" s="11"/>
      <c r="L6" s="11"/>
      <c r="M6" s="11"/>
      <c r="N6" s="11"/>
      <c r="O6" s="11" t="s">
        <v>434</v>
      </c>
      <c r="P6" s="9"/>
      <c r="Q6" s="5">
        <f>IFERROR(VLOOKUP($D6,LISTINO!$B:$I,6,FALSE),IFERROR(VLOOKUP($E6,LISTINO!$C:$I,5,FALSE),""))</f>
        <v>0</v>
      </c>
      <c r="R6" s="12">
        <f t="shared" si="0"/>
        <v>0</v>
      </c>
    </row>
    <row r="7" spans="1:18" x14ac:dyDescent="0.3">
      <c r="A7" s="4" t="s">
        <v>443</v>
      </c>
      <c r="B7" s="4"/>
      <c r="C7" s="11">
        <v>1</v>
      </c>
      <c r="D7" s="4" t="s">
        <v>181</v>
      </c>
      <c r="E7" s="4" t="s">
        <v>182</v>
      </c>
      <c r="F7" s="4" t="s">
        <v>433</v>
      </c>
      <c r="G7" s="11">
        <v>0</v>
      </c>
      <c r="H7" s="11"/>
      <c r="I7" s="11"/>
      <c r="J7" s="11"/>
      <c r="K7" s="11"/>
      <c r="L7" s="11"/>
      <c r="M7" s="11"/>
      <c r="N7" s="11"/>
      <c r="O7" s="11" t="s">
        <v>434</v>
      </c>
      <c r="P7" s="9"/>
      <c r="Q7" s="5">
        <f>IFERROR(VLOOKUP($D7,LISTINO!$B:$I,6,FALSE),IFERROR(VLOOKUP($E7,LISTINO!$C:$I,5,FALSE),""))</f>
        <v>0</v>
      </c>
      <c r="R7" s="12">
        <f t="shared" si="0"/>
        <v>0</v>
      </c>
    </row>
    <row r="8" spans="1:18" x14ac:dyDescent="0.3">
      <c r="A8" s="4" t="s">
        <v>443</v>
      </c>
      <c r="B8" s="4"/>
      <c r="C8" s="11">
        <v>1</v>
      </c>
      <c r="D8" s="4" t="s">
        <v>161</v>
      </c>
      <c r="E8" s="4" t="s">
        <v>162</v>
      </c>
      <c r="F8" s="4" t="s">
        <v>433</v>
      </c>
      <c r="G8" s="11">
        <v>0</v>
      </c>
      <c r="H8" s="11"/>
      <c r="I8" s="11"/>
      <c r="J8" s="11"/>
      <c r="K8" s="11"/>
      <c r="L8" s="11"/>
      <c r="M8" s="11"/>
      <c r="N8" s="11"/>
      <c r="O8" s="11" t="s">
        <v>434</v>
      </c>
      <c r="P8" s="9"/>
      <c r="Q8" s="5">
        <f>IFERROR(VLOOKUP($D8,LISTINO!$B:$I,6,FALSE),IFERROR(VLOOKUP($E8,LISTINO!$C:$I,5,FALSE),""))</f>
        <v>0</v>
      </c>
      <c r="R8" s="12">
        <f t="shared" si="0"/>
        <v>0</v>
      </c>
    </row>
    <row r="9" spans="1:18" x14ac:dyDescent="0.3">
      <c r="A9" s="4" t="s">
        <v>443</v>
      </c>
      <c r="B9" s="4"/>
      <c r="C9" s="11">
        <v>1</v>
      </c>
      <c r="D9" s="4" t="s">
        <v>183</v>
      </c>
      <c r="E9" s="4" t="s">
        <v>184</v>
      </c>
      <c r="F9" s="4" t="s">
        <v>433</v>
      </c>
      <c r="G9" s="11">
        <v>0</v>
      </c>
      <c r="H9" s="11"/>
      <c r="I9" s="11"/>
      <c r="J9" s="11"/>
      <c r="K9" s="11"/>
      <c r="L9" s="11"/>
      <c r="M9" s="11"/>
      <c r="N9" s="11"/>
      <c r="O9" s="11" t="s">
        <v>434</v>
      </c>
      <c r="P9" s="9"/>
      <c r="Q9" s="5">
        <f>IFERROR(VLOOKUP($D9,LISTINO!$B:$I,6,FALSE),IFERROR(VLOOKUP($E9,LISTINO!$C:$I,5,FALSE),""))</f>
        <v>0</v>
      </c>
      <c r="R9" s="12">
        <f t="shared" si="0"/>
        <v>0</v>
      </c>
    </row>
    <row r="10" spans="1:18" x14ac:dyDescent="0.3">
      <c r="A10" s="4" t="s">
        <v>443</v>
      </c>
      <c r="B10" s="4"/>
      <c r="C10" s="11">
        <v>1</v>
      </c>
      <c r="D10" s="4" t="s">
        <v>163</v>
      </c>
      <c r="E10" s="4" t="s">
        <v>164</v>
      </c>
      <c r="F10" s="4" t="s">
        <v>433</v>
      </c>
      <c r="G10" s="11">
        <v>0</v>
      </c>
      <c r="H10" s="11"/>
      <c r="I10" s="11"/>
      <c r="J10" s="11"/>
      <c r="K10" s="11"/>
      <c r="L10" s="11"/>
      <c r="M10" s="11"/>
      <c r="N10" s="11"/>
      <c r="O10" s="11" t="s">
        <v>434</v>
      </c>
      <c r="P10" s="9"/>
      <c r="Q10" s="5">
        <f>IFERROR(VLOOKUP($D10,LISTINO!$B:$I,6,FALSE),IFERROR(VLOOKUP($E10,LISTINO!$C:$I,5,FALSE),""))</f>
        <v>0</v>
      </c>
      <c r="R10" s="12">
        <f t="shared" si="0"/>
        <v>0</v>
      </c>
    </row>
    <row r="11" spans="1:18" x14ac:dyDescent="0.3">
      <c r="A11" s="4" t="s">
        <v>443</v>
      </c>
      <c r="B11" s="4"/>
      <c r="C11" s="11">
        <v>1</v>
      </c>
      <c r="D11" s="4" t="s">
        <v>185</v>
      </c>
      <c r="E11" s="4" t="s">
        <v>186</v>
      </c>
      <c r="F11" s="4" t="s">
        <v>433</v>
      </c>
      <c r="G11" s="11">
        <v>0</v>
      </c>
      <c r="H11" s="11"/>
      <c r="I11" s="11"/>
      <c r="J11" s="11"/>
      <c r="K11" s="11"/>
      <c r="L11" s="11"/>
      <c r="M11" s="11"/>
      <c r="N11" s="11"/>
      <c r="O11" s="11" t="s">
        <v>434</v>
      </c>
      <c r="P11" s="9"/>
      <c r="Q11" s="5">
        <f>IFERROR(VLOOKUP($D11,LISTINO!$B:$I,6,FALSE),IFERROR(VLOOKUP($E11,LISTINO!$C:$I,5,FALSE),""))</f>
        <v>0</v>
      </c>
      <c r="R11" s="12">
        <f t="shared" si="0"/>
        <v>0</v>
      </c>
    </row>
    <row r="12" spans="1:18" x14ac:dyDescent="0.3">
      <c r="A12" s="4" t="s">
        <v>443</v>
      </c>
      <c r="B12" s="4"/>
      <c r="C12" s="11">
        <v>1</v>
      </c>
      <c r="D12" s="4" t="s">
        <v>167</v>
      </c>
      <c r="E12" s="4" t="s">
        <v>168</v>
      </c>
      <c r="F12" s="4" t="s">
        <v>433</v>
      </c>
      <c r="G12" s="11">
        <v>0</v>
      </c>
      <c r="H12" s="11"/>
      <c r="I12" s="11"/>
      <c r="J12" s="11"/>
      <c r="K12" s="11"/>
      <c r="L12" s="11"/>
      <c r="M12" s="11"/>
      <c r="N12" s="11"/>
      <c r="O12" s="11" t="s">
        <v>434</v>
      </c>
      <c r="P12" s="9"/>
      <c r="Q12" s="5">
        <f>IFERROR(VLOOKUP($D12,LISTINO!$B:$I,6,FALSE),IFERROR(VLOOKUP($E12,LISTINO!$C:$I,5,FALSE),""))</f>
        <v>0</v>
      </c>
      <c r="R12" s="12">
        <f t="shared" si="0"/>
        <v>0</v>
      </c>
    </row>
    <row r="13" spans="1:18" x14ac:dyDescent="0.3">
      <c r="A13" s="4" t="s">
        <v>443</v>
      </c>
      <c r="B13" s="4"/>
      <c r="C13" s="11">
        <v>1</v>
      </c>
      <c r="D13" s="4" t="s">
        <v>189</v>
      </c>
      <c r="E13" s="4" t="s">
        <v>190</v>
      </c>
      <c r="F13" s="4" t="s">
        <v>433</v>
      </c>
      <c r="G13" s="11">
        <v>0</v>
      </c>
      <c r="H13" s="11"/>
      <c r="I13" s="11"/>
      <c r="J13" s="11"/>
      <c r="K13" s="11"/>
      <c r="L13" s="11"/>
      <c r="M13" s="11"/>
      <c r="N13" s="11"/>
      <c r="O13" s="11" t="s">
        <v>434</v>
      </c>
      <c r="P13" s="9"/>
      <c r="Q13" s="5">
        <f>IFERROR(VLOOKUP($D13,LISTINO!$B:$I,6,FALSE),IFERROR(VLOOKUP($E13,LISTINO!$C:$I,5,FALSE),""))</f>
        <v>0</v>
      </c>
      <c r="R13" s="12">
        <f t="shared" si="0"/>
        <v>0</v>
      </c>
    </row>
    <row r="14" spans="1:18" x14ac:dyDescent="0.3">
      <c r="A14" s="4" t="s">
        <v>443</v>
      </c>
      <c r="B14" s="4"/>
      <c r="C14" s="11">
        <v>1</v>
      </c>
      <c r="D14" s="4" t="s">
        <v>169</v>
      </c>
      <c r="E14" s="4" t="s">
        <v>170</v>
      </c>
      <c r="F14" s="4" t="s">
        <v>433</v>
      </c>
      <c r="G14" s="11">
        <v>0</v>
      </c>
      <c r="H14" s="11"/>
      <c r="I14" s="11"/>
      <c r="J14" s="11"/>
      <c r="K14" s="11"/>
      <c r="L14" s="11"/>
      <c r="M14" s="11"/>
      <c r="N14" s="11"/>
      <c r="O14" s="11" t="s">
        <v>434</v>
      </c>
      <c r="P14" s="9"/>
      <c r="Q14" s="5">
        <f>IFERROR(VLOOKUP($D14,LISTINO!$B:$I,6,FALSE),IFERROR(VLOOKUP($E14,LISTINO!$C:$I,5,FALSE),""))</f>
        <v>0</v>
      </c>
      <c r="R14" s="12">
        <f t="shared" si="0"/>
        <v>0</v>
      </c>
    </row>
    <row r="15" spans="1:18" x14ac:dyDescent="0.3">
      <c r="A15" s="4" t="s">
        <v>443</v>
      </c>
      <c r="B15" s="4"/>
      <c r="C15" s="11">
        <v>1</v>
      </c>
      <c r="D15" s="4" t="s">
        <v>191</v>
      </c>
      <c r="E15" s="4" t="s">
        <v>192</v>
      </c>
      <c r="F15" s="4" t="s">
        <v>433</v>
      </c>
      <c r="G15" s="11">
        <v>0</v>
      </c>
      <c r="H15" s="11"/>
      <c r="I15" s="11"/>
      <c r="J15" s="11"/>
      <c r="K15" s="11"/>
      <c r="L15" s="11"/>
      <c r="M15" s="11"/>
      <c r="N15" s="11"/>
      <c r="O15" s="11" t="s">
        <v>434</v>
      </c>
      <c r="P15" s="9"/>
      <c r="Q15" s="5">
        <f>IFERROR(VLOOKUP($D15,LISTINO!$B:$I,6,FALSE),IFERROR(VLOOKUP($E15,LISTINO!$C:$I,5,FALSE),""))</f>
        <v>0</v>
      </c>
      <c r="R15" s="12">
        <f t="shared" si="0"/>
        <v>0</v>
      </c>
    </row>
    <row r="16" spans="1:18" x14ac:dyDescent="0.3">
      <c r="A16" s="4" t="s">
        <v>443</v>
      </c>
      <c r="B16" s="4"/>
      <c r="C16" s="11">
        <v>1</v>
      </c>
      <c r="D16" s="4" t="s">
        <v>171</v>
      </c>
      <c r="E16" s="4" t="s">
        <v>172</v>
      </c>
      <c r="F16" s="4" t="s">
        <v>433</v>
      </c>
      <c r="G16" s="11">
        <v>0</v>
      </c>
      <c r="H16" s="11"/>
      <c r="I16" s="11"/>
      <c r="J16" s="11"/>
      <c r="K16" s="11"/>
      <c r="L16" s="11"/>
      <c r="M16" s="11"/>
      <c r="N16" s="11"/>
      <c r="O16" s="11" t="s">
        <v>434</v>
      </c>
      <c r="P16" s="9"/>
      <c r="Q16" s="5">
        <f>IFERROR(VLOOKUP($D16,LISTINO!$B:$I,6,FALSE),IFERROR(VLOOKUP($E16,LISTINO!$C:$I,5,FALSE),""))</f>
        <v>0</v>
      </c>
      <c r="R16" s="12">
        <f t="shared" si="0"/>
        <v>0</v>
      </c>
    </row>
    <row r="17" spans="1:18" x14ac:dyDescent="0.3">
      <c r="A17" s="4" t="s">
        <v>443</v>
      </c>
      <c r="B17" s="4"/>
      <c r="C17" s="11">
        <v>1</v>
      </c>
      <c r="D17" s="4" t="s">
        <v>193</v>
      </c>
      <c r="E17" s="4" t="s">
        <v>194</v>
      </c>
      <c r="F17" s="4" t="s">
        <v>433</v>
      </c>
      <c r="G17" s="11">
        <v>0</v>
      </c>
      <c r="H17" s="11"/>
      <c r="I17" s="11"/>
      <c r="J17" s="11"/>
      <c r="K17" s="11"/>
      <c r="L17" s="11"/>
      <c r="M17" s="11"/>
      <c r="N17" s="11"/>
      <c r="O17" s="11" t="s">
        <v>434</v>
      </c>
      <c r="P17" s="9"/>
      <c r="Q17" s="5">
        <f>IFERROR(VLOOKUP($D17,LISTINO!$B:$I,6,FALSE),IFERROR(VLOOKUP($E17,LISTINO!$C:$I,5,FALSE),""))</f>
        <v>0</v>
      </c>
      <c r="R17" s="12">
        <f t="shared" si="0"/>
        <v>0</v>
      </c>
    </row>
    <row r="18" spans="1:18" x14ac:dyDescent="0.3">
      <c r="A18" s="4" t="s">
        <v>443</v>
      </c>
      <c r="B18" s="4"/>
      <c r="C18" s="11">
        <v>1</v>
      </c>
      <c r="D18" s="4" t="s">
        <v>173</v>
      </c>
      <c r="E18" s="4" t="s">
        <v>174</v>
      </c>
      <c r="F18" s="4" t="s">
        <v>433</v>
      </c>
      <c r="G18" s="11">
        <v>0</v>
      </c>
      <c r="H18" s="11"/>
      <c r="I18" s="11"/>
      <c r="J18" s="11"/>
      <c r="K18" s="11"/>
      <c r="L18" s="11"/>
      <c r="M18" s="11"/>
      <c r="N18" s="11"/>
      <c r="O18" s="11" t="s">
        <v>434</v>
      </c>
      <c r="P18" s="9"/>
      <c r="Q18" s="5">
        <f>IFERROR(VLOOKUP($D18,LISTINO!$B:$I,6,FALSE),IFERROR(VLOOKUP($E18,LISTINO!$C:$I,5,FALSE),""))</f>
        <v>0</v>
      </c>
      <c r="R18" s="12">
        <f t="shared" si="0"/>
        <v>0</v>
      </c>
    </row>
    <row r="19" spans="1:18" x14ac:dyDescent="0.3">
      <c r="A19" s="4" t="s">
        <v>443</v>
      </c>
      <c r="B19" s="4"/>
      <c r="C19" s="11">
        <v>1</v>
      </c>
      <c r="D19" s="4" t="s">
        <v>195</v>
      </c>
      <c r="E19" s="4" t="s">
        <v>196</v>
      </c>
      <c r="F19" s="4" t="s">
        <v>433</v>
      </c>
      <c r="G19" s="11">
        <v>0</v>
      </c>
      <c r="H19" s="11"/>
      <c r="I19" s="11"/>
      <c r="J19" s="11"/>
      <c r="K19" s="11"/>
      <c r="L19" s="11"/>
      <c r="M19" s="11"/>
      <c r="N19" s="11"/>
      <c r="O19" s="11" t="s">
        <v>434</v>
      </c>
      <c r="P19" s="9"/>
      <c r="Q19" s="5">
        <f>IFERROR(VLOOKUP($D19,LISTINO!$B:$I,6,FALSE),IFERROR(VLOOKUP($E19,LISTINO!$C:$I,5,FALSE),""))</f>
        <v>0</v>
      </c>
      <c r="R19" s="12">
        <f t="shared" si="0"/>
        <v>0</v>
      </c>
    </row>
    <row r="20" spans="1:18" x14ac:dyDescent="0.3">
      <c r="A20" s="4" t="s">
        <v>443</v>
      </c>
      <c r="B20" s="4"/>
      <c r="C20" s="11">
        <v>1</v>
      </c>
      <c r="D20" s="4" t="s">
        <v>175</v>
      </c>
      <c r="E20" s="4" t="s">
        <v>176</v>
      </c>
      <c r="F20" s="4" t="s">
        <v>433</v>
      </c>
      <c r="G20" s="11">
        <v>0</v>
      </c>
      <c r="H20" s="11"/>
      <c r="I20" s="11"/>
      <c r="J20" s="11"/>
      <c r="K20" s="11"/>
      <c r="L20" s="11"/>
      <c r="M20" s="11"/>
      <c r="N20" s="11"/>
      <c r="O20" s="11" t="s">
        <v>434</v>
      </c>
      <c r="P20" s="9"/>
      <c r="Q20" s="5">
        <f>IFERROR(VLOOKUP($D20,LISTINO!$B:$I,6,FALSE),IFERROR(VLOOKUP($E20,LISTINO!$C:$I,5,FALSE),""))</f>
        <v>0</v>
      </c>
      <c r="R20" s="12">
        <f t="shared" si="0"/>
        <v>0</v>
      </c>
    </row>
    <row r="21" spans="1:18" x14ac:dyDescent="0.3">
      <c r="A21" s="4" t="s">
        <v>443</v>
      </c>
      <c r="B21" s="4"/>
      <c r="C21" s="11">
        <v>1</v>
      </c>
      <c r="D21" s="4" t="s">
        <v>197</v>
      </c>
      <c r="E21" s="4" t="s">
        <v>198</v>
      </c>
      <c r="F21" s="4" t="s">
        <v>433</v>
      </c>
      <c r="G21" s="11">
        <v>0</v>
      </c>
      <c r="H21" s="11"/>
      <c r="I21" s="11"/>
      <c r="J21" s="11"/>
      <c r="K21" s="11"/>
      <c r="L21" s="11"/>
      <c r="M21" s="11"/>
      <c r="N21" s="11"/>
      <c r="O21" s="11" t="s">
        <v>434</v>
      </c>
      <c r="P21" s="9"/>
      <c r="Q21" s="5">
        <f>IFERROR(VLOOKUP($D21,LISTINO!$B:$I,6,FALSE),IFERROR(VLOOKUP($E21,LISTINO!$C:$I,5,FALSE),""))</f>
        <v>0</v>
      </c>
      <c r="R21" s="12">
        <f t="shared" si="0"/>
        <v>0</v>
      </c>
    </row>
    <row r="22" spans="1:18" x14ac:dyDescent="0.3">
      <c r="A22" s="4" t="s">
        <v>443</v>
      </c>
      <c r="B22" s="4"/>
      <c r="C22" s="11">
        <v>1</v>
      </c>
      <c r="D22" s="4" t="s">
        <v>177</v>
      </c>
      <c r="E22" s="4" t="s">
        <v>178</v>
      </c>
      <c r="F22" s="4" t="s">
        <v>433</v>
      </c>
      <c r="G22" s="11">
        <v>0</v>
      </c>
      <c r="H22" s="11"/>
      <c r="I22" s="11"/>
      <c r="J22" s="11"/>
      <c r="K22" s="11"/>
      <c r="L22" s="11"/>
      <c r="M22" s="11"/>
      <c r="N22" s="11"/>
      <c r="O22" s="11" t="s">
        <v>434</v>
      </c>
      <c r="P22" s="9"/>
      <c r="Q22" s="5">
        <f>IFERROR(VLOOKUP($D22,LISTINO!$B:$I,6,FALSE),IFERROR(VLOOKUP($E22,LISTINO!$C:$I,5,FALSE),""))</f>
        <v>0</v>
      </c>
      <c r="R22" s="12">
        <f t="shared" si="0"/>
        <v>0</v>
      </c>
    </row>
    <row r="23" spans="1:18" x14ac:dyDescent="0.3">
      <c r="A23" s="4" t="s">
        <v>443</v>
      </c>
      <c r="B23" s="4"/>
      <c r="C23" s="11">
        <v>1</v>
      </c>
      <c r="D23" s="4" t="s">
        <v>199</v>
      </c>
      <c r="E23" s="4" t="s">
        <v>200</v>
      </c>
      <c r="F23" s="4" t="s">
        <v>433</v>
      </c>
      <c r="G23" s="11">
        <v>0</v>
      </c>
      <c r="H23" s="11"/>
      <c r="I23" s="11"/>
      <c r="J23" s="11"/>
      <c r="K23" s="11"/>
      <c r="L23" s="11"/>
      <c r="M23" s="11"/>
      <c r="N23" s="11"/>
      <c r="O23" s="11" t="s">
        <v>434</v>
      </c>
      <c r="P23" s="9"/>
      <c r="Q23" s="5">
        <f>IFERROR(VLOOKUP($D23,LISTINO!$B:$I,6,FALSE),IFERROR(VLOOKUP($E23,LISTINO!$C:$I,5,FALSE),""))</f>
        <v>0</v>
      </c>
      <c r="R23" s="12">
        <f t="shared" si="0"/>
        <v>0</v>
      </c>
    </row>
    <row r="24" spans="1:18" x14ac:dyDescent="0.3">
      <c r="A24" s="4" t="s">
        <v>443</v>
      </c>
      <c r="B24" s="4"/>
      <c r="C24" s="11">
        <v>2</v>
      </c>
      <c r="D24" s="4" t="s">
        <v>201</v>
      </c>
      <c r="E24" s="4" t="s">
        <v>478</v>
      </c>
      <c r="F24" s="4" t="s">
        <v>433</v>
      </c>
      <c r="G24" s="11">
        <v>1</v>
      </c>
      <c r="H24" s="11"/>
      <c r="I24" s="11"/>
      <c r="J24" s="11"/>
      <c r="K24" s="11"/>
      <c r="L24" s="11"/>
      <c r="M24" s="11"/>
      <c r="N24" s="11"/>
      <c r="O24" s="11" t="s">
        <v>434</v>
      </c>
      <c r="P24" s="9"/>
      <c r="Q24" s="5">
        <f>IFERROR(VLOOKUP($D24,LISTINO!$B:$I,6,FALSE),IFERROR(VLOOKUP($E24,LISTINO!$C:$I,5,FALSE),""))</f>
        <v>0</v>
      </c>
      <c r="R24" s="12">
        <f t="shared" si="0"/>
        <v>0</v>
      </c>
    </row>
    <row r="25" spans="1:18" x14ac:dyDescent="0.3">
      <c r="A25" s="4" t="s">
        <v>443</v>
      </c>
      <c r="B25" s="4"/>
      <c r="C25" s="11">
        <v>2</v>
      </c>
      <c r="D25" s="4" t="s">
        <v>241</v>
      </c>
      <c r="E25" s="4" t="s">
        <v>242</v>
      </c>
      <c r="F25" s="4" t="s">
        <v>433</v>
      </c>
      <c r="G25" s="11">
        <v>0</v>
      </c>
      <c r="H25" s="11"/>
      <c r="I25" s="11"/>
      <c r="J25" s="11"/>
      <c r="K25" s="11"/>
      <c r="L25" s="11"/>
      <c r="M25" s="11"/>
      <c r="N25" s="11"/>
      <c r="O25" s="11" t="s">
        <v>434</v>
      </c>
      <c r="P25" s="9"/>
      <c r="Q25" s="5">
        <f>IFERROR(VLOOKUP($D25,LISTINO!$B:$I,6,FALSE),IFERROR(VLOOKUP($E25,LISTINO!$C:$I,5,FALSE),""))</f>
        <v>0</v>
      </c>
      <c r="R25" s="12">
        <f t="shared" si="0"/>
        <v>0</v>
      </c>
    </row>
    <row r="26" spans="1:18" x14ac:dyDescent="0.3">
      <c r="A26" s="4" t="s">
        <v>443</v>
      </c>
      <c r="B26" s="4"/>
      <c r="C26" s="11">
        <v>2</v>
      </c>
      <c r="D26" s="4" t="s">
        <v>205</v>
      </c>
      <c r="E26" s="4" t="s">
        <v>206</v>
      </c>
      <c r="F26" s="4" t="s">
        <v>433</v>
      </c>
      <c r="G26" s="11">
        <v>0</v>
      </c>
      <c r="H26" s="11"/>
      <c r="I26" s="11"/>
      <c r="J26" s="11"/>
      <c r="K26" s="11"/>
      <c r="L26" s="11"/>
      <c r="M26" s="11"/>
      <c r="N26" s="11"/>
      <c r="O26" s="11" t="s">
        <v>434</v>
      </c>
      <c r="P26" s="9"/>
      <c r="Q26" s="5">
        <f>IFERROR(VLOOKUP($D26,LISTINO!$B:$I,6,FALSE),IFERROR(VLOOKUP($E26,LISTINO!$C:$I,5,FALSE),""))</f>
        <v>0</v>
      </c>
      <c r="R26" s="12">
        <f t="shared" si="0"/>
        <v>0</v>
      </c>
    </row>
    <row r="27" spans="1:18" x14ac:dyDescent="0.3">
      <c r="A27" s="4" t="s">
        <v>443</v>
      </c>
      <c r="B27" s="4"/>
      <c r="C27" s="11">
        <v>2</v>
      </c>
      <c r="D27" s="4" t="s">
        <v>245</v>
      </c>
      <c r="E27" s="4" t="s">
        <v>246</v>
      </c>
      <c r="F27" s="4" t="s">
        <v>433</v>
      </c>
      <c r="G27" s="11">
        <v>0</v>
      </c>
      <c r="H27" s="11"/>
      <c r="I27" s="11"/>
      <c r="J27" s="11"/>
      <c r="K27" s="11"/>
      <c r="L27" s="11"/>
      <c r="M27" s="11"/>
      <c r="N27" s="11"/>
      <c r="O27" s="11" t="s">
        <v>434</v>
      </c>
      <c r="P27" s="9"/>
      <c r="Q27" s="5">
        <f>IFERROR(VLOOKUP($D27,LISTINO!$B:$I,6,FALSE),IFERROR(VLOOKUP($E27,LISTINO!$C:$I,5,FALSE),""))</f>
        <v>0</v>
      </c>
      <c r="R27" s="12">
        <f t="shared" si="0"/>
        <v>0</v>
      </c>
    </row>
    <row r="28" spans="1:18" x14ac:dyDescent="0.3">
      <c r="A28" s="4" t="s">
        <v>443</v>
      </c>
      <c r="B28" s="4"/>
      <c r="C28" s="11">
        <v>2</v>
      </c>
      <c r="D28" s="4" t="s">
        <v>207</v>
      </c>
      <c r="E28" s="4" t="s">
        <v>208</v>
      </c>
      <c r="F28" s="4" t="s">
        <v>433</v>
      </c>
      <c r="G28" s="11">
        <v>0</v>
      </c>
      <c r="H28" s="11"/>
      <c r="I28" s="11"/>
      <c r="J28" s="11"/>
      <c r="K28" s="11"/>
      <c r="L28" s="11"/>
      <c r="M28" s="11"/>
      <c r="N28" s="11"/>
      <c r="O28" s="11" t="s">
        <v>434</v>
      </c>
      <c r="P28" s="9"/>
      <c r="Q28" s="5">
        <f>IFERROR(VLOOKUP($D28,LISTINO!$B:$I,6,FALSE),IFERROR(VLOOKUP($E28,LISTINO!$C:$I,5,FALSE),""))</f>
        <v>0</v>
      </c>
      <c r="R28" s="12">
        <f t="shared" si="0"/>
        <v>0</v>
      </c>
    </row>
    <row r="29" spans="1:18" x14ac:dyDescent="0.3">
      <c r="A29" s="4" t="s">
        <v>443</v>
      </c>
      <c r="B29" s="4"/>
      <c r="C29" s="11">
        <v>2</v>
      </c>
      <c r="D29" s="4" t="s">
        <v>247</v>
      </c>
      <c r="E29" s="4" t="s">
        <v>248</v>
      </c>
      <c r="F29" s="4" t="s">
        <v>433</v>
      </c>
      <c r="G29" s="11">
        <v>0</v>
      </c>
      <c r="H29" s="11"/>
      <c r="I29" s="11"/>
      <c r="J29" s="11"/>
      <c r="K29" s="11"/>
      <c r="L29" s="11"/>
      <c r="M29" s="11"/>
      <c r="N29" s="11"/>
      <c r="O29" s="11" t="s">
        <v>434</v>
      </c>
      <c r="P29" s="9"/>
      <c r="Q29" s="5">
        <f>IFERROR(VLOOKUP($D29,LISTINO!$B:$I,6,FALSE),IFERROR(VLOOKUP($E29,LISTINO!$C:$I,5,FALSE),""))</f>
        <v>0</v>
      </c>
      <c r="R29" s="12">
        <f t="shared" si="0"/>
        <v>0</v>
      </c>
    </row>
    <row r="30" spans="1:18" x14ac:dyDescent="0.3">
      <c r="A30" s="4" t="s">
        <v>443</v>
      </c>
      <c r="B30" s="4"/>
      <c r="C30" s="11">
        <v>2</v>
      </c>
      <c r="D30" s="4" t="s">
        <v>209</v>
      </c>
      <c r="E30" s="4" t="s">
        <v>210</v>
      </c>
      <c r="F30" s="4" t="s">
        <v>433</v>
      </c>
      <c r="G30" s="11">
        <v>0</v>
      </c>
      <c r="H30" s="11"/>
      <c r="I30" s="11"/>
      <c r="J30" s="11"/>
      <c r="K30" s="11"/>
      <c r="L30" s="11"/>
      <c r="M30" s="11"/>
      <c r="N30" s="11"/>
      <c r="O30" s="11" t="s">
        <v>434</v>
      </c>
      <c r="P30" s="9"/>
      <c r="Q30" s="5">
        <f>IFERROR(VLOOKUP($D30,LISTINO!$B:$I,6,FALSE),IFERROR(VLOOKUP($E30,LISTINO!$C:$I,5,FALSE),""))</f>
        <v>0</v>
      </c>
      <c r="R30" s="12">
        <f t="shared" si="0"/>
        <v>0</v>
      </c>
    </row>
    <row r="31" spans="1:18" x14ac:dyDescent="0.3">
      <c r="A31" s="4" t="s">
        <v>443</v>
      </c>
      <c r="B31" s="4"/>
      <c r="C31" s="11">
        <v>2</v>
      </c>
      <c r="D31" s="4" t="s">
        <v>249</v>
      </c>
      <c r="E31" s="4" t="s">
        <v>250</v>
      </c>
      <c r="F31" s="4" t="s">
        <v>433</v>
      </c>
      <c r="G31" s="11">
        <v>0</v>
      </c>
      <c r="H31" s="11"/>
      <c r="I31" s="11"/>
      <c r="J31" s="11"/>
      <c r="K31" s="11"/>
      <c r="L31" s="11"/>
      <c r="M31" s="11"/>
      <c r="N31" s="11"/>
      <c r="O31" s="11" t="s">
        <v>434</v>
      </c>
      <c r="P31" s="9"/>
      <c r="Q31" s="5">
        <f>IFERROR(VLOOKUP($D31,LISTINO!$B:$I,6,FALSE),IFERROR(VLOOKUP($E31,LISTINO!$C:$I,5,FALSE),""))</f>
        <v>0</v>
      </c>
      <c r="R31" s="12">
        <f t="shared" si="0"/>
        <v>0</v>
      </c>
    </row>
    <row r="32" spans="1:18" x14ac:dyDescent="0.3">
      <c r="A32" s="4" t="s">
        <v>443</v>
      </c>
      <c r="B32" s="4"/>
      <c r="C32" s="11">
        <v>2</v>
      </c>
      <c r="D32" s="4" t="s">
        <v>211</v>
      </c>
      <c r="E32" s="4" t="s">
        <v>212</v>
      </c>
      <c r="F32" s="4" t="s">
        <v>433</v>
      </c>
      <c r="G32" s="11">
        <v>0</v>
      </c>
      <c r="H32" s="11"/>
      <c r="I32" s="11"/>
      <c r="J32" s="11"/>
      <c r="K32" s="11"/>
      <c r="L32" s="11"/>
      <c r="M32" s="11"/>
      <c r="N32" s="11"/>
      <c r="O32" s="11" t="s">
        <v>434</v>
      </c>
      <c r="P32" s="9"/>
      <c r="Q32" s="5">
        <f>IFERROR(VLOOKUP($D32,LISTINO!$B:$I,6,FALSE),IFERROR(VLOOKUP($E32,LISTINO!$C:$I,5,FALSE),""))</f>
        <v>0</v>
      </c>
      <c r="R32" s="12">
        <f t="shared" si="0"/>
        <v>0</v>
      </c>
    </row>
    <row r="33" spans="1:18" x14ac:dyDescent="0.3">
      <c r="A33" s="4" t="s">
        <v>443</v>
      </c>
      <c r="B33" s="4"/>
      <c r="C33" s="11">
        <v>2</v>
      </c>
      <c r="D33" s="4" t="s">
        <v>251</v>
      </c>
      <c r="E33" s="4" t="s">
        <v>252</v>
      </c>
      <c r="F33" s="4" t="s">
        <v>433</v>
      </c>
      <c r="G33" s="11">
        <v>0</v>
      </c>
      <c r="H33" s="11"/>
      <c r="I33" s="11"/>
      <c r="J33" s="11"/>
      <c r="K33" s="11"/>
      <c r="L33" s="11"/>
      <c r="M33" s="11"/>
      <c r="N33" s="11"/>
      <c r="O33" s="11" t="s">
        <v>434</v>
      </c>
      <c r="P33" s="9"/>
      <c r="Q33" s="5">
        <f>IFERROR(VLOOKUP($D33,LISTINO!$B:$I,6,FALSE),IFERROR(VLOOKUP($E33,LISTINO!$C:$I,5,FALSE),""))</f>
        <v>0</v>
      </c>
      <c r="R33" s="12">
        <f t="shared" si="0"/>
        <v>0</v>
      </c>
    </row>
    <row r="34" spans="1:18" x14ac:dyDescent="0.3">
      <c r="A34" s="4" t="s">
        <v>443</v>
      </c>
      <c r="B34" s="4"/>
      <c r="C34" s="11">
        <v>2</v>
      </c>
      <c r="D34" s="4" t="s">
        <v>213</v>
      </c>
      <c r="E34" s="4" t="s">
        <v>214</v>
      </c>
      <c r="F34" s="4" t="s">
        <v>433</v>
      </c>
      <c r="G34" s="11">
        <v>0</v>
      </c>
      <c r="H34" s="11"/>
      <c r="I34" s="11"/>
      <c r="J34" s="11"/>
      <c r="K34" s="11"/>
      <c r="L34" s="11"/>
      <c r="M34" s="11"/>
      <c r="N34" s="11"/>
      <c r="O34" s="11" t="s">
        <v>434</v>
      </c>
      <c r="P34" s="9"/>
      <c r="Q34" s="5">
        <f>IFERROR(VLOOKUP($D34,LISTINO!$B:$I,6,FALSE),IFERROR(VLOOKUP($E34,LISTINO!$C:$I,5,FALSE),""))</f>
        <v>0</v>
      </c>
      <c r="R34" s="12">
        <f t="shared" si="0"/>
        <v>0</v>
      </c>
    </row>
    <row r="35" spans="1:18" x14ac:dyDescent="0.3">
      <c r="A35" s="4" t="s">
        <v>443</v>
      </c>
      <c r="B35" s="4"/>
      <c r="C35" s="11">
        <v>2</v>
      </c>
      <c r="D35" s="4" t="s">
        <v>253</v>
      </c>
      <c r="E35" s="4" t="s">
        <v>254</v>
      </c>
      <c r="F35" s="4" t="s">
        <v>433</v>
      </c>
      <c r="G35" s="11">
        <v>0</v>
      </c>
      <c r="H35" s="11"/>
      <c r="I35" s="11"/>
      <c r="J35" s="11"/>
      <c r="K35" s="11"/>
      <c r="L35" s="11"/>
      <c r="M35" s="11"/>
      <c r="N35" s="11"/>
      <c r="O35" s="11" t="s">
        <v>434</v>
      </c>
      <c r="P35" s="9"/>
      <c r="Q35" s="5">
        <f>IFERROR(VLOOKUP($D35,LISTINO!$B:$I,6,FALSE),IFERROR(VLOOKUP($E35,LISTINO!$C:$I,5,FALSE),""))</f>
        <v>0</v>
      </c>
      <c r="R35" s="12">
        <f t="shared" si="0"/>
        <v>0</v>
      </c>
    </row>
    <row r="36" spans="1:18" x14ac:dyDescent="0.3">
      <c r="A36" s="4" t="s">
        <v>443</v>
      </c>
      <c r="B36" s="4"/>
      <c r="C36" s="11">
        <v>2</v>
      </c>
      <c r="D36" s="4" t="s">
        <v>215</v>
      </c>
      <c r="E36" s="4" t="s">
        <v>216</v>
      </c>
      <c r="F36" s="4" t="s">
        <v>433</v>
      </c>
      <c r="G36" s="11">
        <v>0</v>
      </c>
      <c r="H36" s="11"/>
      <c r="I36" s="11"/>
      <c r="J36" s="11"/>
      <c r="K36" s="11"/>
      <c r="L36" s="11"/>
      <c r="M36" s="11"/>
      <c r="N36" s="11"/>
      <c r="O36" s="11" t="s">
        <v>434</v>
      </c>
      <c r="P36" s="9"/>
      <c r="Q36" s="5">
        <f>IFERROR(VLOOKUP($D36,LISTINO!$B:$I,6,FALSE),IFERROR(VLOOKUP($E36,LISTINO!$C:$I,5,FALSE),""))</f>
        <v>0</v>
      </c>
      <c r="R36" s="12">
        <f t="shared" si="0"/>
        <v>0</v>
      </c>
    </row>
    <row r="37" spans="1:18" x14ac:dyDescent="0.3">
      <c r="A37" s="4" t="s">
        <v>443</v>
      </c>
      <c r="B37" s="4"/>
      <c r="C37" s="11">
        <v>2</v>
      </c>
      <c r="D37" s="4" t="s">
        <v>255</v>
      </c>
      <c r="E37" s="4" t="s">
        <v>256</v>
      </c>
      <c r="F37" s="4" t="s">
        <v>433</v>
      </c>
      <c r="G37" s="11">
        <v>0</v>
      </c>
      <c r="H37" s="11"/>
      <c r="I37" s="11"/>
      <c r="J37" s="11"/>
      <c r="K37" s="11"/>
      <c r="L37" s="11"/>
      <c r="M37" s="11"/>
      <c r="N37" s="11"/>
      <c r="O37" s="11" t="s">
        <v>434</v>
      </c>
      <c r="P37" s="9"/>
      <c r="Q37" s="5">
        <f>IFERROR(VLOOKUP($D37,LISTINO!$B:$I,6,FALSE),IFERROR(VLOOKUP($E37,LISTINO!$C:$I,5,FALSE),""))</f>
        <v>0</v>
      </c>
      <c r="R37" s="12">
        <f t="shared" si="0"/>
        <v>0</v>
      </c>
    </row>
    <row r="38" spans="1:18" x14ac:dyDescent="0.3">
      <c r="A38" s="4" t="s">
        <v>443</v>
      </c>
      <c r="B38" s="4"/>
      <c r="C38" s="11">
        <v>2</v>
      </c>
      <c r="D38" s="4" t="s">
        <v>217</v>
      </c>
      <c r="E38" s="4" t="s">
        <v>218</v>
      </c>
      <c r="F38" s="4" t="s">
        <v>433</v>
      </c>
      <c r="G38" s="11">
        <v>0</v>
      </c>
      <c r="H38" s="11"/>
      <c r="I38" s="11"/>
      <c r="J38" s="11"/>
      <c r="K38" s="11"/>
      <c r="L38" s="11"/>
      <c r="M38" s="11"/>
      <c r="N38" s="11"/>
      <c r="O38" s="11" t="s">
        <v>434</v>
      </c>
      <c r="P38" s="9"/>
      <c r="Q38" s="5">
        <f>IFERROR(VLOOKUP($D38,LISTINO!$B:$I,6,FALSE),IFERROR(VLOOKUP($E38,LISTINO!$C:$I,5,FALSE),""))</f>
        <v>0</v>
      </c>
      <c r="R38" s="12">
        <f t="shared" si="0"/>
        <v>0</v>
      </c>
    </row>
    <row r="39" spans="1:18" x14ac:dyDescent="0.3">
      <c r="A39" s="4" t="s">
        <v>443</v>
      </c>
      <c r="B39" s="4"/>
      <c r="C39" s="11">
        <v>2</v>
      </c>
      <c r="D39" s="4" t="s">
        <v>257</v>
      </c>
      <c r="E39" s="4" t="s">
        <v>258</v>
      </c>
      <c r="F39" s="4" t="s">
        <v>433</v>
      </c>
      <c r="G39" s="11">
        <v>0</v>
      </c>
      <c r="H39" s="11"/>
      <c r="I39" s="11"/>
      <c r="J39" s="11"/>
      <c r="K39" s="11"/>
      <c r="L39" s="11"/>
      <c r="M39" s="11"/>
      <c r="N39" s="11"/>
      <c r="O39" s="11" t="s">
        <v>434</v>
      </c>
      <c r="P39" s="9"/>
      <c r="Q39" s="5">
        <f>IFERROR(VLOOKUP($D39,LISTINO!$B:$I,6,FALSE),IFERROR(VLOOKUP($E39,LISTINO!$C:$I,5,FALSE),""))</f>
        <v>0</v>
      </c>
      <c r="R39" s="12">
        <f t="shared" si="0"/>
        <v>0</v>
      </c>
    </row>
    <row r="40" spans="1:18" x14ac:dyDescent="0.3">
      <c r="A40" s="4" t="s">
        <v>443</v>
      </c>
      <c r="B40" s="4"/>
      <c r="C40" s="11">
        <v>2</v>
      </c>
      <c r="D40" s="4" t="s">
        <v>219</v>
      </c>
      <c r="E40" s="4" t="s">
        <v>220</v>
      </c>
      <c r="F40" s="4" t="s">
        <v>433</v>
      </c>
      <c r="G40" s="11">
        <v>0</v>
      </c>
      <c r="H40" s="11"/>
      <c r="I40" s="11"/>
      <c r="J40" s="11"/>
      <c r="K40" s="11"/>
      <c r="L40" s="11"/>
      <c r="M40" s="11"/>
      <c r="N40" s="11"/>
      <c r="O40" s="11" t="s">
        <v>434</v>
      </c>
      <c r="P40" s="9"/>
      <c r="Q40" s="5">
        <f>IFERROR(VLOOKUP($D40,LISTINO!$B:$I,6,FALSE),IFERROR(VLOOKUP($E40,LISTINO!$C:$I,5,FALSE),""))</f>
        <v>0</v>
      </c>
      <c r="R40" s="12">
        <f t="shared" si="0"/>
        <v>0</v>
      </c>
    </row>
    <row r="41" spans="1:18" x14ac:dyDescent="0.3">
      <c r="A41" s="4" t="s">
        <v>443</v>
      </c>
      <c r="B41" s="4"/>
      <c r="C41" s="11">
        <v>2</v>
      </c>
      <c r="D41" s="4" t="s">
        <v>259</v>
      </c>
      <c r="E41" s="4" t="s">
        <v>260</v>
      </c>
      <c r="F41" s="4" t="s">
        <v>433</v>
      </c>
      <c r="G41" s="11">
        <v>0</v>
      </c>
      <c r="H41" s="11"/>
      <c r="I41" s="11"/>
      <c r="J41" s="11"/>
      <c r="K41" s="11"/>
      <c r="L41" s="11"/>
      <c r="M41" s="11"/>
      <c r="N41" s="11"/>
      <c r="O41" s="11" t="s">
        <v>434</v>
      </c>
      <c r="P41" s="9"/>
      <c r="Q41" s="5">
        <f>IFERROR(VLOOKUP($D41,LISTINO!$B:$I,6,FALSE),IFERROR(VLOOKUP($E41,LISTINO!$C:$I,5,FALSE),""))</f>
        <v>0</v>
      </c>
      <c r="R41" s="12">
        <f t="shared" si="0"/>
        <v>0</v>
      </c>
    </row>
    <row r="42" spans="1:18" x14ac:dyDescent="0.3">
      <c r="A42" s="4" t="s">
        <v>443</v>
      </c>
      <c r="B42" s="4"/>
      <c r="C42" s="11">
        <v>2</v>
      </c>
      <c r="D42" s="4" t="s">
        <v>221</v>
      </c>
      <c r="E42" s="4" t="s">
        <v>222</v>
      </c>
      <c r="F42" s="4" t="s">
        <v>433</v>
      </c>
      <c r="G42" s="11">
        <v>0</v>
      </c>
      <c r="H42" s="11"/>
      <c r="I42" s="11"/>
      <c r="J42" s="11"/>
      <c r="K42" s="11"/>
      <c r="L42" s="11"/>
      <c r="M42" s="11"/>
      <c r="N42" s="11"/>
      <c r="O42" s="11" t="s">
        <v>434</v>
      </c>
      <c r="P42" s="9"/>
      <c r="Q42" s="5">
        <f>IFERROR(VLOOKUP($D42,LISTINO!$B:$I,6,FALSE),IFERROR(VLOOKUP($E42,LISTINO!$C:$I,5,FALSE),""))</f>
        <v>0</v>
      </c>
      <c r="R42" s="12">
        <f t="shared" si="0"/>
        <v>0</v>
      </c>
    </row>
    <row r="43" spans="1:18" x14ac:dyDescent="0.3">
      <c r="A43" s="4" t="s">
        <v>443</v>
      </c>
      <c r="B43" s="4"/>
      <c r="C43" s="11">
        <v>2</v>
      </c>
      <c r="D43" s="4" t="s">
        <v>261</v>
      </c>
      <c r="E43" s="4" t="s">
        <v>262</v>
      </c>
      <c r="F43" s="4" t="s">
        <v>433</v>
      </c>
      <c r="G43" s="11">
        <v>0</v>
      </c>
      <c r="H43" s="11"/>
      <c r="I43" s="11"/>
      <c r="J43" s="11"/>
      <c r="K43" s="11"/>
      <c r="L43" s="11"/>
      <c r="M43" s="11"/>
      <c r="N43" s="11"/>
      <c r="O43" s="11" t="s">
        <v>434</v>
      </c>
      <c r="P43" s="9"/>
      <c r="Q43" s="5">
        <f>IFERROR(VLOOKUP($D43,LISTINO!$B:$I,6,FALSE),IFERROR(VLOOKUP($E43,LISTINO!$C:$I,5,FALSE),""))</f>
        <v>0</v>
      </c>
      <c r="R43" s="12">
        <f t="shared" si="0"/>
        <v>0</v>
      </c>
    </row>
    <row r="44" spans="1:18" x14ac:dyDescent="0.3">
      <c r="A44" s="4" t="s">
        <v>443</v>
      </c>
      <c r="B44" s="4"/>
      <c r="C44" s="11">
        <v>2</v>
      </c>
      <c r="D44" s="4" t="s">
        <v>223</v>
      </c>
      <c r="E44" s="4" t="s">
        <v>224</v>
      </c>
      <c r="F44" s="4" t="s">
        <v>433</v>
      </c>
      <c r="G44" s="11">
        <v>0</v>
      </c>
      <c r="H44" s="11"/>
      <c r="I44" s="11"/>
      <c r="J44" s="11"/>
      <c r="K44" s="11"/>
      <c r="L44" s="11"/>
      <c r="M44" s="11"/>
      <c r="N44" s="11"/>
      <c r="O44" s="11" t="s">
        <v>434</v>
      </c>
      <c r="P44" s="9"/>
      <c r="Q44" s="5">
        <f>IFERROR(VLOOKUP($D44,LISTINO!$B:$I,6,FALSE),IFERROR(VLOOKUP($E44,LISTINO!$C:$I,5,FALSE),""))</f>
        <v>0</v>
      </c>
      <c r="R44" s="12">
        <f t="shared" si="0"/>
        <v>0</v>
      </c>
    </row>
    <row r="45" spans="1:18" x14ac:dyDescent="0.3">
      <c r="A45" s="4" t="s">
        <v>443</v>
      </c>
      <c r="B45" s="4"/>
      <c r="C45" s="11">
        <v>2</v>
      </c>
      <c r="D45" s="4" t="s">
        <v>263</v>
      </c>
      <c r="E45" s="4" t="s">
        <v>264</v>
      </c>
      <c r="F45" s="4" t="s">
        <v>433</v>
      </c>
      <c r="G45" s="11">
        <v>0</v>
      </c>
      <c r="H45" s="11"/>
      <c r="I45" s="11"/>
      <c r="J45" s="11"/>
      <c r="K45" s="11"/>
      <c r="L45" s="11"/>
      <c r="M45" s="11"/>
      <c r="N45" s="11"/>
      <c r="O45" s="11" t="s">
        <v>434</v>
      </c>
      <c r="P45" s="9"/>
      <c r="Q45" s="5">
        <f>IFERROR(VLOOKUP($D45,LISTINO!$B:$I,6,FALSE),IFERROR(VLOOKUP($E45,LISTINO!$C:$I,5,FALSE),""))</f>
        <v>0</v>
      </c>
      <c r="R45" s="12">
        <f t="shared" si="0"/>
        <v>0</v>
      </c>
    </row>
    <row r="46" spans="1:18" x14ac:dyDescent="0.3">
      <c r="A46" s="4" t="s">
        <v>443</v>
      </c>
      <c r="B46" s="4"/>
      <c r="C46" s="11">
        <v>2</v>
      </c>
      <c r="D46" s="4" t="s">
        <v>225</v>
      </c>
      <c r="E46" s="4" t="s">
        <v>226</v>
      </c>
      <c r="F46" s="4" t="s">
        <v>433</v>
      </c>
      <c r="G46" s="11">
        <v>0</v>
      </c>
      <c r="H46" s="11"/>
      <c r="I46" s="11"/>
      <c r="J46" s="11"/>
      <c r="K46" s="11"/>
      <c r="L46" s="11"/>
      <c r="M46" s="11"/>
      <c r="N46" s="11"/>
      <c r="O46" s="11" t="s">
        <v>434</v>
      </c>
      <c r="P46" s="9"/>
      <c r="Q46" s="5">
        <f>IFERROR(VLOOKUP($D46,LISTINO!$B:$I,6,FALSE),IFERROR(VLOOKUP($E46,LISTINO!$C:$I,5,FALSE),""))</f>
        <v>0</v>
      </c>
      <c r="R46" s="12">
        <f t="shared" si="0"/>
        <v>0</v>
      </c>
    </row>
    <row r="47" spans="1:18" x14ac:dyDescent="0.3">
      <c r="A47" s="4" t="s">
        <v>443</v>
      </c>
      <c r="B47" s="4"/>
      <c r="C47" s="11">
        <v>2</v>
      </c>
      <c r="D47" s="4" t="s">
        <v>265</v>
      </c>
      <c r="E47" s="4" t="s">
        <v>266</v>
      </c>
      <c r="F47" s="4" t="s">
        <v>433</v>
      </c>
      <c r="G47" s="11">
        <v>0</v>
      </c>
      <c r="H47" s="11"/>
      <c r="I47" s="11"/>
      <c r="J47" s="11"/>
      <c r="K47" s="11"/>
      <c r="L47" s="11"/>
      <c r="M47" s="11"/>
      <c r="N47" s="11"/>
      <c r="O47" s="11" t="s">
        <v>434</v>
      </c>
      <c r="P47" s="9"/>
      <c r="Q47" s="5">
        <f>IFERROR(VLOOKUP($D47,LISTINO!$B:$I,6,FALSE),IFERROR(VLOOKUP($E47,LISTINO!$C:$I,5,FALSE),""))</f>
        <v>0</v>
      </c>
      <c r="R47" s="12">
        <f t="shared" si="0"/>
        <v>0</v>
      </c>
    </row>
    <row r="48" spans="1:18" x14ac:dyDescent="0.3">
      <c r="A48" s="4" t="s">
        <v>443</v>
      </c>
      <c r="B48" s="4"/>
      <c r="C48" s="11">
        <v>2</v>
      </c>
      <c r="D48" s="4" t="s">
        <v>227</v>
      </c>
      <c r="E48" s="4" t="s">
        <v>228</v>
      </c>
      <c r="F48" s="4" t="s">
        <v>433</v>
      </c>
      <c r="G48" s="11">
        <v>0</v>
      </c>
      <c r="H48" s="11"/>
      <c r="I48" s="11"/>
      <c r="J48" s="11"/>
      <c r="K48" s="11"/>
      <c r="L48" s="11"/>
      <c r="M48" s="11"/>
      <c r="N48" s="11"/>
      <c r="O48" s="11" t="s">
        <v>434</v>
      </c>
      <c r="P48" s="9"/>
      <c r="Q48" s="5">
        <f>IFERROR(VLOOKUP($D48,LISTINO!$B:$I,6,FALSE),IFERROR(VLOOKUP($E48,LISTINO!$C:$I,5,FALSE),""))</f>
        <v>0</v>
      </c>
      <c r="R48" s="12">
        <f t="shared" si="0"/>
        <v>0</v>
      </c>
    </row>
    <row r="49" spans="1:18" x14ac:dyDescent="0.3">
      <c r="A49" s="4" t="s">
        <v>443</v>
      </c>
      <c r="B49" s="4"/>
      <c r="C49" s="11">
        <v>2</v>
      </c>
      <c r="D49" s="4" t="s">
        <v>267</v>
      </c>
      <c r="E49" s="4" t="s">
        <v>268</v>
      </c>
      <c r="F49" s="4" t="s">
        <v>433</v>
      </c>
      <c r="G49" s="11">
        <v>0</v>
      </c>
      <c r="H49" s="11"/>
      <c r="I49" s="11"/>
      <c r="J49" s="11"/>
      <c r="K49" s="11"/>
      <c r="L49" s="11"/>
      <c r="M49" s="11"/>
      <c r="N49" s="11"/>
      <c r="O49" s="11" t="s">
        <v>434</v>
      </c>
      <c r="P49" s="9"/>
      <c r="Q49" s="5">
        <f>IFERROR(VLOOKUP($D49,LISTINO!$B:$I,6,FALSE),IFERROR(VLOOKUP($E49,LISTINO!$C:$I,5,FALSE),""))</f>
        <v>0</v>
      </c>
      <c r="R49" s="12">
        <f t="shared" si="0"/>
        <v>0</v>
      </c>
    </row>
    <row r="50" spans="1:18" x14ac:dyDescent="0.3">
      <c r="A50" s="4" t="s">
        <v>443</v>
      </c>
      <c r="B50" s="4"/>
      <c r="C50" s="11">
        <v>2</v>
      </c>
      <c r="D50" s="4" t="s">
        <v>229</v>
      </c>
      <c r="E50" s="4" t="s">
        <v>230</v>
      </c>
      <c r="F50" s="4" t="s">
        <v>433</v>
      </c>
      <c r="G50" s="11">
        <v>0</v>
      </c>
      <c r="H50" s="11"/>
      <c r="I50" s="11"/>
      <c r="J50" s="11"/>
      <c r="K50" s="11"/>
      <c r="L50" s="11"/>
      <c r="M50" s="11"/>
      <c r="N50" s="11"/>
      <c r="O50" s="11" t="s">
        <v>434</v>
      </c>
      <c r="P50" s="9"/>
      <c r="Q50" s="5">
        <f>IFERROR(VLOOKUP($D50,LISTINO!$B:$I,6,FALSE),IFERROR(VLOOKUP($E50,LISTINO!$C:$I,5,FALSE),""))</f>
        <v>0</v>
      </c>
      <c r="R50" s="12">
        <f t="shared" si="0"/>
        <v>0</v>
      </c>
    </row>
    <row r="51" spans="1:18" x14ac:dyDescent="0.3">
      <c r="A51" s="4" t="s">
        <v>443</v>
      </c>
      <c r="B51" s="4"/>
      <c r="C51" s="11">
        <v>2</v>
      </c>
      <c r="D51" s="4" t="s">
        <v>269</v>
      </c>
      <c r="E51" s="4" t="s">
        <v>270</v>
      </c>
      <c r="F51" s="4" t="s">
        <v>433</v>
      </c>
      <c r="G51" s="11">
        <v>0</v>
      </c>
      <c r="H51" s="11"/>
      <c r="I51" s="11"/>
      <c r="J51" s="11"/>
      <c r="K51" s="11"/>
      <c r="L51" s="11"/>
      <c r="M51" s="11"/>
      <c r="N51" s="11"/>
      <c r="O51" s="11" t="s">
        <v>434</v>
      </c>
      <c r="P51" s="9"/>
      <c r="Q51" s="5">
        <f>IFERROR(VLOOKUP($D51,LISTINO!$B:$I,6,FALSE),IFERROR(VLOOKUP($E51,LISTINO!$C:$I,5,FALSE),""))</f>
        <v>0</v>
      </c>
      <c r="R51" s="12">
        <f t="shared" si="0"/>
        <v>0</v>
      </c>
    </row>
    <row r="52" spans="1:18" x14ac:dyDescent="0.3">
      <c r="A52" s="4" t="s">
        <v>443</v>
      </c>
      <c r="B52" s="4"/>
      <c r="C52" s="11">
        <v>2</v>
      </c>
      <c r="D52" s="4" t="s">
        <v>231</v>
      </c>
      <c r="E52" s="4" t="s">
        <v>232</v>
      </c>
      <c r="F52" s="4" t="s">
        <v>433</v>
      </c>
      <c r="G52" s="11">
        <v>0</v>
      </c>
      <c r="H52" s="11"/>
      <c r="I52" s="11"/>
      <c r="J52" s="11"/>
      <c r="K52" s="11"/>
      <c r="L52" s="11"/>
      <c r="M52" s="11"/>
      <c r="N52" s="11"/>
      <c r="O52" s="11" t="s">
        <v>434</v>
      </c>
      <c r="P52" s="9"/>
      <c r="Q52" s="5">
        <f>IFERROR(VLOOKUP($D52,LISTINO!$B:$I,6,FALSE),IFERROR(VLOOKUP($E52,LISTINO!$C:$I,5,FALSE),""))</f>
        <v>0</v>
      </c>
      <c r="R52" s="12">
        <f t="shared" si="0"/>
        <v>0</v>
      </c>
    </row>
    <row r="53" spans="1:18" x14ac:dyDescent="0.3">
      <c r="A53" s="4" t="s">
        <v>443</v>
      </c>
      <c r="B53" s="4"/>
      <c r="C53" s="11">
        <v>2</v>
      </c>
      <c r="D53" s="4" t="s">
        <v>271</v>
      </c>
      <c r="E53" s="4" t="s">
        <v>272</v>
      </c>
      <c r="F53" s="4" t="s">
        <v>433</v>
      </c>
      <c r="G53" s="11">
        <v>0</v>
      </c>
      <c r="H53" s="11"/>
      <c r="I53" s="11"/>
      <c r="J53" s="11"/>
      <c r="K53" s="11"/>
      <c r="L53" s="11"/>
      <c r="M53" s="11"/>
      <c r="N53" s="11"/>
      <c r="O53" s="11" t="s">
        <v>434</v>
      </c>
      <c r="P53" s="9"/>
      <c r="Q53" s="5">
        <f>IFERROR(VLOOKUP($D53,LISTINO!$B:$I,6,FALSE),IFERROR(VLOOKUP($E53,LISTINO!$C:$I,5,FALSE),""))</f>
        <v>0</v>
      </c>
      <c r="R53" s="12">
        <f t="shared" si="0"/>
        <v>0</v>
      </c>
    </row>
    <row r="54" spans="1:18" x14ac:dyDescent="0.3">
      <c r="A54" s="4" t="s">
        <v>443</v>
      </c>
      <c r="B54" s="4"/>
      <c r="C54" s="11">
        <v>2</v>
      </c>
      <c r="D54" s="4" t="s">
        <v>233</v>
      </c>
      <c r="E54" s="4" t="s">
        <v>234</v>
      </c>
      <c r="F54" s="4" t="s">
        <v>433</v>
      </c>
      <c r="G54" s="11">
        <v>0</v>
      </c>
      <c r="H54" s="11"/>
      <c r="I54" s="11"/>
      <c r="J54" s="11"/>
      <c r="K54" s="11"/>
      <c r="L54" s="11"/>
      <c r="M54" s="11"/>
      <c r="N54" s="11"/>
      <c r="O54" s="11" t="s">
        <v>434</v>
      </c>
      <c r="P54" s="9"/>
      <c r="Q54" s="5">
        <f>IFERROR(VLOOKUP($D54,LISTINO!$B:$I,6,FALSE),IFERROR(VLOOKUP($E54,LISTINO!$C:$I,5,FALSE),""))</f>
        <v>0</v>
      </c>
      <c r="R54" s="12">
        <f t="shared" si="0"/>
        <v>0</v>
      </c>
    </row>
    <row r="55" spans="1:18" x14ac:dyDescent="0.3">
      <c r="A55" s="4" t="s">
        <v>443</v>
      </c>
      <c r="B55" s="4"/>
      <c r="C55" s="11">
        <v>2</v>
      </c>
      <c r="D55" s="4" t="s">
        <v>273</v>
      </c>
      <c r="E55" s="4" t="s">
        <v>274</v>
      </c>
      <c r="F55" s="4" t="s">
        <v>433</v>
      </c>
      <c r="G55" s="11">
        <v>0</v>
      </c>
      <c r="H55" s="11"/>
      <c r="I55" s="11"/>
      <c r="J55" s="11"/>
      <c r="K55" s="11"/>
      <c r="L55" s="11"/>
      <c r="M55" s="11"/>
      <c r="N55" s="11"/>
      <c r="O55" s="11" t="s">
        <v>434</v>
      </c>
      <c r="P55" s="9"/>
      <c r="Q55" s="5">
        <f>IFERROR(VLOOKUP($D55,LISTINO!$B:$I,6,FALSE),IFERROR(VLOOKUP($E55,LISTINO!$C:$I,5,FALSE),""))</f>
        <v>0</v>
      </c>
      <c r="R55" s="12">
        <f t="shared" si="0"/>
        <v>0</v>
      </c>
    </row>
    <row r="56" spans="1:18" x14ac:dyDescent="0.3">
      <c r="A56" s="4" t="s">
        <v>443</v>
      </c>
      <c r="B56" s="4"/>
      <c r="C56" s="11">
        <v>2</v>
      </c>
      <c r="D56" s="4" t="s">
        <v>235</v>
      </c>
      <c r="E56" s="4" t="s">
        <v>236</v>
      </c>
      <c r="F56" s="4" t="s">
        <v>433</v>
      </c>
      <c r="G56" s="11">
        <v>0</v>
      </c>
      <c r="H56" s="11"/>
      <c r="I56" s="11"/>
      <c r="J56" s="11"/>
      <c r="K56" s="11"/>
      <c r="L56" s="11"/>
      <c r="M56" s="11"/>
      <c r="N56" s="11"/>
      <c r="O56" s="11" t="s">
        <v>434</v>
      </c>
      <c r="P56" s="9"/>
      <c r="Q56" s="5">
        <f>IFERROR(VLOOKUP($D56,LISTINO!$B:$I,6,FALSE),IFERROR(VLOOKUP($E56,LISTINO!$C:$I,5,FALSE),""))</f>
        <v>0</v>
      </c>
      <c r="R56" s="12">
        <f t="shared" si="0"/>
        <v>0</v>
      </c>
    </row>
    <row r="57" spans="1:18" x14ac:dyDescent="0.3">
      <c r="A57" s="4" t="s">
        <v>443</v>
      </c>
      <c r="B57" s="4"/>
      <c r="C57" s="11">
        <v>2</v>
      </c>
      <c r="D57" s="4" t="s">
        <v>275</v>
      </c>
      <c r="E57" s="4" t="s">
        <v>276</v>
      </c>
      <c r="F57" s="4" t="s">
        <v>433</v>
      </c>
      <c r="G57" s="11">
        <v>0</v>
      </c>
      <c r="H57" s="11"/>
      <c r="I57" s="11"/>
      <c r="J57" s="11"/>
      <c r="K57" s="11"/>
      <c r="L57" s="11"/>
      <c r="M57" s="11"/>
      <c r="N57" s="11"/>
      <c r="O57" s="11" t="s">
        <v>434</v>
      </c>
      <c r="P57" s="9"/>
      <c r="Q57" s="5">
        <f>IFERROR(VLOOKUP($D57,LISTINO!$B:$I,6,FALSE),IFERROR(VLOOKUP($E57,LISTINO!$C:$I,5,FALSE),""))</f>
        <v>0</v>
      </c>
      <c r="R57" s="12">
        <f t="shared" si="0"/>
        <v>0</v>
      </c>
    </row>
    <row r="58" spans="1:18" x14ac:dyDescent="0.3">
      <c r="A58" s="4" t="s">
        <v>443</v>
      </c>
      <c r="B58" s="4"/>
      <c r="C58" s="11">
        <v>2</v>
      </c>
      <c r="D58" s="4" t="s">
        <v>237</v>
      </c>
      <c r="E58" s="4" t="s">
        <v>238</v>
      </c>
      <c r="F58" s="4" t="s">
        <v>433</v>
      </c>
      <c r="G58" s="11">
        <v>0</v>
      </c>
      <c r="H58" s="11"/>
      <c r="I58" s="11"/>
      <c r="J58" s="11"/>
      <c r="K58" s="11"/>
      <c r="L58" s="11"/>
      <c r="M58" s="11"/>
      <c r="N58" s="11"/>
      <c r="O58" s="11" t="s">
        <v>434</v>
      </c>
      <c r="P58" s="9"/>
      <c r="Q58" s="5">
        <f>IFERROR(VLOOKUP($D58,LISTINO!$B:$I,6,FALSE),IFERROR(VLOOKUP($E58,LISTINO!$C:$I,5,FALSE),""))</f>
        <v>0</v>
      </c>
      <c r="R58" s="12">
        <f t="shared" si="0"/>
        <v>0</v>
      </c>
    </row>
    <row r="59" spans="1:18" x14ac:dyDescent="0.3">
      <c r="A59" s="4" t="s">
        <v>443</v>
      </c>
      <c r="B59" s="4"/>
      <c r="C59" s="11">
        <v>2</v>
      </c>
      <c r="D59" s="4" t="s">
        <v>277</v>
      </c>
      <c r="E59" s="4" t="s">
        <v>278</v>
      </c>
      <c r="F59" s="4" t="s">
        <v>433</v>
      </c>
      <c r="G59" s="11">
        <v>0</v>
      </c>
      <c r="H59" s="11"/>
      <c r="I59" s="11"/>
      <c r="J59" s="11"/>
      <c r="K59" s="11"/>
      <c r="L59" s="11"/>
      <c r="M59" s="11"/>
      <c r="N59" s="11"/>
      <c r="O59" s="11" t="s">
        <v>434</v>
      </c>
      <c r="P59" s="9"/>
      <c r="Q59" s="5">
        <f>IFERROR(VLOOKUP($D59,LISTINO!$B:$I,6,FALSE),IFERROR(VLOOKUP($E59,LISTINO!$C:$I,5,FALSE),""))</f>
        <v>0</v>
      </c>
      <c r="R59" s="12">
        <f t="shared" si="0"/>
        <v>0</v>
      </c>
    </row>
    <row r="60" spans="1:18" x14ac:dyDescent="0.3">
      <c r="A60" s="4" t="s">
        <v>443</v>
      </c>
      <c r="B60" s="4"/>
      <c r="C60" s="11">
        <v>2</v>
      </c>
      <c r="D60" s="4" t="s">
        <v>239</v>
      </c>
      <c r="E60" s="4" t="s">
        <v>240</v>
      </c>
      <c r="F60" s="4" t="s">
        <v>433</v>
      </c>
      <c r="G60" s="11">
        <v>0</v>
      </c>
      <c r="H60" s="11"/>
      <c r="I60" s="11"/>
      <c r="J60" s="11"/>
      <c r="K60" s="11"/>
      <c r="L60" s="11"/>
      <c r="M60" s="11"/>
      <c r="N60" s="11"/>
      <c r="O60" s="11" t="s">
        <v>434</v>
      </c>
      <c r="P60" s="9"/>
      <c r="Q60" s="5">
        <f>IFERROR(VLOOKUP($D60,LISTINO!$B:$I,6,FALSE),IFERROR(VLOOKUP($E60,LISTINO!$C:$I,5,FALSE),""))</f>
        <v>0</v>
      </c>
      <c r="R60" s="12">
        <f t="shared" si="0"/>
        <v>0</v>
      </c>
    </row>
    <row r="61" spans="1:18" x14ac:dyDescent="0.3">
      <c r="A61" s="4" t="s">
        <v>443</v>
      </c>
      <c r="B61" s="4"/>
      <c r="C61" s="11">
        <v>2</v>
      </c>
      <c r="D61" s="4" t="s">
        <v>279</v>
      </c>
      <c r="E61" s="4" t="s">
        <v>280</v>
      </c>
      <c r="F61" s="4" t="s">
        <v>433</v>
      </c>
      <c r="G61" s="11">
        <v>0</v>
      </c>
      <c r="H61" s="11"/>
      <c r="I61" s="11"/>
      <c r="J61" s="11"/>
      <c r="K61" s="11"/>
      <c r="L61" s="11"/>
      <c r="M61" s="11"/>
      <c r="N61" s="11"/>
      <c r="O61" s="11" t="s">
        <v>434</v>
      </c>
      <c r="P61" s="9"/>
      <c r="Q61" s="5">
        <f>IFERROR(VLOOKUP($D61,LISTINO!$B:$I,6,FALSE),IFERROR(VLOOKUP($E61,LISTINO!$C:$I,5,FALSE),""))</f>
        <v>0</v>
      </c>
      <c r="R61" s="12">
        <f t="shared" si="0"/>
        <v>0</v>
      </c>
    </row>
    <row r="62" spans="1:18" x14ac:dyDescent="0.3">
      <c r="A62" s="4" t="s">
        <v>443</v>
      </c>
      <c r="B62" s="4"/>
      <c r="C62" s="11">
        <v>3</v>
      </c>
      <c r="D62" s="4" t="s">
        <v>10</v>
      </c>
      <c r="E62" s="4" t="s">
        <v>11</v>
      </c>
      <c r="F62" s="4" t="s">
        <v>433</v>
      </c>
      <c r="G62" s="11">
        <v>2</v>
      </c>
      <c r="H62" s="11"/>
      <c r="I62" s="11"/>
      <c r="J62" s="11"/>
      <c r="K62" s="11"/>
      <c r="L62" s="11"/>
      <c r="M62" s="11"/>
      <c r="N62" s="11"/>
      <c r="O62" s="11" t="s">
        <v>434</v>
      </c>
      <c r="P62" s="9"/>
      <c r="Q62" s="5">
        <f>IFERROR(VLOOKUP($D62,LISTINO!$B:$I,6,FALSE),IFERROR(VLOOKUP($E62,LISTINO!$C:$I,5,FALSE),""))</f>
        <v>0</v>
      </c>
      <c r="R62" s="12">
        <f t="shared" si="0"/>
        <v>0</v>
      </c>
    </row>
    <row r="63" spans="1:18" x14ac:dyDescent="0.3">
      <c r="A63" s="4" t="s">
        <v>443</v>
      </c>
      <c r="B63" s="4"/>
      <c r="C63" s="11">
        <v>4</v>
      </c>
      <c r="D63" s="4" t="s">
        <v>344</v>
      </c>
      <c r="E63" s="4" t="s">
        <v>345</v>
      </c>
      <c r="F63" s="4" t="s">
        <v>449</v>
      </c>
      <c r="G63" s="11">
        <v>8</v>
      </c>
      <c r="H63" s="11"/>
      <c r="I63" s="11"/>
      <c r="J63" s="11"/>
      <c r="K63" s="11"/>
      <c r="L63" s="11"/>
      <c r="M63" s="11"/>
      <c r="N63" s="11"/>
      <c r="O63" s="11" t="s">
        <v>434</v>
      </c>
      <c r="P63" s="9"/>
      <c r="Q63" s="5" t="str">
        <f>IFERROR(VLOOKUP($D63,LISTINO!$B:$I,6,FALSE),IFERROR(VLOOKUP($E63,LISTINO!$C:$I,5,FALSE),""))</f>
        <v/>
      </c>
      <c r="R63" s="12" t="str">
        <f t="shared" si="0"/>
        <v/>
      </c>
    </row>
    <row r="64" spans="1:18" x14ac:dyDescent="0.3">
      <c r="A64" s="4" t="s">
        <v>443</v>
      </c>
      <c r="B64" s="4"/>
      <c r="C64" s="11">
        <v>5</v>
      </c>
      <c r="D64" s="4" t="s">
        <v>389</v>
      </c>
      <c r="E64" s="4" t="s">
        <v>390</v>
      </c>
      <c r="F64" s="4" t="s">
        <v>449</v>
      </c>
      <c r="G64" s="11">
        <v>8</v>
      </c>
      <c r="H64" s="11"/>
      <c r="I64" s="11"/>
      <c r="J64" s="11"/>
      <c r="K64" s="11"/>
      <c r="L64" s="11"/>
      <c r="M64" s="11"/>
      <c r="N64" s="11"/>
      <c r="O64" s="11" t="s">
        <v>434</v>
      </c>
      <c r="P64" s="9"/>
      <c r="Q64" s="5" t="str">
        <f>IFERROR(VLOOKUP($D64,LISTINO!$B:$I,6,FALSE),IFERROR(VLOOKUP($E64,LISTINO!$C:$I,5,FALSE),""))</f>
        <v/>
      </c>
      <c r="R64" s="12" t="str">
        <f t="shared" si="0"/>
        <v/>
      </c>
    </row>
    <row r="65" spans="1:18" x14ac:dyDescent="0.3">
      <c r="A65" s="4" t="s">
        <v>443</v>
      </c>
      <c r="B65" s="4"/>
      <c r="C65" s="11">
        <v>6</v>
      </c>
      <c r="D65" s="4" t="s">
        <v>389</v>
      </c>
      <c r="E65" s="4" t="s">
        <v>390</v>
      </c>
      <c r="F65" s="4" t="s">
        <v>449</v>
      </c>
      <c r="G65" s="11">
        <v>8</v>
      </c>
      <c r="H65" s="11"/>
      <c r="I65" s="11"/>
      <c r="J65" s="11"/>
      <c r="K65" s="11"/>
      <c r="L65" s="11"/>
      <c r="M65" s="11"/>
      <c r="N65" s="11"/>
      <c r="O65" s="11" t="s">
        <v>434</v>
      </c>
      <c r="P65" s="9"/>
      <c r="Q65" s="5" t="str">
        <f>IFERROR(VLOOKUP($D65,LISTINO!$B:$I,6,FALSE),IFERROR(VLOOKUP($E65,LISTINO!$C:$I,5,FALSE),""))</f>
        <v/>
      </c>
      <c r="R65" s="12" t="str">
        <f t="shared" si="0"/>
        <v/>
      </c>
    </row>
    <row r="66" spans="1:18" x14ac:dyDescent="0.3">
      <c r="A66" s="4" t="s">
        <v>443</v>
      </c>
      <c r="B66" s="4"/>
      <c r="C66" s="11">
        <v>7</v>
      </c>
      <c r="D66" s="4" t="s">
        <v>379</v>
      </c>
      <c r="E66" s="4" t="s">
        <v>380</v>
      </c>
      <c r="F66" s="4" t="s">
        <v>449</v>
      </c>
      <c r="G66" s="11">
        <v>8</v>
      </c>
      <c r="H66" s="11"/>
      <c r="I66" s="11"/>
      <c r="J66" s="11"/>
      <c r="K66" s="11"/>
      <c r="L66" s="11"/>
      <c r="M66" s="11"/>
      <c r="N66" s="11"/>
      <c r="O66" s="11" t="s">
        <v>434</v>
      </c>
      <c r="P66" s="9"/>
      <c r="Q66" s="5" t="str">
        <f>IFERROR(VLOOKUP($D66,LISTINO!$B:$I,6,FALSE),IFERROR(VLOOKUP($E66,LISTINO!$C:$I,5,FALSE),""))</f>
        <v/>
      </c>
      <c r="R66" s="12" t="str">
        <f t="shared" ref="R66:R129" si="1">IF(AND(ISNUMBER(G66),ISNUMBER(Q66)),G66*Q66,"")</f>
        <v/>
      </c>
    </row>
    <row r="67" spans="1:18" x14ac:dyDescent="0.3">
      <c r="A67" s="4" t="s">
        <v>443</v>
      </c>
      <c r="B67" s="4"/>
      <c r="C67" s="11">
        <v>1</v>
      </c>
      <c r="D67" s="4" t="s">
        <v>12</v>
      </c>
      <c r="E67" s="4" t="s">
        <v>13</v>
      </c>
      <c r="F67" s="4" t="s">
        <v>433</v>
      </c>
      <c r="G67" s="11">
        <v>2</v>
      </c>
      <c r="H67" s="11"/>
      <c r="I67" s="11"/>
      <c r="J67" s="11"/>
      <c r="K67" s="11"/>
      <c r="L67" s="11"/>
      <c r="M67" s="11"/>
      <c r="N67" s="11"/>
      <c r="O67" s="11" t="s">
        <v>434</v>
      </c>
      <c r="P67" s="9"/>
      <c r="Q67" s="5">
        <f>IFERROR(VLOOKUP($D67,LISTINO!$B:$I,6,FALSE),IFERROR(VLOOKUP($E67,LISTINO!$C:$I,5,FALSE),""))</f>
        <v>0</v>
      </c>
      <c r="R67" s="12">
        <f t="shared" si="1"/>
        <v>0</v>
      </c>
    </row>
    <row r="68" spans="1:18" x14ac:dyDescent="0.3">
      <c r="A68" s="4" t="s">
        <v>443</v>
      </c>
      <c r="B68" s="4"/>
      <c r="C68" s="11">
        <v>2</v>
      </c>
      <c r="D68" s="4" t="s">
        <v>14</v>
      </c>
      <c r="E68" s="4" t="s">
        <v>479</v>
      </c>
      <c r="F68" s="4" t="s">
        <v>433</v>
      </c>
      <c r="G68" s="11">
        <v>4</v>
      </c>
      <c r="H68" s="11"/>
      <c r="I68" s="11"/>
      <c r="J68" s="11"/>
      <c r="K68" s="11"/>
      <c r="L68" s="11"/>
      <c r="M68" s="11"/>
      <c r="N68" s="11"/>
      <c r="O68" s="11" t="s">
        <v>434</v>
      </c>
      <c r="P68" s="9"/>
      <c r="Q68" s="5">
        <f>IFERROR(VLOOKUP($D68,LISTINO!$B:$I,6,FALSE),IFERROR(VLOOKUP($E68,LISTINO!$C:$I,5,FALSE),""))</f>
        <v>0</v>
      </c>
      <c r="R68" s="12">
        <f t="shared" si="1"/>
        <v>0</v>
      </c>
    </row>
    <row r="69" spans="1:18" x14ac:dyDescent="0.3">
      <c r="A69" s="4" t="s">
        <v>443</v>
      </c>
      <c r="B69" s="4"/>
      <c r="C69" s="11">
        <v>3</v>
      </c>
      <c r="D69" s="4" t="s">
        <v>344</v>
      </c>
      <c r="E69" s="4" t="s">
        <v>353</v>
      </c>
      <c r="F69" s="4" t="s">
        <v>449</v>
      </c>
      <c r="G69" s="11">
        <v>24</v>
      </c>
      <c r="H69" s="11"/>
      <c r="I69" s="11"/>
      <c r="J69" s="11"/>
      <c r="K69" s="11"/>
      <c r="L69" s="11"/>
      <c r="M69" s="11"/>
      <c r="N69" s="11"/>
      <c r="O69" s="11" t="s">
        <v>434</v>
      </c>
      <c r="P69" s="9"/>
      <c r="Q69" s="5" t="str">
        <f>IFERROR(VLOOKUP($D69,LISTINO!$B:$I,6,FALSE),IFERROR(VLOOKUP($E69,LISTINO!$C:$I,5,FALSE),""))</f>
        <v/>
      </c>
      <c r="R69" s="12" t="str">
        <f t="shared" si="1"/>
        <v/>
      </c>
    </row>
    <row r="70" spans="1:18" x14ac:dyDescent="0.3">
      <c r="A70" s="4" t="s">
        <v>443</v>
      </c>
      <c r="B70" s="4"/>
      <c r="C70" s="11">
        <v>4</v>
      </c>
      <c r="D70" s="4" t="s">
        <v>389</v>
      </c>
      <c r="E70" s="4" t="s">
        <v>390</v>
      </c>
      <c r="F70" s="4" t="s">
        <v>449</v>
      </c>
      <c r="G70" s="11">
        <v>24</v>
      </c>
      <c r="H70" s="11"/>
      <c r="I70" s="11"/>
      <c r="J70" s="11"/>
      <c r="K70" s="11"/>
      <c r="L70" s="11"/>
      <c r="M70" s="11"/>
      <c r="N70" s="11"/>
      <c r="O70" s="11" t="s">
        <v>434</v>
      </c>
      <c r="P70" s="9"/>
      <c r="Q70" s="5" t="str">
        <f>IFERROR(VLOOKUP($D70,LISTINO!$B:$I,6,FALSE),IFERROR(VLOOKUP($E70,LISTINO!$C:$I,5,FALSE),""))</f>
        <v/>
      </c>
      <c r="R70" s="12" t="str">
        <f t="shared" si="1"/>
        <v/>
      </c>
    </row>
    <row r="71" spans="1:18" x14ac:dyDescent="0.3">
      <c r="A71" s="4" t="s">
        <v>443</v>
      </c>
      <c r="B71" s="4"/>
      <c r="C71" s="11">
        <v>5</v>
      </c>
      <c r="D71" s="4" t="s">
        <v>389</v>
      </c>
      <c r="E71" s="4" t="s">
        <v>390</v>
      </c>
      <c r="F71" s="4" t="s">
        <v>449</v>
      </c>
      <c r="G71" s="11">
        <v>24</v>
      </c>
      <c r="H71" s="11"/>
      <c r="I71" s="11"/>
      <c r="J71" s="11"/>
      <c r="K71" s="11"/>
      <c r="L71" s="11"/>
      <c r="M71" s="11"/>
      <c r="N71" s="11"/>
      <c r="O71" s="11" t="s">
        <v>434</v>
      </c>
      <c r="P71" s="9"/>
      <c r="Q71" s="5" t="str">
        <f>IFERROR(VLOOKUP($D71,LISTINO!$B:$I,6,FALSE),IFERROR(VLOOKUP($E71,LISTINO!$C:$I,5,FALSE),""))</f>
        <v/>
      </c>
      <c r="R71" s="12" t="str">
        <f t="shared" si="1"/>
        <v/>
      </c>
    </row>
    <row r="72" spans="1:18" x14ac:dyDescent="0.3">
      <c r="A72" s="4" t="s">
        <v>443</v>
      </c>
      <c r="B72" s="4"/>
      <c r="C72" s="11">
        <v>6</v>
      </c>
      <c r="D72" s="4" t="s">
        <v>379</v>
      </c>
      <c r="E72" s="4" t="s">
        <v>380</v>
      </c>
      <c r="F72" s="4" t="s">
        <v>449</v>
      </c>
      <c r="G72" s="11">
        <v>24</v>
      </c>
      <c r="H72" s="11"/>
      <c r="I72" s="11"/>
      <c r="J72" s="11"/>
      <c r="K72" s="11"/>
      <c r="L72" s="11"/>
      <c r="M72" s="11"/>
      <c r="N72" s="11"/>
      <c r="O72" s="11" t="s">
        <v>434</v>
      </c>
      <c r="P72" s="9"/>
      <c r="Q72" s="5" t="str">
        <f>IFERROR(VLOOKUP($D72,LISTINO!$B:$I,6,FALSE),IFERROR(VLOOKUP($E72,LISTINO!$C:$I,5,FALSE),""))</f>
        <v/>
      </c>
      <c r="R72" s="12" t="str">
        <f t="shared" si="1"/>
        <v/>
      </c>
    </row>
    <row r="73" spans="1:18" x14ac:dyDescent="0.3">
      <c r="A73" s="4" t="s">
        <v>443</v>
      </c>
      <c r="B73" s="4"/>
      <c r="C73" s="11">
        <v>2</v>
      </c>
      <c r="D73" s="4" t="s">
        <v>42</v>
      </c>
      <c r="E73" s="4" t="s">
        <v>43</v>
      </c>
      <c r="F73" s="4" t="s">
        <v>433</v>
      </c>
      <c r="G73" s="11">
        <v>2</v>
      </c>
      <c r="H73" s="11"/>
      <c r="I73" s="11"/>
      <c r="J73" s="11"/>
      <c r="K73" s="11"/>
      <c r="L73" s="11"/>
      <c r="M73" s="11"/>
      <c r="N73" s="11"/>
      <c r="O73" s="11" t="s">
        <v>434</v>
      </c>
      <c r="P73" s="9"/>
      <c r="Q73" s="5">
        <f>IFERROR(VLOOKUP($D73,LISTINO!$B:$I,6,FALSE),IFERROR(VLOOKUP($E73,LISTINO!$C:$I,5,FALSE),""))</f>
        <v>0</v>
      </c>
      <c r="R73" s="12">
        <f t="shared" si="1"/>
        <v>0</v>
      </c>
    </row>
    <row r="74" spans="1:18" x14ac:dyDescent="0.3">
      <c r="A74" s="4" t="s">
        <v>443</v>
      </c>
      <c r="B74" s="4"/>
      <c r="C74" s="11">
        <v>3</v>
      </c>
      <c r="D74" s="4" t="s">
        <v>352</v>
      </c>
      <c r="E74" s="4" t="s">
        <v>353</v>
      </c>
      <c r="F74" s="4" t="s">
        <v>449</v>
      </c>
      <c r="G74" s="11">
        <v>8</v>
      </c>
      <c r="H74" s="11"/>
      <c r="I74" s="11"/>
      <c r="J74" s="11"/>
      <c r="K74" s="11"/>
      <c r="L74" s="11"/>
      <c r="M74" s="11"/>
      <c r="N74" s="11"/>
      <c r="O74" s="11" t="s">
        <v>434</v>
      </c>
      <c r="P74" s="9"/>
      <c r="Q74" s="5" t="str">
        <f>IFERROR(VLOOKUP($D74,LISTINO!$B:$I,6,FALSE),IFERROR(VLOOKUP($E74,LISTINO!$C:$I,5,FALSE),""))</f>
        <v/>
      </c>
      <c r="R74" s="12" t="str">
        <f t="shared" si="1"/>
        <v/>
      </c>
    </row>
    <row r="75" spans="1:18" x14ac:dyDescent="0.3">
      <c r="A75" s="4" t="s">
        <v>443</v>
      </c>
      <c r="B75" s="4"/>
      <c r="C75" s="11">
        <v>4</v>
      </c>
      <c r="D75" s="4" t="s">
        <v>389</v>
      </c>
      <c r="E75" s="4" t="s">
        <v>390</v>
      </c>
      <c r="F75" s="4" t="s">
        <v>449</v>
      </c>
      <c r="G75" s="11">
        <v>16</v>
      </c>
      <c r="H75" s="11"/>
      <c r="I75" s="11"/>
      <c r="J75" s="11"/>
      <c r="K75" s="11"/>
      <c r="L75" s="11"/>
      <c r="M75" s="11"/>
      <c r="N75" s="11"/>
      <c r="O75" s="11" t="s">
        <v>434</v>
      </c>
      <c r="P75" s="9"/>
      <c r="Q75" s="5" t="str">
        <f>IFERROR(VLOOKUP($D75,LISTINO!$B:$I,6,FALSE),IFERROR(VLOOKUP($E75,LISTINO!$C:$I,5,FALSE),""))</f>
        <v/>
      </c>
      <c r="R75" s="12" t="str">
        <f t="shared" si="1"/>
        <v/>
      </c>
    </row>
    <row r="76" spans="1:18" x14ac:dyDescent="0.3">
      <c r="A76" s="4" t="s">
        <v>443</v>
      </c>
      <c r="B76" s="4"/>
      <c r="C76" s="11">
        <v>5</v>
      </c>
      <c r="D76" s="4" t="s">
        <v>379</v>
      </c>
      <c r="E76" s="4" t="s">
        <v>380</v>
      </c>
      <c r="F76" s="4" t="s">
        <v>449</v>
      </c>
      <c r="G76" s="11">
        <v>8</v>
      </c>
      <c r="H76" s="11"/>
      <c r="I76" s="11"/>
      <c r="J76" s="11"/>
      <c r="K76" s="11"/>
      <c r="L76" s="11"/>
      <c r="M76" s="11"/>
      <c r="N76" s="11"/>
      <c r="O76" s="11" t="s">
        <v>434</v>
      </c>
      <c r="P76" s="9"/>
      <c r="Q76" s="5" t="str">
        <f>IFERROR(VLOOKUP($D76,LISTINO!$B:$I,6,FALSE),IFERROR(VLOOKUP($E76,LISTINO!$C:$I,5,FALSE),""))</f>
        <v/>
      </c>
      <c r="R76" s="12" t="str">
        <f t="shared" si="1"/>
        <v/>
      </c>
    </row>
    <row r="77" spans="1:18" x14ac:dyDescent="0.3">
      <c r="A77" s="4" t="s">
        <v>443</v>
      </c>
      <c r="B77" s="4"/>
      <c r="C77" s="11">
        <v>2</v>
      </c>
      <c r="D77" s="4" t="s">
        <v>405</v>
      </c>
      <c r="E77" s="4" t="s">
        <v>406</v>
      </c>
      <c r="F77" s="4" t="s">
        <v>459</v>
      </c>
      <c r="G77" s="11">
        <v>1</v>
      </c>
      <c r="H77" s="11"/>
      <c r="I77" s="11"/>
      <c r="J77" s="11"/>
      <c r="K77" s="11"/>
      <c r="L77" s="11"/>
      <c r="M77" s="11"/>
      <c r="N77" s="11"/>
      <c r="O77" s="11" t="s">
        <v>434</v>
      </c>
      <c r="P77" s="9"/>
      <c r="Q77" s="5">
        <f>IFERROR(VLOOKUP($D77,LISTINO!$B:$I,6,FALSE),IFERROR(VLOOKUP($E77,LISTINO!$C:$I,5,FALSE),""))</f>
        <v>300</v>
      </c>
      <c r="R77" s="12">
        <f t="shared" si="1"/>
        <v>300</v>
      </c>
    </row>
    <row r="78" spans="1:18" x14ac:dyDescent="0.3">
      <c r="A78" s="4" t="s">
        <v>443</v>
      </c>
      <c r="B78" s="4"/>
      <c r="C78" s="11">
        <v>3</v>
      </c>
      <c r="D78" s="4" t="s">
        <v>356</v>
      </c>
      <c r="E78" s="4" t="s">
        <v>357</v>
      </c>
      <c r="F78" s="4" t="s">
        <v>449</v>
      </c>
      <c r="G78" s="11">
        <v>4</v>
      </c>
      <c r="H78" s="11"/>
      <c r="I78" s="11"/>
      <c r="J78" s="11"/>
      <c r="K78" s="11"/>
      <c r="L78" s="11"/>
      <c r="M78" s="11"/>
      <c r="N78" s="11"/>
      <c r="O78" s="11" t="s">
        <v>434</v>
      </c>
      <c r="P78" s="9"/>
      <c r="Q78" s="5" t="str">
        <f>IFERROR(VLOOKUP($D78,LISTINO!$B:$I,6,FALSE),IFERROR(VLOOKUP($E78,LISTINO!$C:$I,5,FALSE),""))</f>
        <v/>
      </c>
      <c r="R78" s="12" t="str">
        <f t="shared" si="1"/>
        <v/>
      </c>
    </row>
    <row r="79" spans="1:18" x14ac:dyDescent="0.3">
      <c r="A79" s="4" t="s">
        <v>443</v>
      </c>
      <c r="B79" s="4"/>
      <c r="C79" s="11">
        <v>4</v>
      </c>
      <c r="D79" s="4" t="s">
        <v>391</v>
      </c>
      <c r="E79" s="4" t="s">
        <v>392</v>
      </c>
      <c r="F79" s="4" t="s">
        <v>449</v>
      </c>
      <c r="G79" s="11">
        <v>4</v>
      </c>
      <c r="H79" s="11"/>
      <c r="I79" s="11"/>
      <c r="J79" s="11"/>
      <c r="K79" s="11"/>
      <c r="L79" s="11"/>
      <c r="M79" s="11"/>
      <c r="N79" s="11"/>
      <c r="O79" s="11" t="s">
        <v>434</v>
      </c>
      <c r="P79" s="9"/>
      <c r="Q79" s="5" t="str">
        <f>IFERROR(VLOOKUP($D79,LISTINO!$B:$I,6,FALSE),IFERROR(VLOOKUP($E79,LISTINO!$C:$I,5,FALSE),""))</f>
        <v/>
      </c>
      <c r="R79" s="12" t="str">
        <f t="shared" si="1"/>
        <v/>
      </c>
    </row>
    <row r="80" spans="1:18" x14ac:dyDescent="0.3">
      <c r="A80" s="4" t="s">
        <v>443</v>
      </c>
      <c r="B80" s="4"/>
      <c r="C80" s="11">
        <v>1</v>
      </c>
      <c r="D80" s="4" t="s">
        <v>44</v>
      </c>
      <c r="E80" s="4" t="s">
        <v>45</v>
      </c>
      <c r="F80" s="4" t="s">
        <v>433</v>
      </c>
      <c r="G80" s="11">
        <v>1</v>
      </c>
      <c r="H80" s="11"/>
      <c r="I80" s="11"/>
      <c r="J80" s="11"/>
      <c r="K80" s="11"/>
      <c r="L80" s="11"/>
      <c r="M80" s="11"/>
      <c r="N80" s="11"/>
      <c r="O80" s="11" t="s">
        <v>434</v>
      </c>
      <c r="P80" s="9"/>
      <c r="Q80" s="5">
        <f>IFERROR(VLOOKUP($D80,LISTINO!$B:$I,6,FALSE),IFERROR(VLOOKUP($E80,LISTINO!$C:$I,5,FALSE),""))</f>
        <v>0</v>
      </c>
      <c r="R80" s="12">
        <f t="shared" si="1"/>
        <v>0</v>
      </c>
    </row>
    <row r="81" spans="1:18" x14ac:dyDescent="0.3">
      <c r="A81" s="4" t="s">
        <v>443</v>
      </c>
      <c r="B81" s="4"/>
      <c r="C81" s="11">
        <v>5</v>
      </c>
      <c r="D81" s="4" t="s">
        <v>391</v>
      </c>
      <c r="E81" s="4" t="s">
        <v>392</v>
      </c>
      <c r="F81" s="4" t="s">
        <v>449</v>
      </c>
      <c r="G81" s="11">
        <v>4</v>
      </c>
      <c r="H81" s="11"/>
      <c r="I81" s="11"/>
      <c r="J81" s="11"/>
      <c r="K81" s="11"/>
      <c r="L81" s="11"/>
      <c r="M81" s="11"/>
      <c r="N81" s="11"/>
      <c r="O81" s="11" t="s">
        <v>434</v>
      </c>
      <c r="P81" s="9"/>
      <c r="Q81" s="5" t="str">
        <f>IFERROR(VLOOKUP($D81,LISTINO!$B:$I,6,FALSE),IFERROR(VLOOKUP($E81,LISTINO!$C:$I,5,FALSE),""))</f>
        <v/>
      </c>
      <c r="R81" s="12" t="str">
        <f t="shared" si="1"/>
        <v/>
      </c>
    </row>
    <row r="82" spans="1:18" x14ac:dyDescent="0.3">
      <c r="A82" s="4" t="s">
        <v>443</v>
      </c>
      <c r="B82" s="4"/>
      <c r="C82" s="11">
        <v>6</v>
      </c>
      <c r="D82" s="4" t="s">
        <v>381</v>
      </c>
      <c r="E82" s="4" t="s">
        <v>382</v>
      </c>
      <c r="F82" s="4" t="s">
        <v>449</v>
      </c>
      <c r="G82" s="11">
        <v>4</v>
      </c>
      <c r="H82" s="11"/>
      <c r="I82" s="11"/>
      <c r="J82" s="11"/>
      <c r="K82" s="11"/>
      <c r="L82" s="11"/>
      <c r="M82" s="11"/>
      <c r="N82" s="11"/>
      <c r="O82" s="11" t="s">
        <v>434</v>
      </c>
      <c r="P82" s="9"/>
      <c r="Q82" s="5" t="str">
        <f>IFERROR(VLOOKUP($D82,LISTINO!$B:$I,6,FALSE),IFERROR(VLOOKUP($E82,LISTINO!$C:$I,5,FALSE),""))</f>
        <v/>
      </c>
      <c r="R82" s="12" t="str">
        <f t="shared" si="1"/>
        <v/>
      </c>
    </row>
    <row r="83" spans="1:18" x14ac:dyDescent="0.3">
      <c r="A83" s="4" t="s">
        <v>439</v>
      </c>
      <c r="B83" s="4"/>
      <c r="C83" s="11">
        <v>1</v>
      </c>
      <c r="D83" s="4" t="s">
        <v>165</v>
      </c>
      <c r="E83" s="4" t="s">
        <v>480</v>
      </c>
      <c r="F83" s="4" t="s">
        <v>433</v>
      </c>
      <c r="G83" s="11">
        <v>1</v>
      </c>
      <c r="H83" s="11">
        <v>2</v>
      </c>
      <c r="I83" s="11">
        <v>4</v>
      </c>
      <c r="J83" s="11">
        <v>4</v>
      </c>
      <c r="K83" s="11">
        <v>4</v>
      </c>
      <c r="L83" s="11">
        <v>8</v>
      </c>
      <c r="M83" s="11">
        <v>10</v>
      </c>
      <c r="N83" s="11"/>
      <c r="O83" s="11" t="s">
        <v>434</v>
      </c>
      <c r="P83" s="9"/>
      <c r="Q83" s="5">
        <f>IFERROR(VLOOKUP($D83,LISTINO!$B:$I,6,FALSE),IFERROR(VLOOKUP($E83,LISTINO!$C:$I,5,FALSE),""))</f>
        <v>0</v>
      </c>
      <c r="R83" s="12">
        <f t="shared" si="1"/>
        <v>0</v>
      </c>
    </row>
    <row r="84" spans="1:18" x14ac:dyDescent="0.3">
      <c r="A84" s="4" t="s">
        <v>439</v>
      </c>
      <c r="B84" s="4"/>
      <c r="C84" s="11">
        <v>2</v>
      </c>
      <c r="D84" s="4" t="s">
        <v>73</v>
      </c>
      <c r="E84" s="4" t="s">
        <v>74</v>
      </c>
      <c r="F84" s="4" t="s">
        <v>433</v>
      </c>
      <c r="G84" s="11">
        <v>1</v>
      </c>
      <c r="H84" s="11">
        <v>2</v>
      </c>
      <c r="I84" s="11">
        <v>4</v>
      </c>
      <c r="J84" s="11">
        <v>4</v>
      </c>
      <c r="K84" s="11">
        <v>4</v>
      </c>
      <c r="L84" s="11">
        <v>8</v>
      </c>
      <c r="M84" s="11">
        <v>10</v>
      </c>
      <c r="N84" s="11"/>
      <c r="O84" s="11" t="s">
        <v>434</v>
      </c>
      <c r="P84" s="9"/>
      <c r="Q84" s="5">
        <f>IFERROR(VLOOKUP($D84,LISTINO!$B:$I,6,FALSE),IFERROR(VLOOKUP($E84,LISTINO!$C:$I,5,FALSE),""))</f>
        <v>0</v>
      </c>
      <c r="R84" s="12">
        <f t="shared" si="1"/>
        <v>0</v>
      </c>
    </row>
    <row r="85" spans="1:18" x14ac:dyDescent="0.3">
      <c r="A85" s="4" t="s">
        <v>439</v>
      </c>
      <c r="B85" s="4"/>
      <c r="C85" s="11">
        <v>2</v>
      </c>
      <c r="D85" s="4" t="s">
        <v>115</v>
      </c>
      <c r="E85" s="4" t="s">
        <v>116</v>
      </c>
      <c r="F85" s="4" t="s">
        <v>433</v>
      </c>
      <c r="G85" s="11">
        <v>0</v>
      </c>
      <c r="H85" s="11"/>
      <c r="I85" s="11"/>
      <c r="J85" s="11"/>
      <c r="K85" s="11"/>
      <c r="L85" s="11"/>
      <c r="M85" s="11"/>
      <c r="N85" s="11"/>
      <c r="O85" s="11" t="s">
        <v>434</v>
      </c>
      <c r="P85" s="9"/>
      <c r="Q85" s="5">
        <f>IFERROR(VLOOKUP($D85,LISTINO!$B:$I,6,FALSE),IFERROR(VLOOKUP($E85,LISTINO!$C:$I,5,FALSE),""))</f>
        <v>0</v>
      </c>
      <c r="R85" s="12">
        <f t="shared" si="1"/>
        <v>0</v>
      </c>
    </row>
    <row r="86" spans="1:18" x14ac:dyDescent="0.3">
      <c r="A86" s="4" t="s">
        <v>439</v>
      </c>
      <c r="B86" s="4"/>
      <c r="C86" s="11">
        <v>2</v>
      </c>
      <c r="D86" s="4" t="s">
        <v>79</v>
      </c>
      <c r="E86" s="4" t="s">
        <v>80</v>
      </c>
      <c r="F86" s="4" t="s">
        <v>433</v>
      </c>
      <c r="G86" s="11">
        <v>0</v>
      </c>
      <c r="H86" s="11"/>
      <c r="I86" s="11"/>
      <c r="J86" s="11"/>
      <c r="K86" s="11"/>
      <c r="L86" s="11"/>
      <c r="M86" s="11"/>
      <c r="N86" s="11"/>
      <c r="O86" s="11" t="s">
        <v>434</v>
      </c>
      <c r="P86" s="9"/>
      <c r="Q86" s="5">
        <f>IFERROR(VLOOKUP($D86,LISTINO!$B:$I,6,FALSE),IFERROR(VLOOKUP($E86,LISTINO!$C:$I,5,FALSE),""))</f>
        <v>0</v>
      </c>
      <c r="R86" s="12">
        <f t="shared" si="1"/>
        <v>0</v>
      </c>
    </row>
    <row r="87" spans="1:18" x14ac:dyDescent="0.3">
      <c r="A87" s="4" t="s">
        <v>439</v>
      </c>
      <c r="B87" s="4"/>
      <c r="C87" s="11">
        <v>2</v>
      </c>
      <c r="D87" s="4" t="s">
        <v>121</v>
      </c>
      <c r="E87" s="4" t="s">
        <v>122</v>
      </c>
      <c r="F87" s="4" t="s">
        <v>433</v>
      </c>
      <c r="G87" s="11">
        <v>0</v>
      </c>
      <c r="H87" s="11"/>
      <c r="I87" s="11"/>
      <c r="J87" s="11"/>
      <c r="K87" s="11"/>
      <c r="L87" s="11"/>
      <c r="M87" s="11"/>
      <c r="N87" s="11"/>
      <c r="O87" s="11" t="s">
        <v>434</v>
      </c>
      <c r="P87" s="9"/>
      <c r="Q87" s="5">
        <f>IFERROR(VLOOKUP($D87,LISTINO!$B:$I,6,FALSE),IFERROR(VLOOKUP($E87,LISTINO!$C:$I,5,FALSE),""))</f>
        <v>0</v>
      </c>
      <c r="R87" s="12">
        <f t="shared" si="1"/>
        <v>0</v>
      </c>
    </row>
    <row r="88" spans="1:18" x14ac:dyDescent="0.3">
      <c r="A88" s="4" t="s">
        <v>439</v>
      </c>
      <c r="B88" s="4"/>
      <c r="C88" s="11">
        <v>2</v>
      </c>
      <c r="D88" s="4" t="s">
        <v>81</v>
      </c>
      <c r="E88" s="4" t="s">
        <v>82</v>
      </c>
      <c r="F88" s="4" t="s">
        <v>433</v>
      </c>
      <c r="G88" s="11">
        <v>0</v>
      </c>
      <c r="H88" s="11"/>
      <c r="I88" s="11"/>
      <c r="J88" s="11"/>
      <c r="K88" s="11"/>
      <c r="L88" s="11"/>
      <c r="M88" s="11"/>
      <c r="N88" s="11"/>
      <c r="O88" s="11" t="s">
        <v>434</v>
      </c>
      <c r="P88" s="9"/>
      <c r="Q88" s="5">
        <f>IFERROR(VLOOKUP($D88,LISTINO!$B:$I,6,FALSE),IFERROR(VLOOKUP($E88,LISTINO!$C:$I,5,FALSE),""))</f>
        <v>0</v>
      </c>
      <c r="R88" s="12">
        <f t="shared" si="1"/>
        <v>0</v>
      </c>
    </row>
    <row r="89" spans="1:18" x14ac:dyDescent="0.3">
      <c r="A89" s="4" t="s">
        <v>439</v>
      </c>
      <c r="B89" s="4"/>
      <c r="C89" s="11">
        <v>2</v>
      </c>
      <c r="D89" s="4" t="s">
        <v>123</v>
      </c>
      <c r="E89" s="4" t="s">
        <v>124</v>
      </c>
      <c r="F89" s="4" t="s">
        <v>433</v>
      </c>
      <c r="G89" s="11">
        <v>0</v>
      </c>
      <c r="H89" s="11"/>
      <c r="I89" s="11"/>
      <c r="J89" s="11"/>
      <c r="K89" s="11"/>
      <c r="L89" s="11"/>
      <c r="M89" s="11"/>
      <c r="N89" s="11"/>
      <c r="O89" s="11" t="s">
        <v>434</v>
      </c>
      <c r="P89" s="9"/>
      <c r="Q89" s="5">
        <f>IFERROR(VLOOKUP($D89,LISTINO!$B:$I,6,FALSE),IFERROR(VLOOKUP($E89,LISTINO!$C:$I,5,FALSE),""))</f>
        <v>0</v>
      </c>
      <c r="R89" s="12">
        <f t="shared" si="1"/>
        <v>0</v>
      </c>
    </row>
    <row r="90" spans="1:18" x14ac:dyDescent="0.3">
      <c r="A90" s="4" t="s">
        <v>439</v>
      </c>
      <c r="B90" s="4"/>
      <c r="C90" s="11">
        <v>2</v>
      </c>
      <c r="D90" s="4" t="s">
        <v>83</v>
      </c>
      <c r="E90" s="4" t="s">
        <v>84</v>
      </c>
      <c r="F90" s="4" t="s">
        <v>433</v>
      </c>
      <c r="G90" s="11">
        <v>0</v>
      </c>
      <c r="H90" s="11"/>
      <c r="I90" s="11"/>
      <c r="J90" s="11"/>
      <c r="K90" s="11"/>
      <c r="L90" s="11"/>
      <c r="M90" s="11"/>
      <c r="N90" s="11"/>
      <c r="O90" s="11" t="s">
        <v>434</v>
      </c>
      <c r="P90" s="9"/>
      <c r="Q90" s="5">
        <f>IFERROR(VLOOKUP($D90,LISTINO!$B:$I,6,FALSE),IFERROR(VLOOKUP($E90,LISTINO!$C:$I,5,FALSE),""))</f>
        <v>0</v>
      </c>
      <c r="R90" s="12">
        <f t="shared" si="1"/>
        <v>0</v>
      </c>
    </row>
    <row r="91" spans="1:18" x14ac:dyDescent="0.3">
      <c r="A91" s="4" t="s">
        <v>439</v>
      </c>
      <c r="B91" s="4"/>
      <c r="C91" s="11">
        <v>2</v>
      </c>
      <c r="D91" s="4" t="s">
        <v>125</v>
      </c>
      <c r="E91" s="4" t="s">
        <v>126</v>
      </c>
      <c r="F91" s="4" t="s">
        <v>433</v>
      </c>
      <c r="G91" s="11">
        <v>0</v>
      </c>
      <c r="H91" s="11"/>
      <c r="I91" s="11"/>
      <c r="J91" s="11"/>
      <c r="K91" s="11"/>
      <c r="L91" s="11"/>
      <c r="M91" s="11"/>
      <c r="N91" s="11"/>
      <c r="O91" s="11" t="s">
        <v>434</v>
      </c>
      <c r="P91" s="9"/>
      <c r="Q91" s="5">
        <f>IFERROR(VLOOKUP($D91,LISTINO!$B:$I,6,FALSE),IFERROR(VLOOKUP($E91,LISTINO!$C:$I,5,FALSE),""))</f>
        <v>0</v>
      </c>
      <c r="R91" s="12">
        <f t="shared" si="1"/>
        <v>0</v>
      </c>
    </row>
    <row r="92" spans="1:18" x14ac:dyDescent="0.3">
      <c r="A92" s="4" t="s">
        <v>439</v>
      </c>
      <c r="B92" s="4"/>
      <c r="C92" s="11">
        <v>2</v>
      </c>
      <c r="D92" s="4" t="s">
        <v>85</v>
      </c>
      <c r="E92" s="4" t="s">
        <v>86</v>
      </c>
      <c r="F92" s="4" t="s">
        <v>433</v>
      </c>
      <c r="G92" s="11">
        <v>0</v>
      </c>
      <c r="H92" s="11"/>
      <c r="I92" s="11"/>
      <c r="J92" s="11"/>
      <c r="K92" s="11"/>
      <c r="L92" s="11"/>
      <c r="M92" s="11"/>
      <c r="N92" s="11"/>
      <c r="O92" s="11" t="s">
        <v>434</v>
      </c>
      <c r="P92" s="9"/>
      <c r="Q92" s="5">
        <f>IFERROR(VLOOKUP($D92,LISTINO!$B:$I,6,FALSE),IFERROR(VLOOKUP($E92,LISTINO!$C:$I,5,FALSE),""))</f>
        <v>0</v>
      </c>
      <c r="R92" s="12">
        <f t="shared" si="1"/>
        <v>0</v>
      </c>
    </row>
    <row r="93" spans="1:18" x14ac:dyDescent="0.3">
      <c r="A93" s="4" t="s">
        <v>439</v>
      </c>
      <c r="B93" s="4"/>
      <c r="C93" s="11">
        <v>2</v>
      </c>
      <c r="D93" s="4" t="s">
        <v>127</v>
      </c>
      <c r="E93" s="4" t="s">
        <v>128</v>
      </c>
      <c r="F93" s="4" t="s">
        <v>433</v>
      </c>
      <c r="G93" s="11">
        <v>0</v>
      </c>
      <c r="H93" s="11"/>
      <c r="I93" s="11"/>
      <c r="J93" s="11"/>
      <c r="K93" s="11"/>
      <c r="L93" s="11"/>
      <c r="M93" s="11"/>
      <c r="N93" s="11"/>
      <c r="O93" s="11" t="s">
        <v>434</v>
      </c>
      <c r="P93" s="9"/>
      <c r="Q93" s="5">
        <f>IFERROR(VLOOKUP($D93,LISTINO!$B:$I,6,FALSE),IFERROR(VLOOKUP($E93,LISTINO!$C:$I,5,FALSE),""))</f>
        <v>0</v>
      </c>
      <c r="R93" s="12">
        <f t="shared" si="1"/>
        <v>0</v>
      </c>
    </row>
    <row r="94" spans="1:18" x14ac:dyDescent="0.3">
      <c r="A94" s="4" t="s">
        <v>439</v>
      </c>
      <c r="B94" s="4"/>
      <c r="C94" s="11">
        <v>2</v>
      </c>
      <c r="D94" s="4" t="s">
        <v>87</v>
      </c>
      <c r="E94" s="4" t="s">
        <v>88</v>
      </c>
      <c r="F94" s="4" t="s">
        <v>433</v>
      </c>
      <c r="G94" s="11">
        <v>0</v>
      </c>
      <c r="H94" s="11"/>
      <c r="I94" s="11"/>
      <c r="J94" s="11"/>
      <c r="K94" s="11"/>
      <c r="L94" s="11"/>
      <c r="M94" s="11"/>
      <c r="N94" s="11"/>
      <c r="O94" s="11" t="s">
        <v>434</v>
      </c>
      <c r="P94" s="9"/>
      <c r="Q94" s="5">
        <f>IFERROR(VLOOKUP($D94,LISTINO!$B:$I,6,FALSE),IFERROR(VLOOKUP($E94,LISTINO!$C:$I,5,FALSE),""))</f>
        <v>0</v>
      </c>
      <c r="R94" s="12">
        <f t="shared" si="1"/>
        <v>0</v>
      </c>
    </row>
    <row r="95" spans="1:18" x14ac:dyDescent="0.3">
      <c r="A95" s="4" t="s">
        <v>439</v>
      </c>
      <c r="B95" s="4"/>
      <c r="C95" s="11">
        <v>2</v>
      </c>
      <c r="D95" s="4" t="s">
        <v>129</v>
      </c>
      <c r="E95" s="4" t="s">
        <v>130</v>
      </c>
      <c r="F95" s="4" t="s">
        <v>433</v>
      </c>
      <c r="G95" s="11">
        <v>0</v>
      </c>
      <c r="H95" s="11"/>
      <c r="I95" s="11"/>
      <c r="J95" s="11"/>
      <c r="K95" s="11"/>
      <c r="L95" s="11"/>
      <c r="M95" s="11"/>
      <c r="N95" s="11"/>
      <c r="O95" s="11" t="s">
        <v>434</v>
      </c>
      <c r="P95" s="9"/>
      <c r="Q95" s="5">
        <f>IFERROR(VLOOKUP($D95,LISTINO!$B:$I,6,FALSE),IFERROR(VLOOKUP($E95,LISTINO!$C:$I,5,FALSE),""))</f>
        <v>0</v>
      </c>
      <c r="R95" s="12">
        <f t="shared" si="1"/>
        <v>0</v>
      </c>
    </row>
    <row r="96" spans="1:18" x14ac:dyDescent="0.3">
      <c r="A96" s="4" t="s">
        <v>439</v>
      </c>
      <c r="B96" s="4"/>
      <c r="C96" s="11">
        <v>2</v>
      </c>
      <c r="D96" s="4" t="s">
        <v>89</v>
      </c>
      <c r="E96" s="4" t="s">
        <v>90</v>
      </c>
      <c r="F96" s="4" t="s">
        <v>433</v>
      </c>
      <c r="G96" s="11">
        <v>0</v>
      </c>
      <c r="H96" s="11"/>
      <c r="I96" s="11"/>
      <c r="J96" s="11"/>
      <c r="K96" s="11"/>
      <c r="L96" s="11"/>
      <c r="M96" s="11"/>
      <c r="N96" s="11"/>
      <c r="O96" s="11" t="s">
        <v>434</v>
      </c>
      <c r="P96" s="9"/>
      <c r="Q96" s="5">
        <f>IFERROR(VLOOKUP($D96,LISTINO!$B:$I,6,FALSE),IFERROR(VLOOKUP($E96,LISTINO!$C:$I,5,FALSE),""))</f>
        <v>0</v>
      </c>
      <c r="R96" s="12">
        <f t="shared" si="1"/>
        <v>0</v>
      </c>
    </row>
    <row r="97" spans="1:18" x14ac:dyDescent="0.3">
      <c r="A97" s="4" t="s">
        <v>439</v>
      </c>
      <c r="B97" s="4"/>
      <c r="C97" s="11">
        <v>2</v>
      </c>
      <c r="D97" s="4" t="s">
        <v>131</v>
      </c>
      <c r="E97" s="4" t="s">
        <v>132</v>
      </c>
      <c r="F97" s="4" t="s">
        <v>433</v>
      </c>
      <c r="G97" s="11">
        <v>0</v>
      </c>
      <c r="H97" s="11"/>
      <c r="I97" s="11"/>
      <c r="J97" s="11"/>
      <c r="K97" s="11"/>
      <c r="L97" s="11"/>
      <c r="M97" s="11"/>
      <c r="N97" s="11"/>
      <c r="O97" s="11" t="s">
        <v>434</v>
      </c>
      <c r="P97" s="9"/>
      <c r="Q97" s="5">
        <f>IFERROR(VLOOKUP($D97,LISTINO!$B:$I,6,FALSE),IFERROR(VLOOKUP($E97,LISTINO!$C:$I,5,FALSE),""))</f>
        <v>0</v>
      </c>
      <c r="R97" s="12">
        <f t="shared" si="1"/>
        <v>0</v>
      </c>
    </row>
    <row r="98" spans="1:18" x14ac:dyDescent="0.3">
      <c r="A98" s="4" t="s">
        <v>439</v>
      </c>
      <c r="B98" s="4"/>
      <c r="C98" s="11">
        <v>2</v>
      </c>
      <c r="D98" s="4" t="s">
        <v>91</v>
      </c>
      <c r="E98" s="4" t="s">
        <v>92</v>
      </c>
      <c r="F98" s="4" t="s">
        <v>433</v>
      </c>
      <c r="G98" s="11">
        <v>0</v>
      </c>
      <c r="H98" s="11"/>
      <c r="I98" s="11"/>
      <c r="J98" s="11"/>
      <c r="K98" s="11"/>
      <c r="L98" s="11"/>
      <c r="M98" s="11"/>
      <c r="N98" s="11"/>
      <c r="O98" s="11" t="s">
        <v>434</v>
      </c>
      <c r="P98" s="9"/>
      <c r="Q98" s="5">
        <f>IFERROR(VLOOKUP($D98,LISTINO!$B:$I,6,FALSE),IFERROR(VLOOKUP($E98,LISTINO!$C:$I,5,FALSE),""))</f>
        <v>0</v>
      </c>
      <c r="R98" s="12">
        <f t="shared" si="1"/>
        <v>0</v>
      </c>
    </row>
    <row r="99" spans="1:18" x14ac:dyDescent="0.3">
      <c r="A99" s="4" t="s">
        <v>439</v>
      </c>
      <c r="B99" s="4"/>
      <c r="C99" s="11">
        <v>2</v>
      </c>
      <c r="D99" s="4" t="s">
        <v>133</v>
      </c>
      <c r="E99" s="4" t="s">
        <v>134</v>
      </c>
      <c r="F99" s="4" t="s">
        <v>433</v>
      </c>
      <c r="G99" s="11">
        <v>0</v>
      </c>
      <c r="H99" s="11"/>
      <c r="I99" s="11"/>
      <c r="J99" s="11"/>
      <c r="K99" s="11"/>
      <c r="L99" s="11"/>
      <c r="M99" s="11"/>
      <c r="N99" s="11"/>
      <c r="O99" s="11" t="s">
        <v>434</v>
      </c>
      <c r="P99" s="9"/>
      <c r="Q99" s="5">
        <f>IFERROR(VLOOKUP($D99,LISTINO!$B:$I,6,FALSE),IFERROR(VLOOKUP($E99,LISTINO!$C:$I,5,FALSE),""))</f>
        <v>0</v>
      </c>
      <c r="R99" s="12">
        <f t="shared" si="1"/>
        <v>0</v>
      </c>
    </row>
    <row r="100" spans="1:18" x14ac:dyDescent="0.3">
      <c r="A100" s="4" t="s">
        <v>439</v>
      </c>
      <c r="B100" s="4"/>
      <c r="C100" s="11">
        <v>2</v>
      </c>
      <c r="D100" s="4" t="s">
        <v>93</v>
      </c>
      <c r="E100" s="4" t="s">
        <v>94</v>
      </c>
      <c r="F100" s="4" t="s">
        <v>433</v>
      </c>
      <c r="G100" s="11">
        <v>0</v>
      </c>
      <c r="H100" s="11"/>
      <c r="I100" s="11"/>
      <c r="J100" s="11"/>
      <c r="K100" s="11"/>
      <c r="L100" s="11"/>
      <c r="M100" s="11"/>
      <c r="N100" s="11"/>
      <c r="O100" s="11" t="s">
        <v>434</v>
      </c>
      <c r="P100" s="9"/>
      <c r="Q100" s="5">
        <f>IFERROR(VLOOKUP($D100,LISTINO!$B:$I,6,FALSE),IFERROR(VLOOKUP($E100,LISTINO!$C:$I,5,FALSE),""))</f>
        <v>0</v>
      </c>
      <c r="R100" s="12">
        <f t="shared" si="1"/>
        <v>0</v>
      </c>
    </row>
    <row r="101" spans="1:18" x14ac:dyDescent="0.3">
      <c r="A101" s="4" t="s">
        <v>439</v>
      </c>
      <c r="B101" s="4"/>
      <c r="C101" s="11">
        <v>2</v>
      </c>
      <c r="D101" s="4" t="s">
        <v>135</v>
      </c>
      <c r="E101" s="4" t="s">
        <v>136</v>
      </c>
      <c r="F101" s="4" t="s">
        <v>433</v>
      </c>
      <c r="G101" s="11">
        <v>0</v>
      </c>
      <c r="H101" s="11"/>
      <c r="I101" s="11"/>
      <c r="J101" s="11"/>
      <c r="K101" s="11"/>
      <c r="L101" s="11"/>
      <c r="M101" s="11"/>
      <c r="N101" s="11"/>
      <c r="O101" s="11" t="s">
        <v>434</v>
      </c>
      <c r="P101" s="9"/>
      <c r="Q101" s="5">
        <f>IFERROR(VLOOKUP($D101,LISTINO!$B:$I,6,FALSE),IFERROR(VLOOKUP($E101,LISTINO!$C:$I,5,FALSE),""))</f>
        <v>0</v>
      </c>
      <c r="R101" s="12">
        <f t="shared" si="1"/>
        <v>0</v>
      </c>
    </row>
    <row r="102" spans="1:18" x14ac:dyDescent="0.3">
      <c r="A102" s="4" t="s">
        <v>439</v>
      </c>
      <c r="B102" s="4"/>
      <c r="C102" s="11">
        <v>2</v>
      </c>
      <c r="D102" s="4" t="s">
        <v>95</v>
      </c>
      <c r="E102" s="4" t="s">
        <v>96</v>
      </c>
      <c r="F102" s="4" t="s">
        <v>433</v>
      </c>
      <c r="G102" s="11">
        <v>0</v>
      </c>
      <c r="H102" s="11"/>
      <c r="I102" s="11"/>
      <c r="J102" s="11"/>
      <c r="K102" s="11"/>
      <c r="L102" s="11"/>
      <c r="M102" s="11"/>
      <c r="N102" s="11"/>
      <c r="O102" s="11" t="s">
        <v>434</v>
      </c>
      <c r="P102" s="9"/>
      <c r="Q102" s="5">
        <f>IFERROR(VLOOKUP($D102,LISTINO!$B:$I,6,FALSE),IFERROR(VLOOKUP($E102,LISTINO!$C:$I,5,FALSE),""))</f>
        <v>0</v>
      </c>
      <c r="R102" s="12">
        <f t="shared" si="1"/>
        <v>0</v>
      </c>
    </row>
    <row r="103" spans="1:18" x14ac:dyDescent="0.3">
      <c r="A103" s="4" t="s">
        <v>439</v>
      </c>
      <c r="B103" s="4"/>
      <c r="C103" s="11">
        <v>2</v>
      </c>
      <c r="D103" s="4" t="s">
        <v>137</v>
      </c>
      <c r="E103" s="4" t="s">
        <v>138</v>
      </c>
      <c r="F103" s="4" t="s">
        <v>433</v>
      </c>
      <c r="G103" s="11">
        <v>0</v>
      </c>
      <c r="H103" s="11"/>
      <c r="I103" s="11"/>
      <c r="J103" s="11"/>
      <c r="K103" s="11"/>
      <c r="L103" s="11"/>
      <c r="M103" s="11"/>
      <c r="N103" s="11"/>
      <c r="O103" s="11" t="s">
        <v>434</v>
      </c>
      <c r="P103" s="9"/>
      <c r="Q103" s="5">
        <f>IFERROR(VLOOKUP($D103,LISTINO!$B:$I,6,FALSE),IFERROR(VLOOKUP($E103,LISTINO!$C:$I,5,FALSE),""))</f>
        <v>0</v>
      </c>
      <c r="R103" s="12">
        <f t="shared" si="1"/>
        <v>0</v>
      </c>
    </row>
    <row r="104" spans="1:18" x14ac:dyDescent="0.3">
      <c r="A104" s="4" t="s">
        <v>439</v>
      </c>
      <c r="B104" s="4"/>
      <c r="C104" s="11">
        <v>2</v>
      </c>
      <c r="D104" s="4" t="s">
        <v>97</v>
      </c>
      <c r="E104" s="4" t="s">
        <v>98</v>
      </c>
      <c r="F104" s="4" t="s">
        <v>433</v>
      </c>
      <c r="G104" s="11">
        <v>0</v>
      </c>
      <c r="H104" s="11"/>
      <c r="I104" s="11"/>
      <c r="J104" s="11"/>
      <c r="K104" s="11"/>
      <c r="L104" s="11"/>
      <c r="M104" s="11"/>
      <c r="N104" s="11"/>
      <c r="O104" s="11" t="s">
        <v>434</v>
      </c>
      <c r="P104" s="9"/>
      <c r="Q104" s="5">
        <f>IFERROR(VLOOKUP($D104,LISTINO!$B:$I,6,FALSE),IFERROR(VLOOKUP($E104,LISTINO!$C:$I,5,FALSE),""))</f>
        <v>0</v>
      </c>
      <c r="R104" s="12">
        <f t="shared" si="1"/>
        <v>0</v>
      </c>
    </row>
    <row r="105" spans="1:18" x14ac:dyDescent="0.3">
      <c r="A105" s="4" t="s">
        <v>439</v>
      </c>
      <c r="B105" s="4"/>
      <c r="C105" s="11">
        <v>2</v>
      </c>
      <c r="D105" s="4" t="s">
        <v>139</v>
      </c>
      <c r="E105" s="4" t="s">
        <v>140</v>
      </c>
      <c r="F105" s="4" t="s">
        <v>433</v>
      </c>
      <c r="G105" s="11">
        <v>0</v>
      </c>
      <c r="H105" s="11"/>
      <c r="I105" s="11"/>
      <c r="J105" s="11"/>
      <c r="K105" s="11"/>
      <c r="L105" s="11"/>
      <c r="M105" s="11"/>
      <c r="N105" s="11"/>
      <c r="O105" s="11" t="s">
        <v>434</v>
      </c>
      <c r="P105" s="9"/>
      <c r="Q105" s="5">
        <f>IFERROR(VLOOKUP($D105,LISTINO!$B:$I,6,FALSE),IFERROR(VLOOKUP($E105,LISTINO!$C:$I,5,FALSE),""))</f>
        <v>0</v>
      </c>
      <c r="R105" s="12">
        <f t="shared" si="1"/>
        <v>0</v>
      </c>
    </row>
    <row r="106" spans="1:18" x14ac:dyDescent="0.3">
      <c r="A106" s="4" t="s">
        <v>439</v>
      </c>
      <c r="B106" s="4"/>
      <c r="C106" s="11">
        <v>2</v>
      </c>
      <c r="D106" s="4" t="s">
        <v>99</v>
      </c>
      <c r="E106" s="4" t="s">
        <v>100</v>
      </c>
      <c r="F106" s="4" t="s">
        <v>433</v>
      </c>
      <c r="G106" s="11">
        <v>0</v>
      </c>
      <c r="H106" s="11"/>
      <c r="I106" s="11"/>
      <c r="J106" s="11"/>
      <c r="K106" s="11"/>
      <c r="L106" s="11"/>
      <c r="M106" s="11"/>
      <c r="N106" s="11"/>
      <c r="O106" s="11" t="s">
        <v>434</v>
      </c>
      <c r="P106" s="9"/>
      <c r="Q106" s="5">
        <f>IFERROR(VLOOKUP($D106,LISTINO!$B:$I,6,FALSE),IFERROR(VLOOKUP($E106,LISTINO!$C:$I,5,FALSE),""))</f>
        <v>0</v>
      </c>
      <c r="R106" s="12">
        <f t="shared" si="1"/>
        <v>0</v>
      </c>
    </row>
    <row r="107" spans="1:18" x14ac:dyDescent="0.3">
      <c r="A107" s="4" t="s">
        <v>439</v>
      </c>
      <c r="B107" s="4"/>
      <c r="C107" s="11">
        <v>2</v>
      </c>
      <c r="D107" s="4" t="s">
        <v>141</v>
      </c>
      <c r="E107" s="4" t="s">
        <v>142</v>
      </c>
      <c r="F107" s="4" t="s">
        <v>433</v>
      </c>
      <c r="G107" s="11">
        <v>0</v>
      </c>
      <c r="H107" s="11"/>
      <c r="I107" s="11"/>
      <c r="J107" s="11"/>
      <c r="K107" s="11"/>
      <c r="L107" s="11"/>
      <c r="M107" s="11"/>
      <c r="N107" s="11"/>
      <c r="O107" s="11" t="s">
        <v>434</v>
      </c>
      <c r="P107" s="9"/>
      <c r="Q107" s="5">
        <f>IFERROR(VLOOKUP($D107,LISTINO!$B:$I,6,FALSE),IFERROR(VLOOKUP($E107,LISTINO!$C:$I,5,FALSE),""))</f>
        <v>0</v>
      </c>
      <c r="R107" s="12">
        <f t="shared" si="1"/>
        <v>0</v>
      </c>
    </row>
    <row r="108" spans="1:18" x14ac:dyDescent="0.3">
      <c r="A108" s="4" t="s">
        <v>439</v>
      </c>
      <c r="B108" s="4"/>
      <c r="C108" s="11">
        <v>2</v>
      </c>
      <c r="D108" s="4" t="s">
        <v>101</v>
      </c>
      <c r="E108" s="4" t="s">
        <v>102</v>
      </c>
      <c r="F108" s="4" t="s">
        <v>433</v>
      </c>
      <c r="G108" s="11">
        <v>0</v>
      </c>
      <c r="H108" s="11"/>
      <c r="I108" s="11"/>
      <c r="J108" s="11"/>
      <c r="K108" s="11"/>
      <c r="L108" s="11"/>
      <c r="M108" s="11"/>
      <c r="N108" s="11"/>
      <c r="O108" s="11" t="s">
        <v>434</v>
      </c>
      <c r="P108" s="9"/>
      <c r="Q108" s="5">
        <f>IFERROR(VLOOKUP($D108,LISTINO!$B:$I,6,FALSE),IFERROR(VLOOKUP($E108,LISTINO!$C:$I,5,FALSE),""))</f>
        <v>0</v>
      </c>
      <c r="R108" s="12">
        <f t="shared" si="1"/>
        <v>0</v>
      </c>
    </row>
    <row r="109" spans="1:18" x14ac:dyDescent="0.3">
      <c r="A109" s="4" t="s">
        <v>439</v>
      </c>
      <c r="B109" s="4"/>
      <c r="C109" s="11">
        <v>2</v>
      </c>
      <c r="D109" s="4" t="s">
        <v>143</v>
      </c>
      <c r="E109" s="4" t="s">
        <v>144</v>
      </c>
      <c r="F109" s="4" t="s">
        <v>433</v>
      </c>
      <c r="G109" s="11">
        <v>0</v>
      </c>
      <c r="H109" s="11"/>
      <c r="I109" s="11"/>
      <c r="J109" s="11"/>
      <c r="K109" s="11"/>
      <c r="L109" s="11"/>
      <c r="M109" s="11"/>
      <c r="N109" s="11"/>
      <c r="O109" s="11" t="s">
        <v>434</v>
      </c>
      <c r="P109" s="9"/>
      <c r="Q109" s="5">
        <f>IFERROR(VLOOKUP($D109,LISTINO!$B:$I,6,FALSE),IFERROR(VLOOKUP($E109,LISTINO!$C:$I,5,FALSE),""))</f>
        <v>0</v>
      </c>
      <c r="R109" s="12">
        <f t="shared" si="1"/>
        <v>0</v>
      </c>
    </row>
    <row r="110" spans="1:18" x14ac:dyDescent="0.3">
      <c r="A110" s="4" t="s">
        <v>439</v>
      </c>
      <c r="B110" s="4"/>
      <c r="C110" s="11">
        <v>2</v>
      </c>
      <c r="D110" s="4" t="s">
        <v>103</v>
      </c>
      <c r="E110" s="4" t="s">
        <v>104</v>
      </c>
      <c r="F110" s="4" t="s">
        <v>433</v>
      </c>
      <c r="G110" s="11">
        <v>0</v>
      </c>
      <c r="H110" s="11"/>
      <c r="I110" s="11"/>
      <c r="J110" s="11"/>
      <c r="K110" s="11"/>
      <c r="L110" s="11"/>
      <c r="M110" s="11"/>
      <c r="N110" s="11"/>
      <c r="O110" s="11" t="s">
        <v>434</v>
      </c>
      <c r="P110" s="9"/>
      <c r="Q110" s="5">
        <f>IFERROR(VLOOKUP($D110,LISTINO!$B:$I,6,FALSE),IFERROR(VLOOKUP($E110,LISTINO!$C:$I,5,FALSE),""))</f>
        <v>0</v>
      </c>
      <c r="R110" s="12">
        <f t="shared" si="1"/>
        <v>0</v>
      </c>
    </row>
    <row r="111" spans="1:18" x14ac:dyDescent="0.3">
      <c r="A111" s="4" t="s">
        <v>439</v>
      </c>
      <c r="B111" s="4"/>
      <c r="C111" s="11">
        <v>2</v>
      </c>
      <c r="D111" s="4" t="s">
        <v>145</v>
      </c>
      <c r="E111" s="4" t="s">
        <v>146</v>
      </c>
      <c r="F111" s="4" t="s">
        <v>433</v>
      </c>
      <c r="G111" s="11">
        <v>0</v>
      </c>
      <c r="H111" s="11"/>
      <c r="I111" s="11"/>
      <c r="J111" s="11"/>
      <c r="K111" s="11"/>
      <c r="L111" s="11"/>
      <c r="M111" s="11"/>
      <c r="N111" s="11"/>
      <c r="O111" s="11" t="s">
        <v>434</v>
      </c>
      <c r="P111" s="9"/>
      <c r="Q111" s="5">
        <f>IFERROR(VLOOKUP($D111,LISTINO!$B:$I,6,FALSE),IFERROR(VLOOKUP($E111,LISTINO!$C:$I,5,FALSE),""))</f>
        <v>0</v>
      </c>
      <c r="R111" s="12">
        <f t="shared" si="1"/>
        <v>0</v>
      </c>
    </row>
    <row r="112" spans="1:18" x14ac:dyDescent="0.3">
      <c r="A112" s="4" t="s">
        <v>439</v>
      </c>
      <c r="B112" s="4"/>
      <c r="C112" s="11">
        <v>2</v>
      </c>
      <c r="D112" s="4" t="s">
        <v>105</v>
      </c>
      <c r="E112" s="4" t="s">
        <v>106</v>
      </c>
      <c r="F112" s="4" t="s">
        <v>433</v>
      </c>
      <c r="G112" s="11">
        <v>0</v>
      </c>
      <c r="H112" s="11"/>
      <c r="I112" s="11"/>
      <c r="J112" s="11"/>
      <c r="K112" s="11"/>
      <c r="L112" s="11"/>
      <c r="M112" s="11"/>
      <c r="N112" s="11"/>
      <c r="O112" s="11" t="s">
        <v>434</v>
      </c>
      <c r="P112" s="9"/>
      <c r="Q112" s="5">
        <f>IFERROR(VLOOKUP($D112,LISTINO!$B:$I,6,FALSE),IFERROR(VLOOKUP($E112,LISTINO!$C:$I,5,FALSE),""))</f>
        <v>0</v>
      </c>
      <c r="R112" s="12">
        <f t="shared" si="1"/>
        <v>0</v>
      </c>
    </row>
    <row r="113" spans="1:18" x14ac:dyDescent="0.3">
      <c r="A113" s="4" t="s">
        <v>439</v>
      </c>
      <c r="B113" s="4"/>
      <c r="C113" s="11">
        <v>2</v>
      </c>
      <c r="D113" s="4" t="s">
        <v>147</v>
      </c>
      <c r="E113" s="4" t="s">
        <v>148</v>
      </c>
      <c r="F113" s="4" t="s">
        <v>433</v>
      </c>
      <c r="G113" s="11">
        <v>0</v>
      </c>
      <c r="H113" s="11"/>
      <c r="I113" s="11"/>
      <c r="J113" s="11"/>
      <c r="K113" s="11"/>
      <c r="L113" s="11"/>
      <c r="M113" s="11"/>
      <c r="N113" s="11"/>
      <c r="O113" s="11" t="s">
        <v>434</v>
      </c>
      <c r="P113" s="9"/>
      <c r="Q113" s="5">
        <f>IFERROR(VLOOKUP($D113,LISTINO!$B:$I,6,FALSE),IFERROR(VLOOKUP($E113,LISTINO!$C:$I,5,FALSE),""))</f>
        <v>0</v>
      </c>
      <c r="R113" s="12">
        <f t="shared" si="1"/>
        <v>0</v>
      </c>
    </row>
    <row r="114" spans="1:18" x14ac:dyDescent="0.3">
      <c r="A114" s="4" t="s">
        <v>439</v>
      </c>
      <c r="B114" s="4"/>
      <c r="C114" s="11">
        <v>2</v>
      </c>
      <c r="D114" s="4" t="s">
        <v>107</v>
      </c>
      <c r="E114" s="4" t="s">
        <v>108</v>
      </c>
      <c r="F114" s="4" t="s">
        <v>433</v>
      </c>
      <c r="G114" s="11">
        <v>0</v>
      </c>
      <c r="H114" s="11"/>
      <c r="I114" s="11"/>
      <c r="J114" s="11"/>
      <c r="K114" s="11"/>
      <c r="L114" s="11"/>
      <c r="M114" s="11"/>
      <c r="N114" s="11"/>
      <c r="O114" s="11" t="s">
        <v>434</v>
      </c>
      <c r="P114" s="9"/>
      <c r="Q114" s="5">
        <f>IFERROR(VLOOKUP($D114,LISTINO!$B:$I,6,FALSE),IFERROR(VLOOKUP($E114,LISTINO!$C:$I,5,FALSE),""))</f>
        <v>0</v>
      </c>
      <c r="R114" s="12">
        <f t="shared" si="1"/>
        <v>0</v>
      </c>
    </row>
    <row r="115" spans="1:18" x14ac:dyDescent="0.3">
      <c r="A115" s="4" t="s">
        <v>439</v>
      </c>
      <c r="B115" s="4"/>
      <c r="C115" s="11">
        <v>2</v>
      </c>
      <c r="D115" s="4" t="s">
        <v>149</v>
      </c>
      <c r="E115" s="4" t="s">
        <v>150</v>
      </c>
      <c r="F115" s="4" t="s">
        <v>433</v>
      </c>
      <c r="G115" s="11">
        <v>0</v>
      </c>
      <c r="H115" s="11"/>
      <c r="I115" s="11"/>
      <c r="J115" s="11"/>
      <c r="K115" s="11"/>
      <c r="L115" s="11"/>
      <c r="M115" s="11"/>
      <c r="N115" s="11"/>
      <c r="O115" s="11" t="s">
        <v>434</v>
      </c>
      <c r="P115" s="9"/>
      <c r="Q115" s="5">
        <f>IFERROR(VLOOKUP($D115,LISTINO!$B:$I,6,FALSE),IFERROR(VLOOKUP($E115,LISTINO!$C:$I,5,FALSE),""))</f>
        <v>0</v>
      </c>
      <c r="R115" s="12">
        <f t="shared" si="1"/>
        <v>0</v>
      </c>
    </row>
    <row r="116" spans="1:18" x14ac:dyDescent="0.3">
      <c r="A116" s="4" t="s">
        <v>439</v>
      </c>
      <c r="B116" s="4"/>
      <c r="C116" s="11">
        <v>2</v>
      </c>
      <c r="D116" s="4" t="s">
        <v>109</v>
      </c>
      <c r="E116" s="4" t="s">
        <v>110</v>
      </c>
      <c r="F116" s="4" t="s">
        <v>433</v>
      </c>
      <c r="G116" s="11">
        <v>0</v>
      </c>
      <c r="H116" s="11"/>
      <c r="I116" s="11"/>
      <c r="J116" s="11"/>
      <c r="K116" s="11"/>
      <c r="L116" s="11"/>
      <c r="M116" s="11"/>
      <c r="N116" s="11"/>
      <c r="O116" s="11" t="s">
        <v>434</v>
      </c>
      <c r="P116" s="9"/>
      <c r="Q116" s="5">
        <f>IFERROR(VLOOKUP($D116,LISTINO!$B:$I,6,FALSE),IFERROR(VLOOKUP($E116,LISTINO!$C:$I,5,FALSE),""))</f>
        <v>0</v>
      </c>
      <c r="R116" s="12">
        <f t="shared" si="1"/>
        <v>0</v>
      </c>
    </row>
    <row r="117" spans="1:18" x14ac:dyDescent="0.3">
      <c r="A117" s="4" t="s">
        <v>439</v>
      </c>
      <c r="B117" s="4"/>
      <c r="C117" s="11">
        <v>2</v>
      </c>
      <c r="D117" s="4" t="s">
        <v>151</v>
      </c>
      <c r="E117" s="4" t="s">
        <v>152</v>
      </c>
      <c r="F117" s="4" t="s">
        <v>433</v>
      </c>
      <c r="G117" s="11">
        <v>0</v>
      </c>
      <c r="H117" s="11"/>
      <c r="I117" s="11"/>
      <c r="J117" s="11"/>
      <c r="K117" s="11"/>
      <c r="L117" s="11"/>
      <c r="M117" s="11"/>
      <c r="N117" s="11"/>
      <c r="O117" s="11" t="s">
        <v>434</v>
      </c>
      <c r="P117" s="9"/>
      <c r="Q117" s="5">
        <f>IFERROR(VLOOKUP($D117,LISTINO!$B:$I,6,FALSE),IFERROR(VLOOKUP($E117,LISTINO!$C:$I,5,FALSE),""))</f>
        <v>0</v>
      </c>
      <c r="R117" s="12">
        <f t="shared" si="1"/>
        <v>0</v>
      </c>
    </row>
    <row r="118" spans="1:18" x14ac:dyDescent="0.3">
      <c r="A118" s="4" t="s">
        <v>439</v>
      </c>
      <c r="B118" s="4"/>
      <c r="C118" s="11">
        <v>2</v>
      </c>
      <c r="D118" s="4" t="s">
        <v>111</v>
      </c>
      <c r="E118" s="4" t="s">
        <v>112</v>
      </c>
      <c r="F118" s="4" t="s">
        <v>433</v>
      </c>
      <c r="G118" s="11">
        <v>0</v>
      </c>
      <c r="H118" s="11"/>
      <c r="I118" s="11"/>
      <c r="J118" s="11"/>
      <c r="K118" s="11"/>
      <c r="L118" s="11"/>
      <c r="M118" s="11"/>
      <c r="N118" s="11"/>
      <c r="O118" s="11" t="s">
        <v>434</v>
      </c>
      <c r="P118" s="9"/>
      <c r="Q118" s="5">
        <f>IFERROR(VLOOKUP($D118,LISTINO!$B:$I,6,FALSE),IFERROR(VLOOKUP($E118,LISTINO!$C:$I,5,FALSE),""))</f>
        <v>0</v>
      </c>
      <c r="R118" s="12">
        <f t="shared" si="1"/>
        <v>0</v>
      </c>
    </row>
    <row r="119" spans="1:18" x14ac:dyDescent="0.3">
      <c r="A119" s="4" t="s">
        <v>439</v>
      </c>
      <c r="B119" s="4"/>
      <c r="C119" s="11">
        <v>2</v>
      </c>
      <c r="D119" s="4" t="s">
        <v>153</v>
      </c>
      <c r="E119" s="4" t="s">
        <v>154</v>
      </c>
      <c r="F119" s="4" t="s">
        <v>433</v>
      </c>
      <c r="G119" s="11">
        <v>0</v>
      </c>
      <c r="H119" s="11"/>
      <c r="I119" s="11"/>
      <c r="J119" s="11"/>
      <c r="K119" s="11"/>
      <c r="L119" s="11"/>
      <c r="M119" s="11"/>
      <c r="N119" s="11"/>
      <c r="O119" s="11" t="s">
        <v>434</v>
      </c>
      <c r="P119" s="9"/>
      <c r="Q119" s="5">
        <f>IFERROR(VLOOKUP($D119,LISTINO!$B:$I,6,FALSE),IFERROR(VLOOKUP($E119,LISTINO!$C:$I,5,FALSE),""))</f>
        <v>0</v>
      </c>
      <c r="R119" s="12">
        <f t="shared" si="1"/>
        <v>0</v>
      </c>
    </row>
    <row r="120" spans="1:18" x14ac:dyDescent="0.3">
      <c r="A120" s="4" t="s">
        <v>439</v>
      </c>
      <c r="B120" s="4"/>
      <c r="C120" s="11">
        <v>2</v>
      </c>
      <c r="D120" s="4" t="s">
        <v>113</v>
      </c>
      <c r="E120" s="4" t="s">
        <v>114</v>
      </c>
      <c r="F120" s="4" t="s">
        <v>433</v>
      </c>
      <c r="G120" s="11">
        <v>0</v>
      </c>
      <c r="H120" s="11"/>
      <c r="I120" s="11"/>
      <c r="J120" s="11"/>
      <c r="K120" s="11"/>
      <c r="L120" s="11"/>
      <c r="M120" s="11"/>
      <c r="N120" s="11"/>
      <c r="O120" s="11" t="s">
        <v>434</v>
      </c>
      <c r="P120" s="9"/>
      <c r="Q120" s="5">
        <f>IFERROR(VLOOKUP($D120,LISTINO!$B:$I,6,FALSE),IFERROR(VLOOKUP($E120,LISTINO!$C:$I,5,FALSE),""))</f>
        <v>0</v>
      </c>
      <c r="R120" s="12">
        <f t="shared" si="1"/>
        <v>0</v>
      </c>
    </row>
    <row r="121" spans="1:18" x14ac:dyDescent="0.3">
      <c r="A121" s="4" t="s">
        <v>439</v>
      </c>
      <c r="B121" s="4"/>
      <c r="C121" s="11">
        <v>2</v>
      </c>
      <c r="D121" s="4" t="s">
        <v>155</v>
      </c>
      <c r="E121" s="4" t="s">
        <v>156</v>
      </c>
      <c r="F121" s="4" t="s">
        <v>433</v>
      </c>
      <c r="G121" s="11">
        <v>0</v>
      </c>
      <c r="H121" s="11"/>
      <c r="I121" s="11"/>
      <c r="J121" s="11"/>
      <c r="K121" s="11"/>
      <c r="L121" s="11"/>
      <c r="M121" s="11"/>
      <c r="N121" s="11"/>
      <c r="O121" s="11" t="s">
        <v>434</v>
      </c>
      <c r="P121" s="9"/>
      <c r="Q121" s="5">
        <f>IFERROR(VLOOKUP($D121,LISTINO!$B:$I,6,FALSE),IFERROR(VLOOKUP($E121,LISTINO!$C:$I,5,FALSE),""))</f>
        <v>0</v>
      </c>
      <c r="R121" s="12">
        <f t="shared" si="1"/>
        <v>0</v>
      </c>
    </row>
    <row r="122" spans="1:18" x14ac:dyDescent="0.3">
      <c r="A122" s="4" t="s">
        <v>439</v>
      </c>
      <c r="B122" s="4"/>
      <c r="C122" s="11">
        <v>3</v>
      </c>
      <c r="D122" s="4" t="s">
        <v>10</v>
      </c>
      <c r="E122" s="4" t="s">
        <v>481</v>
      </c>
      <c r="F122" s="4" t="s">
        <v>433</v>
      </c>
      <c r="G122" s="11">
        <v>2</v>
      </c>
      <c r="H122" s="11">
        <v>4</v>
      </c>
      <c r="I122" s="11">
        <v>8</v>
      </c>
      <c r="J122" s="11">
        <v>8</v>
      </c>
      <c r="K122" s="11">
        <v>8</v>
      </c>
      <c r="L122" s="11">
        <v>16</v>
      </c>
      <c r="M122" s="11">
        <v>20</v>
      </c>
      <c r="N122" s="11"/>
      <c r="O122" s="11" t="s">
        <v>434</v>
      </c>
      <c r="P122" s="9"/>
      <c r="Q122" s="5">
        <f>IFERROR(VLOOKUP($D122,LISTINO!$B:$I,6,FALSE),IFERROR(VLOOKUP($E122,LISTINO!$C:$I,5,FALSE),""))</f>
        <v>0</v>
      </c>
      <c r="R122" s="12">
        <f t="shared" si="1"/>
        <v>0</v>
      </c>
    </row>
    <row r="123" spans="1:18" x14ac:dyDescent="0.3">
      <c r="A123" s="4" t="s">
        <v>439</v>
      </c>
      <c r="B123" s="4"/>
      <c r="C123" s="11">
        <v>4</v>
      </c>
      <c r="D123" s="4" t="s">
        <v>352</v>
      </c>
      <c r="E123" s="4" t="s">
        <v>353</v>
      </c>
      <c r="F123" s="4" t="s">
        <v>449</v>
      </c>
      <c r="G123" s="11">
        <v>8</v>
      </c>
      <c r="H123" s="11">
        <v>16</v>
      </c>
      <c r="I123" s="11">
        <v>32</v>
      </c>
      <c r="J123" s="11">
        <v>32</v>
      </c>
      <c r="K123" s="11">
        <v>32</v>
      </c>
      <c r="L123" s="11">
        <v>64</v>
      </c>
      <c r="M123" s="11">
        <v>80</v>
      </c>
      <c r="N123" s="11"/>
      <c r="O123" s="11" t="s">
        <v>434</v>
      </c>
      <c r="P123" s="9"/>
      <c r="Q123" s="5" t="str">
        <f>IFERROR(VLOOKUP($D123,LISTINO!$B:$I,6,FALSE),IFERROR(VLOOKUP($E123,LISTINO!$C:$I,5,FALSE),""))</f>
        <v/>
      </c>
      <c r="R123" s="12" t="str">
        <f t="shared" si="1"/>
        <v/>
      </c>
    </row>
    <row r="124" spans="1:18" x14ac:dyDescent="0.3">
      <c r="A124" s="4" t="s">
        <v>439</v>
      </c>
      <c r="B124" s="4"/>
      <c r="C124" s="11">
        <v>5</v>
      </c>
      <c r="D124" s="4" t="s">
        <v>389</v>
      </c>
      <c r="E124" s="4" t="s">
        <v>390</v>
      </c>
      <c r="F124" s="4" t="s">
        <v>449</v>
      </c>
      <c r="G124" s="11">
        <v>8</v>
      </c>
      <c r="H124" s="11">
        <v>16</v>
      </c>
      <c r="I124" s="11">
        <v>32</v>
      </c>
      <c r="J124" s="11">
        <v>32</v>
      </c>
      <c r="K124" s="11">
        <v>32</v>
      </c>
      <c r="L124" s="11">
        <v>64</v>
      </c>
      <c r="M124" s="11">
        <v>80</v>
      </c>
      <c r="N124" s="11"/>
      <c r="O124" s="11" t="s">
        <v>434</v>
      </c>
      <c r="P124" s="9"/>
      <c r="Q124" s="5" t="str">
        <f>IFERROR(VLOOKUP($D124,LISTINO!$B:$I,6,FALSE),IFERROR(VLOOKUP($E124,LISTINO!$C:$I,5,FALSE),""))</f>
        <v/>
      </c>
      <c r="R124" s="12" t="str">
        <f t="shared" si="1"/>
        <v/>
      </c>
    </row>
    <row r="125" spans="1:18" x14ac:dyDescent="0.3">
      <c r="A125" s="4" t="s">
        <v>439</v>
      </c>
      <c r="B125" s="4"/>
      <c r="C125" s="11">
        <v>6</v>
      </c>
      <c r="D125" s="4" t="s">
        <v>389</v>
      </c>
      <c r="E125" s="4" t="s">
        <v>390</v>
      </c>
      <c r="F125" s="4" t="s">
        <v>449</v>
      </c>
      <c r="G125" s="11">
        <v>8</v>
      </c>
      <c r="H125" s="11">
        <v>16</v>
      </c>
      <c r="I125" s="11">
        <v>32</v>
      </c>
      <c r="J125" s="11">
        <v>32</v>
      </c>
      <c r="K125" s="11">
        <v>32</v>
      </c>
      <c r="L125" s="11">
        <v>64</v>
      </c>
      <c r="M125" s="11">
        <v>80</v>
      </c>
      <c r="N125" s="11"/>
      <c r="O125" s="11" t="s">
        <v>434</v>
      </c>
      <c r="P125" s="9"/>
      <c r="Q125" s="5" t="str">
        <f>IFERROR(VLOOKUP($D125,LISTINO!$B:$I,6,FALSE),IFERROR(VLOOKUP($E125,LISTINO!$C:$I,5,FALSE),""))</f>
        <v/>
      </c>
      <c r="R125" s="12" t="str">
        <f t="shared" si="1"/>
        <v/>
      </c>
    </row>
    <row r="126" spans="1:18" x14ac:dyDescent="0.3">
      <c r="A126" s="4" t="s">
        <v>439</v>
      </c>
      <c r="B126" s="4"/>
      <c r="C126" s="11">
        <v>7</v>
      </c>
      <c r="D126" s="4" t="s">
        <v>379</v>
      </c>
      <c r="E126" s="4" t="s">
        <v>380</v>
      </c>
      <c r="F126" s="4" t="s">
        <v>449</v>
      </c>
      <c r="G126" s="11">
        <v>8</v>
      </c>
      <c r="H126" s="11">
        <v>16</v>
      </c>
      <c r="I126" s="11">
        <v>32</v>
      </c>
      <c r="J126" s="11">
        <v>32</v>
      </c>
      <c r="K126" s="11">
        <v>32</v>
      </c>
      <c r="L126" s="11">
        <v>64</v>
      </c>
      <c r="M126" s="11">
        <v>80</v>
      </c>
      <c r="N126" s="11"/>
      <c r="O126" s="11" t="s">
        <v>434</v>
      </c>
      <c r="P126" s="9"/>
      <c r="Q126" s="5" t="str">
        <f>IFERROR(VLOOKUP($D126,LISTINO!$B:$I,6,FALSE),IFERROR(VLOOKUP($E126,LISTINO!$C:$I,5,FALSE),""))</f>
        <v/>
      </c>
      <c r="R126" s="12" t="str">
        <f t="shared" si="1"/>
        <v/>
      </c>
    </row>
    <row r="127" spans="1:18" x14ac:dyDescent="0.3">
      <c r="A127" s="4" t="s">
        <v>439</v>
      </c>
      <c r="B127" s="4"/>
      <c r="C127" s="11">
        <v>1</v>
      </c>
      <c r="D127" s="4" t="s">
        <v>12</v>
      </c>
      <c r="E127" s="4" t="s">
        <v>13</v>
      </c>
      <c r="F127" s="4" t="s">
        <v>433</v>
      </c>
      <c r="G127" s="11">
        <v>2</v>
      </c>
      <c r="H127" s="11">
        <v>4</v>
      </c>
      <c r="I127" s="11">
        <v>8</v>
      </c>
      <c r="J127" s="11">
        <v>8</v>
      </c>
      <c r="K127" s="11">
        <v>8</v>
      </c>
      <c r="L127" s="11">
        <v>16</v>
      </c>
      <c r="M127" s="11">
        <v>20</v>
      </c>
      <c r="N127" s="11"/>
      <c r="O127" s="11" t="s">
        <v>434</v>
      </c>
      <c r="P127" s="9"/>
      <c r="Q127" s="5">
        <f>IFERROR(VLOOKUP($D127,LISTINO!$B:$I,6,FALSE),IFERROR(VLOOKUP($E127,LISTINO!$C:$I,5,FALSE),""))</f>
        <v>0</v>
      </c>
      <c r="R127" s="12">
        <f t="shared" si="1"/>
        <v>0</v>
      </c>
    </row>
    <row r="128" spans="1:18" x14ac:dyDescent="0.3">
      <c r="A128" s="4" t="s">
        <v>439</v>
      </c>
      <c r="B128" s="4"/>
      <c r="C128" s="11">
        <v>2</v>
      </c>
      <c r="D128" s="4" t="s">
        <v>14</v>
      </c>
      <c r="E128" s="4" t="s">
        <v>15</v>
      </c>
      <c r="F128" s="4" t="s">
        <v>433</v>
      </c>
      <c r="G128" s="11">
        <v>4</v>
      </c>
      <c r="H128" s="11">
        <v>8</v>
      </c>
      <c r="I128" s="11">
        <v>16</v>
      </c>
      <c r="J128" s="11">
        <v>16</v>
      </c>
      <c r="K128" s="11">
        <v>16</v>
      </c>
      <c r="L128" s="11">
        <v>32</v>
      </c>
      <c r="M128" s="11">
        <v>40</v>
      </c>
      <c r="N128" s="11"/>
      <c r="O128" s="11" t="s">
        <v>434</v>
      </c>
      <c r="P128" s="9"/>
      <c r="Q128" s="5">
        <f>IFERROR(VLOOKUP($D128,LISTINO!$B:$I,6,FALSE),IFERROR(VLOOKUP($E128,LISTINO!$C:$I,5,FALSE),""))</f>
        <v>0</v>
      </c>
      <c r="R128" s="12">
        <f t="shared" si="1"/>
        <v>0</v>
      </c>
    </row>
    <row r="129" spans="1:18" x14ac:dyDescent="0.3">
      <c r="A129" s="4" t="s">
        <v>439</v>
      </c>
      <c r="B129" s="4"/>
      <c r="C129" s="11">
        <v>3</v>
      </c>
      <c r="D129" s="4" t="s">
        <v>352</v>
      </c>
      <c r="E129" s="4" t="s">
        <v>353</v>
      </c>
      <c r="F129" s="4" t="s">
        <v>449</v>
      </c>
      <c r="G129" s="11">
        <v>24</v>
      </c>
      <c r="H129" s="11">
        <v>48</v>
      </c>
      <c r="I129" s="11">
        <v>96</v>
      </c>
      <c r="J129" s="11">
        <v>96</v>
      </c>
      <c r="K129" s="11">
        <v>96</v>
      </c>
      <c r="L129" s="11">
        <v>192</v>
      </c>
      <c r="M129" s="11">
        <v>240</v>
      </c>
      <c r="N129" s="11"/>
      <c r="O129" s="11" t="s">
        <v>434</v>
      </c>
      <c r="P129" s="9"/>
      <c r="Q129" s="5" t="str">
        <f>IFERROR(VLOOKUP($D129,LISTINO!$B:$I,6,FALSE),IFERROR(VLOOKUP($E129,LISTINO!$C:$I,5,FALSE),""))</f>
        <v/>
      </c>
      <c r="R129" s="12" t="str">
        <f t="shared" si="1"/>
        <v/>
      </c>
    </row>
    <row r="130" spans="1:18" x14ac:dyDescent="0.3">
      <c r="A130" s="4" t="s">
        <v>439</v>
      </c>
      <c r="B130" s="4"/>
      <c r="C130" s="11">
        <v>4</v>
      </c>
      <c r="D130" s="4" t="s">
        <v>389</v>
      </c>
      <c r="E130" s="4" t="s">
        <v>390</v>
      </c>
      <c r="F130" s="4" t="s">
        <v>449</v>
      </c>
      <c r="G130" s="11">
        <v>24</v>
      </c>
      <c r="H130" s="11">
        <v>48</v>
      </c>
      <c r="I130" s="11">
        <v>96</v>
      </c>
      <c r="J130" s="11">
        <v>96</v>
      </c>
      <c r="K130" s="11">
        <v>96</v>
      </c>
      <c r="L130" s="11">
        <v>192</v>
      </c>
      <c r="M130" s="11">
        <v>240</v>
      </c>
      <c r="N130" s="11"/>
      <c r="O130" s="11" t="s">
        <v>434</v>
      </c>
      <c r="P130" s="9"/>
      <c r="Q130" s="5" t="str">
        <f>IFERROR(VLOOKUP($D130,LISTINO!$B:$I,6,FALSE),IFERROR(VLOOKUP($E130,LISTINO!$C:$I,5,FALSE),""))</f>
        <v/>
      </c>
      <c r="R130" s="12" t="str">
        <f t="shared" ref="R130:R193" si="2">IF(AND(ISNUMBER(G130),ISNUMBER(Q130)),G130*Q130,"")</f>
        <v/>
      </c>
    </row>
    <row r="131" spans="1:18" x14ac:dyDescent="0.3">
      <c r="A131" s="4" t="s">
        <v>439</v>
      </c>
      <c r="B131" s="4"/>
      <c r="C131" s="11">
        <v>5</v>
      </c>
      <c r="D131" s="4" t="s">
        <v>389</v>
      </c>
      <c r="E131" s="4" t="s">
        <v>390</v>
      </c>
      <c r="F131" s="4" t="s">
        <v>449</v>
      </c>
      <c r="G131" s="11">
        <v>24</v>
      </c>
      <c r="H131" s="11">
        <v>48</v>
      </c>
      <c r="I131" s="11">
        <v>96</v>
      </c>
      <c r="J131" s="11">
        <v>96</v>
      </c>
      <c r="K131" s="11">
        <v>96</v>
      </c>
      <c r="L131" s="11">
        <v>192</v>
      </c>
      <c r="M131" s="11">
        <v>240</v>
      </c>
      <c r="N131" s="11"/>
      <c r="O131" s="11" t="s">
        <v>434</v>
      </c>
      <c r="P131" s="9"/>
      <c r="Q131" s="5" t="str">
        <f>IFERROR(VLOOKUP($D131,LISTINO!$B:$I,6,FALSE),IFERROR(VLOOKUP($E131,LISTINO!$C:$I,5,FALSE),""))</f>
        <v/>
      </c>
      <c r="R131" s="12" t="str">
        <f t="shared" si="2"/>
        <v/>
      </c>
    </row>
    <row r="132" spans="1:18" x14ac:dyDescent="0.3">
      <c r="A132" s="4" t="s">
        <v>439</v>
      </c>
      <c r="B132" s="4"/>
      <c r="C132" s="11">
        <v>6</v>
      </c>
      <c r="D132" s="4" t="s">
        <v>379</v>
      </c>
      <c r="E132" s="4" t="s">
        <v>380</v>
      </c>
      <c r="F132" s="4" t="s">
        <v>449</v>
      </c>
      <c r="G132" s="11">
        <v>24</v>
      </c>
      <c r="H132" s="11">
        <v>48</v>
      </c>
      <c r="I132" s="11">
        <v>96</v>
      </c>
      <c r="J132" s="11">
        <v>96</v>
      </c>
      <c r="K132" s="11">
        <v>96</v>
      </c>
      <c r="L132" s="11">
        <v>192</v>
      </c>
      <c r="M132" s="11">
        <v>240</v>
      </c>
      <c r="N132" s="11"/>
      <c r="O132" s="11" t="s">
        <v>434</v>
      </c>
      <c r="P132" s="9"/>
      <c r="Q132" s="5" t="str">
        <f>IFERROR(VLOOKUP($D132,LISTINO!$B:$I,6,FALSE),IFERROR(VLOOKUP($E132,LISTINO!$C:$I,5,FALSE),""))</f>
        <v/>
      </c>
      <c r="R132" s="12" t="str">
        <f t="shared" si="2"/>
        <v/>
      </c>
    </row>
    <row r="133" spans="1:18" x14ac:dyDescent="0.3">
      <c r="A133" s="4" t="s">
        <v>439</v>
      </c>
      <c r="B133" s="4"/>
      <c r="C133" s="11">
        <v>2</v>
      </c>
      <c r="D133" s="4" t="s">
        <v>26</v>
      </c>
      <c r="E133" s="4" t="s">
        <v>27</v>
      </c>
      <c r="F133" s="4" t="s">
        <v>433</v>
      </c>
      <c r="G133" s="11">
        <v>2</v>
      </c>
      <c r="H133" s="11">
        <v>4</v>
      </c>
      <c r="I133" s="11">
        <v>8</v>
      </c>
      <c r="J133" s="11">
        <v>8</v>
      </c>
      <c r="K133" s="11">
        <v>8</v>
      </c>
      <c r="L133" s="11">
        <v>16</v>
      </c>
      <c r="M133" s="11">
        <v>20</v>
      </c>
      <c r="N133" s="11"/>
      <c r="O133" s="11" t="s">
        <v>434</v>
      </c>
      <c r="P133" s="9"/>
      <c r="Q133" s="5">
        <f>IFERROR(VLOOKUP($D133,LISTINO!$B:$I,6,FALSE),IFERROR(VLOOKUP($E133,LISTINO!$C:$I,5,FALSE),""))</f>
        <v>0</v>
      </c>
      <c r="R133" s="12">
        <f t="shared" si="2"/>
        <v>0</v>
      </c>
    </row>
    <row r="134" spans="1:18" x14ac:dyDescent="0.3">
      <c r="A134" s="4" t="s">
        <v>439</v>
      </c>
      <c r="B134" s="4"/>
      <c r="C134" s="11">
        <v>3</v>
      </c>
      <c r="D134" s="4" t="s">
        <v>28</v>
      </c>
      <c r="E134" s="4" t="s">
        <v>29</v>
      </c>
      <c r="F134" s="4" t="s">
        <v>433</v>
      </c>
      <c r="G134" s="11">
        <v>1</v>
      </c>
      <c r="H134" s="11">
        <v>2</v>
      </c>
      <c r="I134" s="11">
        <v>4</v>
      </c>
      <c r="J134" s="11">
        <v>4</v>
      </c>
      <c r="K134" s="11">
        <v>4</v>
      </c>
      <c r="L134" s="11">
        <v>8</v>
      </c>
      <c r="M134" s="11">
        <v>10</v>
      </c>
      <c r="N134" s="11"/>
      <c r="O134" s="11" t="s">
        <v>434</v>
      </c>
      <c r="P134" s="9"/>
      <c r="Q134" s="5">
        <f>IFERROR(VLOOKUP($D134,LISTINO!$B:$I,6,FALSE),IFERROR(VLOOKUP($E134,LISTINO!$C:$I,5,FALSE),""))</f>
        <v>0</v>
      </c>
      <c r="R134" s="12">
        <f t="shared" si="2"/>
        <v>0</v>
      </c>
    </row>
    <row r="135" spans="1:18" x14ac:dyDescent="0.3">
      <c r="A135" s="4" t="s">
        <v>439</v>
      </c>
      <c r="B135" s="4"/>
      <c r="C135" s="11">
        <v>4</v>
      </c>
      <c r="D135" s="4" t="s">
        <v>342</v>
      </c>
      <c r="E135" s="4" t="s">
        <v>343</v>
      </c>
      <c r="F135" s="4" t="s">
        <v>449</v>
      </c>
      <c r="G135" s="11">
        <v>4</v>
      </c>
      <c r="H135" s="11">
        <v>8</v>
      </c>
      <c r="I135" s="11">
        <v>16</v>
      </c>
      <c r="J135" s="11">
        <v>16</v>
      </c>
      <c r="K135" s="11">
        <v>16</v>
      </c>
      <c r="L135" s="11">
        <v>32</v>
      </c>
      <c r="M135" s="11">
        <v>40</v>
      </c>
      <c r="N135" s="11"/>
      <c r="O135" s="11" t="s">
        <v>434</v>
      </c>
      <c r="P135" s="9"/>
      <c r="Q135" s="5" t="str">
        <f>IFERROR(VLOOKUP($D135,LISTINO!$B:$I,6,FALSE),IFERROR(VLOOKUP($E135,LISTINO!$C:$I,5,FALSE),""))</f>
        <v/>
      </c>
      <c r="R135" s="12" t="str">
        <f t="shared" si="2"/>
        <v/>
      </c>
    </row>
    <row r="136" spans="1:18" x14ac:dyDescent="0.3">
      <c r="A136" s="4" t="s">
        <v>439</v>
      </c>
      <c r="B136" s="4"/>
      <c r="C136" s="11">
        <v>5</v>
      </c>
      <c r="D136" s="4" t="s">
        <v>389</v>
      </c>
      <c r="E136" s="4" t="s">
        <v>390</v>
      </c>
      <c r="F136" s="4" t="s">
        <v>449</v>
      </c>
      <c r="G136" s="11">
        <v>4</v>
      </c>
      <c r="H136" s="11">
        <v>8</v>
      </c>
      <c r="I136" s="11">
        <v>16</v>
      </c>
      <c r="J136" s="11">
        <v>16</v>
      </c>
      <c r="K136" s="11">
        <v>16</v>
      </c>
      <c r="L136" s="11">
        <v>32</v>
      </c>
      <c r="M136" s="11">
        <v>40</v>
      </c>
      <c r="N136" s="11"/>
      <c r="O136" s="11" t="s">
        <v>434</v>
      </c>
      <c r="P136" s="9"/>
      <c r="Q136" s="5" t="str">
        <f>IFERROR(VLOOKUP($D136,LISTINO!$B:$I,6,FALSE),IFERROR(VLOOKUP($E136,LISTINO!$C:$I,5,FALSE),""))</f>
        <v/>
      </c>
      <c r="R136" s="12" t="str">
        <f t="shared" si="2"/>
        <v/>
      </c>
    </row>
    <row r="137" spans="1:18" x14ac:dyDescent="0.3">
      <c r="A137" s="4" t="s">
        <v>439</v>
      </c>
      <c r="B137" s="4"/>
      <c r="C137" s="11">
        <v>6</v>
      </c>
      <c r="D137" s="4" t="s">
        <v>389</v>
      </c>
      <c r="E137" s="4" t="s">
        <v>390</v>
      </c>
      <c r="F137" s="4" t="s">
        <v>449</v>
      </c>
      <c r="G137" s="11">
        <v>4</v>
      </c>
      <c r="H137" s="11">
        <v>8</v>
      </c>
      <c r="I137" s="11">
        <v>16</v>
      </c>
      <c r="J137" s="11">
        <v>16</v>
      </c>
      <c r="K137" s="11">
        <v>16</v>
      </c>
      <c r="L137" s="11">
        <v>32</v>
      </c>
      <c r="M137" s="11">
        <v>40</v>
      </c>
      <c r="N137" s="11"/>
      <c r="O137" s="11" t="s">
        <v>434</v>
      </c>
      <c r="P137" s="9"/>
      <c r="Q137" s="5" t="str">
        <f>IFERROR(VLOOKUP($D137,LISTINO!$B:$I,6,FALSE),IFERROR(VLOOKUP($E137,LISTINO!$C:$I,5,FALSE),""))</f>
        <v/>
      </c>
      <c r="R137" s="12" t="str">
        <f t="shared" si="2"/>
        <v/>
      </c>
    </row>
    <row r="138" spans="1:18" x14ac:dyDescent="0.3">
      <c r="A138" s="4" t="s">
        <v>439</v>
      </c>
      <c r="B138" s="4"/>
      <c r="C138" s="11">
        <v>7</v>
      </c>
      <c r="D138" s="4" t="s">
        <v>379</v>
      </c>
      <c r="E138" s="4" t="s">
        <v>380</v>
      </c>
      <c r="F138" s="4" t="s">
        <v>449</v>
      </c>
      <c r="G138" s="11">
        <v>4</v>
      </c>
      <c r="H138" s="11">
        <v>8</v>
      </c>
      <c r="I138" s="11">
        <v>16</v>
      </c>
      <c r="J138" s="11">
        <v>16</v>
      </c>
      <c r="K138" s="11">
        <v>16</v>
      </c>
      <c r="L138" s="11">
        <v>32</v>
      </c>
      <c r="M138" s="11">
        <v>40</v>
      </c>
      <c r="N138" s="11"/>
      <c r="O138" s="11" t="s">
        <v>434</v>
      </c>
      <c r="P138" s="9"/>
      <c r="Q138" s="5" t="str">
        <f>IFERROR(VLOOKUP($D138,LISTINO!$B:$I,6,FALSE),IFERROR(VLOOKUP($E138,LISTINO!$C:$I,5,FALSE),""))</f>
        <v/>
      </c>
      <c r="R138" s="12" t="str">
        <f t="shared" si="2"/>
        <v/>
      </c>
    </row>
    <row r="139" spans="1:18" x14ac:dyDescent="0.3">
      <c r="A139" s="4" t="s">
        <v>439</v>
      </c>
      <c r="B139" s="4"/>
      <c r="C139" s="11">
        <v>2</v>
      </c>
      <c r="D139" s="4" t="s">
        <v>407</v>
      </c>
      <c r="E139" s="4" t="s">
        <v>408</v>
      </c>
      <c r="F139" s="4" t="s">
        <v>460</v>
      </c>
      <c r="G139" s="11">
        <v>1</v>
      </c>
      <c r="H139" s="11">
        <v>2</v>
      </c>
      <c r="I139" s="11">
        <v>4</v>
      </c>
      <c r="J139" s="11">
        <v>4</v>
      </c>
      <c r="K139" s="11">
        <v>4</v>
      </c>
      <c r="L139" s="11">
        <v>8</v>
      </c>
      <c r="M139" s="11">
        <v>10</v>
      </c>
      <c r="N139" s="11"/>
      <c r="O139" s="11" t="s">
        <v>434</v>
      </c>
      <c r="P139" s="9"/>
      <c r="Q139" s="5">
        <f>IFERROR(VLOOKUP($D139,LISTINO!$B:$I,6,FALSE),IFERROR(VLOOKUP($E139,LISTINO!$C:$I,5,FALSE),""))</f>
        <v>13</v>
      </c>
      <c r="R139" s="12">
        <f t="shared" si="2"/>
        <v>13</v>
      </c>
    </row>
    <row r="140" spans="1:18" x14ac:dyDescent="0.3">
      <c r="A140" s="4" t="s">
        <v>439</v>
      </c>
      <c r="B140" s="4"/>
      <c r="C140" s="11">
        <v>3</v>
      </c>
      <c r="D140" s="4" t="s">
        <v>346</v>
      </c>
      <c r="E140" s="4" t="s">
        <v>347</v>
      </c>
      <c r="F140" s="4" t="s">
        <v>449</v>
      </c>
      <c r="G140" s="11">
        <v>2</v>
      </c>
      <c r="H140" s="11">
        <v>4</v>
      </c>
      <c r="I140" s="11">
        <v>8</v>
      </c>
      <c r="J140" s="11">
        <v>8</v>
      </c>
      <c r="K140" s="11">
        <v>8</v>
      </c>
      <c r="L140" s="11">
        <v>16</v>
      </c>
      <c r="M140" s="11">
        <v>20</v>
      </c>
      <c r="N140" s="11"/>
      <c r="O140" s="11" t="s">
        <v>434</v>
      </c>
      <c r="P140" s="9"/>
      <c r="Q140" s="5" t="str">
        <f>IFERROR(VLOOKUP($D140,LISTINO!$B:$I,6,FALSE),IFERROR(VLOOKUP($E140,LISTINO!$C:$I,5,FALSE),""))</f>
        <v/>
      </c>
      <c r="R140" s="12" t="str">
        <f t="shared" si="2"/>
        <v/>
      </c>
    </row>
    <row r="141" spans="1:18" x14ac:dyDescent="0.3">
      <c r="A141" s="4" t="s">
        <v>439</v>
      </c>
      <c r="B141" s="4"/>
      <c r="C141" s="11">
        <v>4</v>
      </c>
      <c r="D141" s="4" t="s">
        <v>391</v>
      </c>
      <c r="E141" s="4" t="s">
        <v>392</v>
      </c>
      <c r="F141" s="4" t="s">
        <v>449</v>
      </c>
      <c r="G141" s="11">
        <v>2</v>
      </c>
      <c r="H141" s="11">
        <v>4</v>
      </c>
      <c r="I141" s="11">
        <v>8</v>
      </c>
      <c r="J141" s="11">
        <v>8</v>
      </c>
      <c r="K141" s="11">
        <v>8</v>
      </c>
      <c r="L141" s="11">
        <v>16</v>
      </c>
      <c r="M141" s="11">
        <v>20</v>
      </c>
      <c r="N141" s="11"/>
      <c r="O141" s="11" t="s">
        <v>434</v>
      </c>
      <c r="P141" s="9"/>
      <c r="Q141" s="5" t="str">
        <f>IFERROR(VLOOKUP($D141,LISTINO!$B:$I,6,FALSE),IFERROR(VLOOKUP($E141,LISTINO!$C:$I,5,FALSE),""))</f>
        <v/>
      </c>
      <c r="R141" s="12" t="str">
        <f t="shared" si="2"/>
        <v/>
      </c>
    </row>
    <row r="142" spans="1:18" x14ac:dyDescent="0.3">
      <c r="A142" s="4" t="s">
        <v>439</v>
      </c>
      <c r="B142" s="4"/>
      <c r="C142" s="11">
        <v>5</v>
      </c>
      <c r="D142" s="4" t="s">
        <v>391</v>
      </c>
      <c r="E142" s="4" t="s">
        <v>392</v>
      </c>
      <c r="F142" s="4" t="s">
        <v>449</v>
      </c>
      <c r="G142" s="11">
        <v>2</v>
      </c>
      <c r="H142" s="11">
        <v>4</v>
      </c>
      <c r="I142" s="11">
        <v>8</v>
      </c>
      <c r="J142" s="11">
        <v>8</v>
      </c>
      <c r="K142" s="11">
        <v>8</v>
      </c>
      <c r="L142" s="11">
        <v>16</v>
      </c>
      <c r="M142" s="11">
        <v>20</v>
      </c>
      <c r="N142" s="11"/>
      <c r="O142" s="11" t="s">
        <v>434</v>
      </c>
      <c r="P142" s="9"/>
      <c r="Q142" s="5" t="str">
        <f>IFERROR(VLOOKUP($D142,LISTINO!$B:$I,6,FALSE),IFERROR(VLOOKUP($E142,LISTINO!$C:$I,5,FALSE),""))</f>
        <v/>
      </c>
      <c r="R142" s="12" t="str">
        <f t="shared" si="2"/>
        <v/>
      </c>
    </row>
    <row r="143" spans="1:18" x14ac:dyDescent="0.3">
      <c r="A143" s="4" t="s">
        <v>439</v>
      </c>
      <c r="B143" s="4"/>
      <c r="C143" s="11">
        <v>6</v>
      </c>
      <c r="D143" s="4" t="s">
        <v>381</v>
      </c>
      <c r="E143" s="4" t="s">
        <v>382</v>
      </c>
      <c r="F143" s="4" t="s">
        <v>449</v>
      </c>
      <c r="G143" s="11">
        <v>2</v>
      </c>
      <c r="H143" s="11">
        <v>4</v>
      </c>
      <c r="I143" s="11">
        <v>8</v>
      </c>
      <c r="J143" s="11">
        <v>8</v>
      </c>
      <c r="K143" s="11">
        <v>8</v>
      </c>
      <c r="L143" s="11">
        <v>16</v>
      </c>
      <c r="M143" s="11">
        <v>20</v>
      </c>
      <c r="N143" s="11"/>
      <c r="O143" s="11" t="s">
        <v>434</v>
      </c>
      <c r="P143" s="9"/>
      <c r="Q143" s="5" t="str">
        <f>IFERROR(VLOOKUP($D143,LISTINO!$B:$I,6,FALSE),IFERROR(VLOOKUP($E143,LISTINO!$C:$I,5,FALSE),""))</f>
        <v/>
      </c>
      <c r="R143" s="12" t="str">
        <f t="shared" si="2"/>
        <v/>
      </c>
    </row>
    <row r="144" spans="1:18" x14ac:dyDescent="0.3">
      <c r="A144" s="4" t="s">
        <v>435</v>
      </c>
      <c r="B144" s="4" t="s">
        <v>482</v>
      </c>
      <c r="C144" s="11"/>
      <c r="D144" s="4" t="s">
        <v>285</v>
      </c>
      <c r="E144" s="4" t="s">
        <v>286</v>
      </c>
      <c r="F144" s="4" t="s">
        <v>433</v>
      </c>
      <c r="G144" s="11">
        <v>2</v>
      </c>
      <c r="H144" s="11"/>
      <c r="I144" s="11"/>
      <c r="J144" s="11"/>
      <c r="K144" s="11"/>
      <c r="L144" s="11"/>
      <c r="M144" s="11"/>
      <c r="N144" s="11"/>
      <c r="O144" s="11" t="s">
        <v>434</v>
      </c>
      <c r="P144" s="9"/>
      <c r="Q144" s="5">
        <f>IFERROR(VLOOKUP($D144,LISTINO!$B:$I,6,FALSE),IFERROR(VLOOKUP($E144,LISTINO!$C:$I,5,FALSE),""))</f>
        <v>0</v>
      </c>
      <c r="R144" s="12">
        <f t="shared" si="2"/>
        <v>0</v>
      </c>
    </row>
    <row r="145" spans="1:18" x14ac:dyDescent="0.3">
      <c r="A145" s="4" t="s">
        <v>435</v>
      </c>
      <c r="B145" s="4" t="s">
        <v>482</v>
      </c>
      <c r="C145" s="11"/>
      <c r="D145" s="4" t="s">
        <v>287</v>
      </c>
      <c r="E145" s="4" t="s">
        <v>288</v>
      </c>
      <c r="F145" s="4" t="s">
        <v>433</v>
      </c>
      <c r="G145" s="11">
        <v>0</v>
      </c>
      <c r="H145" s="11"/>
      <c r="I145" s="11"/>
      <c r="J145" s="11"/>
      <c r="K145" s="11"/>
      <c r="L145" s="11"/>
      <c r="M145" s="11"/>
      <c r="N145" s="11"/>
      <c r="O145" s="11" t="s">
        <v>434</v>
      </c>
      <c r="P145" s="9"/>
      <c r="Q145" s="5">
        <f>IFERROR(VLOOKUP($D145,LISTINO!$B:$I,6,FALSE),IFERROR(VLOOKUP($E145,LISTINO!$C:$I,5,FALSE),""))</f>
        <v>0</v>
      </c>
      <c r="R145" s="12">
        <f t="shared" si="2"/>
        <v>0</v>
      </c>
    </row>
    <row r="146" spans="1:18" x14ac:dyDescent="0.3">
      <c r="A146" s="4" t="s">
        <v>435</v>
      </c>
      <c r="B146" s="4" t="s">
        <v>483</v>
      </c>
      <c r="C146" s="11"/>
      <c r="D146" s="4" t="s">
        <v>281</v>
      </c>
      <c r="E146" s="4" t="s">
        <v>282</v>
      </c>
      <c r="F146" s="4" t="s">
        <v>433</v>
      </c>
      <c r="G146" s="11">
        <v>2</v>
      </c>
      <c r="H146" s="11"/>
      <c r="I146" s="11"/>
      <c r="J146" s="11"/>
      <c r="K146" s="11"/>
      <c r="L146" s="11"/>
      <c r="M146" s="11"/>
      <c r="N146" s="11"/>
      <c r="O146" s="11" t="s">
        <v>434</v>
      </c>
      <c r="P146" s="9"/>
      <c r="Q146" s="5">
        <f>IFERROR(VLOOKUP($D146,LISTINO!$B:$I,6,FALSE),IFERROR(VLOOKUP($E146,LISTINO!$C:$I,5,FALSE),""))</f>
        <v>0</v>
      </c>
      <c r="R146" s="12">
        <f t="shared" si="2"/>
        <v>0</v>
      </c>
    </row>
    <row r="147" spans="1:18" x14ac:dyDescent="0.3">
      <c r="A147" s="4" t="s">
        <v>435</v>
      </c>
      <c r="B147" s="4" t="s">
        <v>483</v>
      </c>
      <c r="C147" s="11"/>
      <c r="D147" s="4" t="s">
        <v>283</v>
      </c>
      <c r="E147" s="4" t="s">
        <v>284</v>
      </c>
      <c r="F147" s="4" t="s">
        <v>433</v>
      </c>
      <c r="G147" s="11">
        <v>0</v>
      </c>
      <c r="H147" s="11"/>
      <c r="I147" s="11"/>
      <c r="J147" s="11"/>
      <c r="K147" s="11"/>
      <c r="L147" s="11"/>
      <c r="M147" s="11"/>
      <c r="N147" s="11"/>
      <c r="O147" s="11" t="s">
        <v>434</v>
      </c>
      <c r="P147" s="9"/>
      <c r="Q147" s="5">
        <f>IFERROR(VLOOKUP($D147,LISTINO!$B:$I,6,FALSE),IFERROR(VLOOKUP($E147,LISTINO!$C:$I,5,FALSE),""))</f>
        <v>0</v>
      </c>
      <c r="R147" s="12">
        <f t="shared" si="2"/>
        <v>0</v>
      </c>
    </row>
    <row r="148" spans="1:18" x14ac:dyDescent="0.3">
      <c r="A148" s="4" t="s">
        <v>435</v>
      </c>
      <c r="B148" s="4" t="s">
        <v>483</v>
      </c>
      <c r="C148" s="11"/>
      <c r="D148" s="4" t="s">
        <v>293</v>
      </c>
      <c r="E148" s="4" t="s">
        <v>294</v>
      </c>
      <c r="F148" s="4" t="s">
        <v>433</v>
      </c>
      <c r="G148" s="11">
        <v>2</v>
      </c>
      <c r="H148" s="11"/>
      <c r="I148" s="11"/>
      <c r="J148" s="11"/>
      <c r="K148" s="11"/>
      <c r="L148" s="11"/>
      <c r="M148" s="11"/>
      <c r="N148" s="11"/>
      <c r="O148" s="11" t="s">
        <v>434</v>
      </c>
      <c r="P148" s="9"/>
      <c r="Q148" s="5">
        <f>IFERROR(VLOOKUP($D148,LISTINO!$B:$I,6,FALSE),IFERROR(VLOOKUP($E148,LISTINO!$C:$I,5,FALSE),""))</f>
        <v>0</v>
      </c>
      <c r="R148" s="12">
        <f t="shared" si="2"/>
        <v>0</v>
      </c>
    </row>
    <row r="149" spans="1:18" x14ac:dyDescent="0.3">
      <c r="A149" s="4" t="s">
        <v>435</v>
      </c>
      <c r="B149" s="4" t="s">
        <v>483</v>
      </c>
      <c r="C149" s="11"/>
      <c r="D149" s="4" t="s">
        <v>295</v>
      </c>
      <c r="E149" s="4" t="s">
        <v>296</v>
      </c>
      <c r="F149" s="4" t="s">
        <v>433</v>
      </c>
      <c r="G149" s="11">
        <v>0</v>
      </c>
      <c r="H149" s="11"/>
      <c r="I149" s="11"/>
      <c r="J149" s="11"/>
      <c r="K149" s="11"/>
      <c r="L149" s="11"/>
      <c r="M149" s="11"/>
      <c r="N149" s="11"/>
      <c r="O149" s="11" t="s">
        <v>434</v>
      </c>
      <c r="P149" s="9"/>
      <c r="Q149" s="5">
        <f>IFERROR(VLOOKUP($D149,LISTINO!$B:$I,6,FALSE),IFERROR(VLOOKUP($E149,LISTINO!$C:$I,5,FALSE),""))</f>
        <v>0</v>
      </c>
      <c r="R149" s="12">
        <f t="shared" si="2"/>
        <v>0</v>
      </c>
    </row>
    <row r="150" spans="1:18" x14ac:dyDescent="0.3">
      <c r="A150" s="4" t="s">
        <v>435</v>
      </c>
      <c r="B150" s="4" t="s">
        <v>483</v>
      </c>
      <c r="C150" s="11">
        <v>1</v>
      </c>
      <c r="D150" s="4" t="s">
        <v>16</v>
      </c>
      <c r="E150" s="4" t="s">
        <v>17</v>
      </c>
      <c r="F150" s="4" t="s">
        <v>433</v>
      </c>
      <c r="G150" s="11">
        <v>2</v>
      </c>
      <c r="H150" s="11"/>
      <c r="I150" s="11">
        <v>4</v>
      </c>
      <c r="J150" s="11"/>
      <c r="K150" s="11"/>
      <c r="L150" s="11"/>
      <c r="M150" s="11"/>
      <c r="N150" s="11"/>
      <c r="O150" s="11" t="s">
        <v>434</v>
      </c>
      <c r="P150" s="9"/>
      <c r="Q150" s="5">
        <f>IFERROR(VLOOKUP($D150,LISTINO!$B:$I,6,FALSE),IFERROR(VLOOKUP($E150,LISTINO!$C:$I,5,FALSE),""))</f>
        <v>0</v>
      </c>
      <c r="R150" s="12">
        <f t="shared" si="2"/>
        <v>0</v>
      </c>
    </row>
    <row r="151" spans="1:18" x14ac:dyDescent="0.3">
      <c r="A151" s="4" t="s">
        <v>435</v>
      </c>
      <c r="B151" s="4" t="s">
        <v>483</v>
      </c>
      <c r="C151" s="11">
        <v>2</v>
      </c>
      <c r="D151" s="4" t="s">
        <v>369</v>
      </c>
      <c r="E151" s="4" t="s">
        <v>370</v>
      </c>
      <c r="F151" s="4" t="s">
        <v>449</v>
      </c>
      <c r="G151" s="11">
        <v>2</v>
      </c>
      <c r="H151" s="11"/>
      <c r="I151" s="11">
        <v>4</v>
      </c>
      <c r="J151" s="11"/>
      <c r="K151" s="11"/>
      <c r="L151" s="11"/>
      <c r="M151" s="11"/>
      <c r="N151" s="11"/>
      <c r="O151" s="11" t="s">
        <v>434</v>
      </c>
      <c r="P151" s="9"/>
      <c r="Q151" s="5" t="str">
        <f>IFERROR(VLOOKUP($D151,LISTINO!$B:$I,6,FALSE),IFERROR(VLOOKUP($E151,LISTINO!$C:$I,5,FALSE),""))</f>
        <v/>
      </c>
      <c r="R151" s="12" t="str">
        <f t="shared" si="2"/>
        <v/>
      </c>
    </row>
    <row r="152" spans="1:18" x14ac:dyDescent="0.3">
      <c r="A152" s="4" t="s">
        <v>435</v>
      </c>
      <c r="B152" s="4" t="s">
        <v>483</v>
      </c>
      <c r="C152" s="11">
        <v>3</v>
      </c>
      <c r="D152" s="4" t="s">
        <v>397</v>
      </c>
      <c r="E152" s="4" t="s">
        <v>484</v>
      </c>
      <c r="F152" s="4" t="s">
        <v>449</v>
      </c>
      <c r="G152" s="11">
        <v>2</v>
      </c>
      <c r="H152" s="11"/>
      <c r="I152" s="11">
        <v>4</v>
      </c>
      <c r="J152" s="11"/>
      <c r="K152" s="11"/>
      <c r="L152" s="11"/>
      <c r="M152" s="11"/>
      <c r="N152" s="11"/>
      <c r="O152" s="11" t="s">
        <v>434</v>
      </c>
      <c r="P152" s="9"/>
      <c r="Q152" s="5" t="str">
        <f>IFERROR(VLOOKUP($D152,LISTINO!$B:$I,6,FALSE),IFERROR(VLOOKUP($E152,LISTINO!$C:$I,5,FALSE),""))</f>
        <v/>
      </c>
      <c r="R152" s="12" t="str">
        <f t="shared" si="2"/>
        <v/>
      </c>
    </row>
    <row r="153" spans="1:18" x14ac:dyDescent="0.3">
      <c r="A153" s="4" t="s">
        <v>435</v>
      </c>
      <c r="B153" s="4" t="s">
        <v>483</v>
      </c>
      <c r="C153" s="11">
        <v>4</v>
      </c>
      <c r="D153" s="4" t="s">
        <v>397</v>
      </c>
      <c r="E153" s="4" t="s">
        <v>484</v>
      </c>
      <c r="F153" s="4" t="s">
        <v>449</v>
      </c>
      <c r="G153" s="11">
        <v>2</v>
      </c>
      <c r="H153" s="11"/>
      <c r="I153" s="11">
        <v>4</v>
      </c>
      <c r="J153" s="11"/>
      <c r="K153" s="11"/>
      <c r="L153" s="11"/>
      <c r="M153" s="11"/>
      <c r="N153" s="11"/>
      <c r="O153" s="11" t="s">
        <v>434</v>
      </c>
      <c r="P153" s="9"/>
      <c r="Q153" s="5" t="str">
        <f>IFERROR(VLOOKUP($D153,LISTINO!$B:$I,6,FALSE),IFERROR(VLOOKUP($E153,LISTINO!$C:$I,5,FALSE),""))</f>
        <v/>
      </c>
      <c r="R153" s="12" t="str">
        <f t="shared" si="2"/>
        <v/>
      </c>
    </row>
    <row r="154" spans="1:18" x14ac:dyDescent="0.3">
      <c r="A154" s="4" t="s">
        <v>435</v>
      </c>
      <c r="B154" s="4" t="s">
        <v>483</v>
      </c>
      <c r="C154" s="11">
        <v>5</v>
      </c>
      <c r="D154" s="4" t="s">
        <v>387</v>
      </c>
      <c r="E154" s="4" t="s">
        <v>388</v>
      </c>
      <c r="F154" s="4" t="s">
        <v>449</v>
      </c>
      <c r="G154" s="11">
        <v>2</v>
      </c>
      <c r="H154" s="11"/>
      <c r="I154" s="11">
        <v>4</v>
      </c>
      <c r="J154" s="11"/>
      <c r="K154" s="11"/>
      <c r="L154" s="11"/>
      <c r="M154" s="11"/>
      <c r="N154" s="11"/>
      <c r="O154" s="11" t="s">
        <v>434</v>
      </c>
      <c r="P154" s="9"/>
      <c r="Q154" s="5" t="str">
        <f>IFERROR(VLOOKUP($D154,LISTINO!$B:$I,6,FALSE),IFERROR(VLOOKUP($E154,LISTINO!$C:$I,5,FALSE),""))</f>
        <v/>
      </c>
      <c r="R154" s="12" t="str">
        <f t="shared" si="2"/>
        <v/>
      </c>
    </row>
    <row r="155" spans="1:18" x14ac:dyDescent="0.3">
      <c r="A155" s="4" t="s">
        <v>435</v>
      </c>
      <c r="B155" s="4" t="s">
        <v>483</v>
      </c>
      <c r="C155" s="11">
        <v>6</v>
      </c>
      <c r="D155" s="4" t="s">
        <v>350</v>
      </c>
      <c r="E155" s="4" t="s">
        <v>351</v>
      </c>
      <c r="F155" s="4" t="s">
        <v>449</v>
      </c>
      <c r="G155" s="11">
        <v>8</v>
      </c>
      <c r="H155" s="11"/>
      <c r="I155" s="11">
        <v>16</v>
      </c>
      <c r="J155" s="11"/>
      <c r="K155" s="11"/>
      <c r="L155" s="11"/>
      <c r="M155" s="11"/>
      <c r="N155" s="11"/>
      <c r="O155" s="11" t="s">
        <v>434</v>
      </c>
      <c r="P155" s="9"/>
      <c r="Q155" s="5" t="str">
        <f>IFERROR(VLOOKUP($D155,LISTINO!$B:$I,6,FALSE),IFERROR(VLOOKUP($E155,LISTINO!$C:$I,5,FALSE),""))</f>
        <v/>
      </c>
      <c r="R155" s="12" t="str">
        <f t="shared" si="2"/>
        <v/>
      </c>
    </row>
    <row r="156" spans="1:18" x14ac:dyDescent="0.3">
      <c r="A156" s="4" t="s">
        <v>435</v>
      </c>
      <c r="B156" s="4" t="s">
        <v>483</v>
      </c>
      <c r="C156" s="11">
        <v>7</v>
      </c>
      <c r="D156" s="4" t="s">
        <v>389</v>
      </c>
      <c r="E156" s="4" t="s">
        <v>485</v>
      </c>
      <c r="F156" s="4" t="s">
        <v>449</v>
      </c>
      <c r="G156" s="11">
        <v>8</v>
      </c>
      <c r="H156" s="11"/>
      <c r="I156" s="11">
        <v>16</v>
      </c>
      <c r="J156" s="11"/>
      <c r="K156" s="11"/>
      <c r="L156" s="11"/>
      <c r="M156" s="11"/>
      <c r="N156" s="11"/>
      <c r="O156" s="11" t="s">
        <v>434</v>
      </c>
      <c r="P156" s="9"/>
      <c r="Q156" s="5" t="str">
        <f>IFERROR(VLOOKUP($D156,LISTINO!$B:$I,6,FALSE),IFERROR(VLOOKUP($E156,LISTINO!$C:$I,5,FALSE),""))</f>
        <v/>
      </c>
      <c r="R156" s="12" t="str">
        <f t="shared" si="2"/>
        <v/>
      </c>
    </row>
    <row r="157" spans="1:18" x14ac:dyDescent="0.3">
      <c r="A157" s="4" t="s">
        <v>435</v>
      </c>
      <c r="B157" s="4" t="s">
        <v>483</v>
      </c>
      <c r="C157" s="11">
        <v>8</v>
      </c>
      <c r="D157" s="4" t="s">
        <v>389</v>
      </c>
      <c r="E157" s="4" t="s">
        <v>485</v>
      </c>
      <c r="F157" s="4" t="s">
        <v>449</v>
      </c>
      <c r="G157" s="11">
        <v>8</v>
      </c>
      <c r="H157" s="11"/>
      <c r="I157" s="11">
        <v>16</v>
      </c>
      <c r="J157" s="11"/>
      <c r="K157" s="11"/>
      <c r="L157" s="11"/>
      <c r="M157" s="11"/>
      <c r="N157" s="11"/>
      <c r="O157" s="11" t="s">
        <v>434</v>
      </c>
      <c r="P157" s="9"/>
      <c r="Q157" s="5" t="str">
        <f>IFERROR(VLOOKUP($D157,LISTINO!$B:$I,6,FALSE),IFERROR(VLOOKUP($E157,LISTINO!$C:$I,5,FALSE),""))</f>
        <v/>
      </c>
      <c r="R157" s="12" t="str">
        <f t="shared" si="2"/>
        <v/>
      </c>
    </row>
    <row r="158" spans="1:18" x14ac:dyDescent="0.3">
      <c r="A158" s="4" t="s">
        <v>435</v>
      </c>
      <c r="B158" s="4" t="s">
        <v>483</v>
      </c>
      <c r="C158" s="11">
        <v>9</v>
      </c>
      <c r="D158" s="4" t="s">
        <v>379</v>
      </c>
      <c r="E158" s="4" t="s">
        <v>380</v>
      </c>
      <c r="F158" s="4" t="s">
        <v>449</v>
      </c>
      <c r="G158" s="11">
        <v>8</v>
      </c>
      <c r="H158" s="11"/>
      <c r="I158" s="11">
        <v>16</v>
      </c>
      <c r="J158" s="11"/>
      <c r="K158" s="11"/>
      <c r="L158" s="11"/>
      <c r="M158" s="11"/>
      <c r="N158" s="11"/>
      <c r="O158" s="11" t="s">
        <v>434</v>
      </c>
      <c r="P158" s="9"/>
      <c r="Q158" s="5" t="str">
        <f>IFERROR(VLOOKUP($D158,LISTINO!$B:$I,6,FALSE),IFERROR(VLOOKUP($E158,LISTINO!$C:$I,5,FALSE),""))</f>
        <v/>
      </c>
      <c r="R158" s="12" t="str">
        <f t="shared" si="2"/>
        <v/>
      </c>
    </row>
    <row r="159" spans="1:18" x14ac:dyDescent="0.3">
      <c r="A159" s="4" t="s">
        <v>435</v>
      </c>
      <c r="B159" s="4" t="s">
        <v>486</v>
      </c>
      <c r="C159" s="11"/>
      <c r="D159" s="4" t="s">
        <v>281</v>
      </c>
      <c r="E159" s="4" t="s">
        <v>282</v>
      </c>
      <c r="F159" s="4" t="s">
        <v>433</v>
      </c>
      <c r="G159" s="11">
        <v>2</v>
      </c>
      <c r="H159" s="11"/>
      <c r="I159" s="11"/>
      <c r="J159" s="11"/>
      <c r="K159" s="11"/>
      <c r="L159" s="11"/>
      <c r="M159" s="11"/>
      <c r="N159" s="11"/>
      <c r="O159" s="11" t="s">
        <v>434</v>
      </c>
      <c r="P159" s="9"/>
      <c r="Q159" s="5">
        <f>IFERROR(VLOOKUP($D159,LISTINO!$B:$I,6,FALSE),IFERROR(VLOOKUP($E159,LISTINO!$C:$I,5,FALSE),""))</f>
        <v>0</v>
      </c>
      <c r="R159" s="12">
        <f t="shared" si="2"/>
        <v>0</v>
      </c>
    </row>
    <row r="160" spans="1:18" x14ac:dyDescent="0.3">
      <c r="A160" s="4" t="s">
        <v>435</v>
      </c>
      <c r="B160" s="4" t="s">
        <v>486</v>
      </c>
      <c r="C160" s="11"/>
      <c r="D160" s="4" t="s">
        <v>301</v>
      </c>
      <c r="E160" s="4" t="s">
        <v>302</v>
      </c>
      <c r="F160" s="4" t="s">
        <v>433</v>
      </c>
      <c r="G160" s="11">
        <v>2</v>
      </c>
      <c r="H160" s="11"/>
      <c r="I160" s="11"/>
      <c r="J160" s="11"/>
      <c r="K160" s="11"/>
      <c r="L160" s="11"/>
      <c r="M160" s="11"/>
      <c r="N160" s="11"/>
      <c r="O160" s="11" t="s">
        <v>434</v>
      </c>
      <c r="P160" s="9"/>
      <c r="Q160" s="5">
        <f>IFERROR(VLOOKUP($D160,LISTINO!$B:$I,6,FALSE),IFERROR(VLOOKUP($E160,LISTINO!$C:$I,5,FALSE),""))</f>
        <v>0</v>
      </c>
      <c r="R160" s="12">
        <f t="shared" si="2"/>
        <v>0</v>
      </c>
    </row>
    <row r="161" spans="1:18" x14ac:dyDescent="0.3">
      <c r="A161" s="4" t="s">
        <v>435</v>
      </c>
      <c r="B161" s="4" t="s">
        <v>486</v>
      </c>
      <c r="C161" s="11"/>
      <c r="D161" s="4" t="s">
        <v>303</v>
      </c>
      <c r="E161" s="4" t="s">
        <v>304</v>
      </c>
      <c r="F161" s="4" t="s">
        <v>433</v>
      </c>
      <c r="G161" s="11">
        <v>0</v>
      </c>
      <c r="H161" s="11"/>
      <c r="I161" s="11"/>
      <c r="J161" s="11"/>
      <c r="K161" s="11"/>
      <c r="L161" s="11"/>
      <c r="M161" s="11"/>
      <c r="N161" s="11"/>
      <c r="O161" s="11" t="s">
        <v>434</v>
      </c>
      <c r="P161" s="9"/>
      <c r="Q161" s="5">
        <f>IFERROR(VLOOKUP($D161,LISTINO!$B:$I,6,FALSE),IFERROR(VLOOKUP($E161,LISTINO!$C:$I,5,FALSE),""))</f>
        <v>0</v>
      </c>
      <c r="R161" s="12">
        <f t="shared" si="2"/>
        <v>0</v>
      </c>
    </row>
    <row r="162" spans="1:18" x14ac:dyDescent="0.3">
      <c r="A162" s="4" t="s">
        <v>435</v>
      </c>
      <c r="B162" s="4" t="s">
        <v>486</v>
      </c>
      <c r="C162" s="11">
        <v>1</v>
      </c>
      <c r="D162" s="4" t="s">
        <v>16</v>
      </c>
      <c r="E162" s="4" t="s">
        <v>17</v>
      </c>
      <c r="F162" s="4" t="s">
        <v>433</v>
      </c>
      <c r="G162" s="11">
        <v>2</v>
      </c>
      <c r="H162" s="11"/>
      <c r="I162" s="11"/>
      <c r="J162" s="11">
        <v>4</v>
      </c>
      <c r="K162" s="11"/>
      <c r="L162" s="11"/>
      <c r="M162" s="11"/>
      <c r="N162" s="11"/>
      <c r="O162" s="11" t="s">
        <v>434</v>
      </c>
      <c r="P162" s="9"/>
      <c r="Q162" s="5">
        <f>IFERROR(VLOOKUP($D162,LISTINO!$B:$I,6,FALSE),IFERROR(VLOOKUP($E162,LISTINO!$C:$I,5,FALSE),""))</f>
        <v>0</v>
      </c>
      <c r="R162" s="12">
        <f t="shared" si="2"/>
        <v>0</v>
      </c>
    </row>
    <row r="163" spans="1:18" x14ac:dyDescent="0.3">
      <c r="A163" s="4" t="s">
        <v>435</v>
      </c>
      <c r="B163" s="4" t="s">
        <v>486</v>
      </c>
      <c r="C163" s="11">
        <v>2</v>
      </c>
      <c r="D163" s="4" t="s">
        <v>369</v>
      </c>
      <c r="E163" s="4" t="s">
        <v>370</v>
      </c>
      <c r="F163" s="4" t="s">
        <v>449</v>
      </c>
      <c r="G163" s="11">
        <v>2</v>
      </c>
      <c r="H163" s="11"/>
      <c r="I163" s="11"/>
      <c r="J163" s="11">
        <v>4</v>
      </c>
      <c r="K163" s="11"/>
      <c r="L163" s="11"/>
      <c r="M163" s="11"/>
      <c r="N163" s="11"/>
      <c r="O163" s="11" t="s">
        <v>434</v>
      </c>
      <c r="P163" s="9"/>
      <c r="Q163" s="5" t="str">
        <f>IFERROR(VLOOKUP($D163,LISTINO!$B:$I,6,FALSE),IFERROR(VLOOKUP($E163,LISTINO!$C:$I,5,FALSE),""))</f>
        <v/>
      </c>
      <c r="R163" s="12" t="str">
        <f t="shared" si="2"/>
        <v/>
      </c>
    </row>
    <row r="164" spans="1:18" x14ac:dyDescent="0.3">
      <c r="A164" s="4" t="s">
        <v>435</v>
      </c>
      <c r="B164" s="4" t="s">
        <v>486</v>
      </c>
      <c r="C164" s="11">
        <v>3</v>
      </c>
      <c r="D164" s="4" t="s">
        <v>397</v>
      </c>
      <c r="E164" s="4" t="s">
        <v>484</v>
      </c>
      <c r="F164" s="4" t="s">
        <v>449</v>
      </c>
      <c r="G164" s="11">
        <v>2</v>
      </c>
      <c r="H164" s="11"/>
      <c r="I164" s="11"/>
      <c r="J164" s="11">
        <v>4</v>
      </c>
      <c r="K164" s="11"/>
      <c r="L164" s="11"/>
      <c r="M164" s="11"/>
      <c r="N164" s="11"/>
      <c r="O164" s="11" t="s">
        <v>434</v>
      </c>
      <c r="P164" s="9"/>
      <c r="Q164" s="5" t="str">
        <f>IFERROR(VLOOKUP($D164,LISTINO!$B:$I,6,FALSE),IFERROR(VLOOKUP($E164,LISTINO!$C:$I,5,FALSE),""))</f>
        <v/>
      </c>
      <c r="R164" s="12" t="str">
        <f t="shared" si="2"/>
        <v/>
      </c>
    </row>
    <row r="165" spans="1:18" x14ac:dyDescent="0.3">
      <c r="A165" s="4" t="s">
        <v>435</v>
      </c>
      <c r="B165" s="4" t="s">
        <v>486</v>
      </c>
      <c r="C165" s="11">
        <v>4</v>
      </c>
      <c r="D165" s="4" t="s">
        <v>397</v>
      </c>
      <c r="E165" s="4" t="s">
        <v>484</v>
      </c>
      <c r="F165" s="4" t="s">
        <v>449</v>
      </c>
      <c r="G165" s="11">
        <v>2</v>
      </c>
      <c r="H165" s="11"/>
      <c r="I165" s="11"/>
      <c r="J165" s="11">
        <v>4</v>
      </c>
      <c r="K165" s="11"/>
      <c r="L165" s="11"/>
      <c r="M165" s="11"/>
      <c r="N165" s="11"/>
      <c r="O165" s="11" t="s">
        <v>434</v>
      </c>
      <c r="P165" s="9"/>
      <c r="Q165" s="5" t="str">
        <f>IFERROR(VLOOKUP($D165,LISTINO!$B:$I,6,FALSE),IFERROR(VLOOKUP($E165,LISTINO!$C:$I,5,FALSE),""))</f>
        <v/>
      </c>
      <c r="R165" s="12" t="str">
        <f t="shared" si="2"/>
        <v/>
      </c>
    </row>
    <row r="166" spans="1:18" x14ac:dyDescent="0.3">
      <c r="A166" s="4" t="s">
        <v>435</v>
      </c>
      <c r="B166" s="4" t="s">
        <v>486</v>
      </c>
      <c r="C166" s="11">
        <v>5</v>
      </c>
      <c r="D166" s="4" t="s">
        <v>387</v>
      </c>
      <c r="E166" s="4" t="s">
        <v>388</v>
      </c>
      <c r="F166" s="4" t="s">
        <v>449</v>
      </c>
      <c r="G166" s="11">
        <v>2</v>
      </c>
      <c r="H166" s="11"/>
      <c r="I166" s="11"/>
      <c r="J166" s="11">
        <v>4</v>
      </c>
      <c r="K166" s="11"/>
      <c r="L166" s="11"/>
      <c r="M166" s="11"/>
      <c r="N166" s="11"/>
      <c r="O166" s="11" t="s">
        <v>434</v>
      </c>
      <c r="P166" s="9"/>
      <c r="Q166" s="5" t="str">
        <f>IFERROR(VLOOKUP($D166,LISTINO!$B:$I,6,FALSE),IFERROR(VLOOKUP($E166,LISTINO!$C:$I,5,FALSE),""))</f>
        <v/>
      </c>
      <c r="R166" s="12" t="str">
        <f t="shared" si="2"/>
        <v/>
      </c>
    </row>
    <row r="167" spans="1:18" x14ac:dyDescent="0.3">
      <c r="A167" s="4" t="s">
        <v>435</v>
      </c>
      <c r="B167" s="4" t="s">
        <v>486</v>
      </c>
      <c r="C167" s="11">
        <v>6</v>
      </c>
      <c r="D167" s="4" t="s">
        <v>350</v>
      </c>
      <c r="E167" s="4" t="s">
        <v>351</v>
      </c>
      <c r="F167" s="4" t="s">
        <v>449</v>
      </c>
      <c r="G167" s="11">
        <v>8</v>
      </c>
      <c r="H167" s="11"/>
      <c r="I167" s="11"/>
      <c r="J167" s="11">
        <v>16</v>
      </c>
      <c r="K167" s="11"/>
      <c r="L167" s="11"/>
      <c r="M167" s="11"/>
      <c r="N167" s="11"/>
      <c r="O167" s="11" t="s">
        <v>434</v>
      </c>
      <c r="P167" s="9"/>
      <c r="Q167" s="5" t="str">
        <f>IFERROR(VLOOKUP($D167,LISTINO!$B:$I,6,FALSE),IFERROR(VLOOKUP($E167,LISTINO!$C:$I,5,FALSE),""))</f>
        <v/>
      </c>
      <c r="R167" s="12" t="str">
        <f t="shared" si="2"/>
        <v/>
      </c>
    </row>
    <row r="168" spans="1:18" x14ac:dyDescent="0.3">
      <c r="A168" s="4" t="s">
        <v>435</v>
      </c>
      <c r="B168" s="4" t="s">
        <v>486</v>
      </c>
      <c r="C168" s="11">
        <v>7</v>
      </c>
      <c r="D168" s="4" t="s">
        <v>389</v>
      </c>
      <c r="E168" s="4" t="s">
        <v>485</v>
      </c>
      <c r="F168" s="4" t="s">
        <v>449</v>
      </c>
      <c r="G168" s="11">
        <v>8</v>
      </c>
      <c r="H168" s="11"/>
      <c r="I168" s="11"/>
      <c r="J168" s="11">
        <v>16</v>
      </c>
      <c r="K168" s="11"/>
      <c r="L168" s="11"/>
      <c r="M168" s="11"/>
      <c r="N168" s="11"/>
      <c r="O168" s="11" t="s">
        <v>434</v>
      </c>
      <c r="P168" s="9"/>
      <c r="Q168" s="5" t="str">
        <f>IFERROR(VLOOKUP($D168,LISTINO!$B:$I,6,FALSE),IFERROR(VLOOKUP($E168,LISTINO!$C:$I,5,FALSE),""))</f>
        <v/>
      </c>
      <c r="R168" s="12" t="str">
        <f t="shared" si="2"/>
        <v/>
      </c>
    </row>
    <row r="169" spans="1:18" x14ac:dyDescent="0.3">
      <c r="A169" s="4" t="s">
        <v>435</v>
      </c>
      <c r="B169" s="4" t="s">
        <v>486</v>
      </c>
      <c r="C169" s="11">
        <v>8</v>
      </c>
      <c r="D169" s="4" t="s">
        <v>389</v>
      </c>
      <c r="E169" s="4" t="s">
        <v>485</v>
      </c>
      <c r="F169" s="4" t="s">
        <v>449</v>
      </c>
      <c r="G169" s="11">
        <v>8</v>
      </c>
      <c r="H169" s="11"/>
      <c r="I169" s="11"/>
      <c r="J169" s="11">
        <v>16</v>
      </c>
      <c r="K169" s="11"/>
      <c r="L169" s="11"/>
      <c r="M169" s="11"/>
      <c r="N169" s="11"/>
      <c r="O169" s="11" t="s">
        <v>434</v>
      </c>
      <c r="P169" s="9"/>
      <c r="Q169" s="5" t="str">
        <f>IFERROR(VLOOKUP($D169,LISTINO!$B:$I,6,FALSE),IFERROR(VLOOKUP($E169,LISTINO!$C:$I,5,FALSE),""))</f>
        <v/>
      </c>
      <c r="R169" s="12" t="str">
        <f t="shared" si="2"/>
        <v/>
      </c>
    </row>
    <row r="170" spans="1:18" x14ac:dyDescent="0.3">
      <c r="A170" s="4" t="s">
        <v>435</v>
      </c>
      <c r="B170" s="4" t="s">
        <v>486</v>
      </c>
      <c r="C170" s="11">
        <v>9</v>
      </c>
      <c r="D170" s="4" t="s">
        <v>379</v>
      </c>
      <c r="E170" s="4" t="s">
        <v>380</v>
      </c>
      <c r="F170" s="4" t="s">
        <v>449</v>
      </c>
      <c r="G170" s="11">
        <v>8</v>
      </c>
      <c r="H170" s="11"/>
      <c r="I170" s="11"/>
      <c r="J170" s="11">
        <v>16</v>
      </c>
      <c r="K170" s="11"/>
      <c r="L170" s="11"/>
      <c r="M170" s="11"/>
      <c r="N170" s="11"/>
      <c r="O170" s="11" t="s">
        <v>434</v>
      </c>
      <c r="P170" s="9"/>
      <c r="Q170" s="5" t="str">
        <f>IFERROR(VLOOKUP($D170,LISTINO!$B:$I,6,FALSE),IFERROR(VLOOKUP($E170,LISTINO!$C:$I,5,FALSE),""))</f>
        <v/>
      </c>
      <c r="R170" s="12" t="str">
        <f t="shared" si="2"/>
        <v/>
      </c>
    </row>
    <row r="171" spans="1:18" x14ac:dyDescent="0.3">
      <c r="A171" s="4" t="s">
        <v>435</v>
      </c>
      <c r="B171" s="4" t="s">
        <v>487</v>
      </c>
      <c r="C171" s="11"/>
      <c r="D171" s="4" t="s">
        <v>289</v>
      </c>
      <c r="E171" s="4" t="s">
        <v>290</v>
      </c>
      <c r="F171" s="4" t="s">
        <v>433</v>
      </c>
      <c r="G171" s="11">
        <v>2</v>
      </c>
      <c r="H171" s="11"/>
      <c r="I171" s="11"/>
      <c r="J171" s="11"/>
      <c r="K171" s="11"/>
      <c r="L171" s="11"/>
      <c r="M171" s="11"/>
      <c r="N171" s="11"/>
      <c r="O171" s="11" t="s">
        <v>434</v>
      </c>
      <c r="P171" s="9"/>
      <c r="Q171" s="5">
        <f>IFERROR(VLOOKUP($D171,LISTINO!$B:$I,6,FALSE),IFERROR(VLOOKUP($E171,LISTINO!$C:$I,5,FALSE),""))</f>
        <v>0</v>
      </c>
      <c r="R171" s="12">
        <f t="shared" si="2"/>
        <v>0</v>
      </c>
    </row>
    <row r="172" spans="1:18" x14ac:dyDescent="0.3">
      <c r="A172" s="4" t="s">
        <v>435</v>
      </c>
      <c r="B172" s="4" t="s">
        <v>487</v>
      </c>
      <c r="C172" s="11"/>
      <c r="D172" s="4" t="s">
        <v>291</v>
      </c>
      <c r="E172" s="4" t="s">
        <v>292</v>
      </c>
      <c r="F172" s="4" t="s">
        <v>433</v>
      </c>
      <c r="G172" s="11">
        <v>0</v>
      </c>
      <c r="H172" s="11"/>
      <c r="I172" s="11"/>
      <c r="J172" s="11"/>
      <c r="K172" s="11"/>
      <c r="L172" s="11"/>
      <c r="M172" s="11"/>
      <c r="N172" s="11"/>
      <c r="O172" s="11" t="s">
        <v>434</v>
      </c>
      <c r="P172" s="9"/>
      <c r="Q172" s="5">
        <f>IFERROR(VLOOKUP($D172,LISTINO!$B:$I,6,FALSE),IFERROR(VLOOKUP($E172,LISTINO!$C:$I,5,FALSE),""))</f>
        <v>0</v>
      </c>
      <c r="R172" s="12">
        <f t="shared" si="2"/>
        <v>0</v>
      </c>
    </row>
    <row r="173" spans="1:18" x14ac:dyDescent="0.3">
      <c r="A173" s="4" t="s">
        <v>435</v>
      </c>
      <c r="B173" s="4" t="s">
        <v>487</v>
      </c>
      <c r="C173" s="11"/>
      <c r="D173" s="4" t="s">
        <v>297</v>
      </c>
      <c r="E173" s="4" t="s">
        <v>298</v>
      </c>
      <c r="F173" s="4" t="s">
        <v>433</v>
      </c>
      <c r="G173" s="11">
        <v>2</v>
      </c>
      <c r="H173" s="11"/>
      <c r="I173" s="11"/>
      <c r="J173" s="11"/>
      <c r="K173" s="11"/>
      <c r="L173" s="11"/>
      <c r="M173" s="11"/>
      <c r="N173" s="11"/>
      <c r="O173" s="11" t="s">
        <v>434</v>
      </c>
      <c r="P173" s="9"/>
      <c r="Q173" s="5">
        <f>IFERROR(VLOOKUP($D173,LISTINO!$B:$I,6,FALSE),IFERROR(VLOOKUP($E173,LISTINO!$C:$I,5,FALSE),""))</f>
        <v>0</v>
      </c>
      <c r="R173" s="12">
        <f t="shared" si="2"/>
        <v>0</v>
      </c>
    </row>
    <row r="174" spans="1:18" x14ac:dyDescent="0.3">
      <c r="A174" s="4" t="s">
        <v>435</v>
      </c>
      <c r="B174" s="4" t="s">
        <v>487</v>
      </c>
      <c r="C174" s="11"/>
      <c r="D174" s="4" t="s">
        <v>299</v>
      </c>
      <c r="E174" s="4" t="s">
        <v>300</v>
      </c>
      <c r="F174" s="4" t="s">
        <v>433</v>
      </c>
      <c r="G174" s="11">
        <v>0</v>
      </c>
      <c r="H174" s="11"/>
      <c r="I174" s="11"/>
      <c r="J174" s="11"/>
      <c r="K174" s="11"/>
      <c r="L174" s="11"/>
      <c r="M174" s="11"/>
      <c r="N174" s="11"/>
      <c r="O174" s="11" t="s">
        <v>434</v>
      </c>
      <c r="P174" s="9"/>
      <c r="Q174" s="5">
        <f>IFERROR(VLOOKUP($D174,LISTINO!$B:$I,6,FALSE),IFERROR(VLOOKUP($E174,LISTINO!$C:$I,5,FALSE),""))</f>
        <v>0</v>
      </c>
      <c r="R174" s="12">
        <f t="shared" si="2"/>
        <v>0</v>
      </c>
    </row>
    <row r="175" spans="1:18" x14ac:dyDescent="0.3">
      <c r="A175" s="4" t="s">
        <v>435</v>
      </c>
      <c r="B175" s="4" t="s">
        <v>487</v>
      </c>
      <c r="C175" s="11">
        <v>1</v>
      </c>
      <c r="D175" s="4" t="s">
        <v>16</v>
      </c>
      <c r="E175" s="4" t="s">
        <v>17</v>
      </c>
      <c r="F175" s="4" t="s">
        <v>433</v>
      </c>
      <c r="G175" s="11">
        <v>2</v>
      </c>
      <c r="H175" s="11"/>
      <c r="I175" s="11"/>
      <c r="J175" s="11"/>
      <c r="K175" s="11">
        <v>4</v>
      </c>
      <c r="L175" s="11"/>
      <c r="M175" s="11"/>
      <c r="N175" s="11"/>
      <c r="O175" s="11" t="s">
        <v>434</v>
      </c>
      <c r="P175" s="9"/>
      <c r="Q175" s="5">
        <f>IFERROR(VLOOKUP($D175,LISTINO!$B:$I,6,FALSE),IFERROR(VLOOKUP($E175,LISTINO!$C:$I,5,FALSE),""))</f>
        <v>0</v>
      </c>
      <c r="R175" s="12">
        <f t="shared" si="2"/>
        <v>0</v>
      </c>
    </row>
    <row r="176" spans="1:18" x14ac:dyDescent="0.3">
      <c r="A176" s="4" t="s">
        <v>435</v>
      </c>
      <c r="B176" s="4" t="s">
        <v>487</v>
      </c>
      <c r="C176" s="11">
        <v>2</v>
      </c>
      <c r="D176" s="4" t="s">
        <v>369</v>
      </c>
      <c r="E176" s="4" t="s">
        <v>370</v>
      </c>
      <c r="F176" s="4" t="s">
        <v>449</v>
      </c>
      <c r="G176" s="11">
        <v>2</v>
      </c>
      <c r="H176" s="11"/>
      <c r="I176" s="11"/>
      <c r="J176" s="11"/>
      <c r="K176" s="11">
        <v>4</v>
      </c>
      <c r="L176" s="11"/>
      <c r="M176" s="11"/>
      <c r="N176" s="11"/>
      <c r="O176" s="11" t="s">
        <v>434</v>
      </c>
      <c r="P176" s="9"/>
      <c r="Q176" s="5" t="str">
        <f>IFERROR(VLOOKUP($D176,LISTINO!$B:$I,6,FALSE),IFERROR(VLOOKUP($E176,LISTINO!$C:$I,5,FALSE),""))</f>
        <v/>
      </c>
      <c r="R176" s="12" t="str">
        <f t="shared" si="2"/>
        <v/>
      </c>
    </row>
    <row r="177" spans="1:18" x14ac:dyDescent="0.3">
      <c r="A177" s="4" t="s">
        <v>435</v>
      </c>
      <c r="B177" s="4" t="s">
        <v>487</v>
      </c>
      <c r="C177" s="11">
        <v>3</v>
      </c>
      <c r="D177" s="4" t="s">
        <v>397</v>
      </c>
      <c r="E177" s="4" t="s">
        <v>484</v>
      </c>
      <c r="F177" s="4" t="s">
        <v>449</v>
      </c>
      <c r="G177" s="11">
        <v>2</v>
      </c>
      <c r="H177" s="11"/>
      <c r="I177" s="11"/>
      <c r="J177" s="11"/>
      <c r="K177" s="11">
        <v>4</v>
      </c>
      <c r="L177" s="11"/>
      <c r="M177" s="11"/>
      <c r="N177" s="11"/>
      <c r="O177" s="11" t="s">
        <v>434</v>
      </c>
      <c r="P177" s="9"/>
      <c r="Q177" s="5" t="str">
        <f>IFERROR(VLOOKUP($D177,LISTINO!$B:$I,6,FALSE),IFERROR(VLOOKUP($E177,LISTINO!$C:$I,5,FALSE),""))</f>
        <v/>
      </c>
      <c r="R177" s="12" t="str">
        <f t="shared" si="2"/>
        <v/>
      </c>
    </row>
    <row r="178" spans="1:18" x14ac:dyDescent="0.3">
      <c r="A178" s="4" t="s">
        <v>435</v>
      </c>
      <c r="B178" s="4" t="s">
        <v>487</v>
      </c>
      <c r="C178" s="11">
        <v>4</v>
      </c>
      <c r="D178" s="4" t="s">
        <v>397</v>
      </c>
      <c r="E178" s="4" t="s">
        <v>484</v>
      </c>
      <c r="F178" s="4" t="s">
        <v>449</v>
      </c>
      <c r="G178" s="11">
        <v>2</v>
      </c>
      <c r="H178" s="11"/>
      <c r="I178" s="11"/>
      <c r="J178" s="11"/>
      <c r="K178" s="11">
        <v>4</v>
      </c>
      <c r="L178" s="11"/>
      <c r="M178" s="11"/>
      <c r="N178" s="11"/>
      <c r="O178" s="11" t="s">
        <v>434</v>
      </c>
      <c r="P178" s="9"/>
      <c r="Q178" s="5" t="str">
        <f>IFERROR(VLOOKUP($D178,LISTINO!$B:$I,6,FALSE),IFERROR(VLOOKUP($E178,LISTINO!$C:$I,5,FALSE),""))</f>
        <v/>
      </c>
      <c r="R178" s="12" t="str">
        <f t="shared" si="2"/>
        <v/>
      </c>
    </row>
    <row r="179" spans="1:18" x14ac:dyDescent="0.3">
      <c r="A179" s="4" t="s">
        <v>435</v>
      </c>
      <c r="B179" s="4" t="s">
        <v>487</v>
      </c>
      <c r="C179" s="11">
        <v>5</v>
      </c>
      <c r="D179" s="4" t="s">
        <v>387</v>
      </c>
      <c r="E179" s="4" t="s">
        <v>388</v>
      </c>
      <c r="F179" s="4" t="s">
        <v>449</v>
      </c>
      <c r="G179" s="11">
        <v>2</v>
      </c>
      <c r="H179" s="11"/>
      <c r="I179" s="11"/>
      <c r="J179" s="11"/>
      <c r="K179" s="11">
        <v>4</v>
      </c>
      <c r="L179" s="11"/>
      <c r="M179" s="11"/>
      <c r="N179" s="11"/>
      <c r="O179" s="11" t="s">
        <v>434</v>
      </c>
      <c r="P179" s="9"/>
      <c r="Q179" s="5" t="str">
        <f>IFERROR(VLOOKUP($D179,LISTINO!$B:$I,6,FALSE),IFERROR(VLOOKUP($E179,LISTINO!$C:$I,5,FALSE),""))</f>
        <v/>
      </c>
      <c r="R179" s="12" t="str">
        <f t="shared" si="2"/>
        <v/>
      </c>
    </row>
    <row r="180" spans="1:18" x14ac:dyDescent="0.3">
      <c r="A180" s="4" t="s">
        <v>435</v>
      </c>
      <c r="B180" s="4" t="s">
        <v>487</v>
      </c>
      <c r="C180" s="11">
        <v>6</v>
      </c>
      <c r="D180" s="4" t="s">
        <v>350</v>
      </c>
      <c r="E180" s="4" t="s">
        <v>351</v>
      </c>
      <c r="F180" s="4" t="s">
        <v>449</v>
      </c>
      <c r="G180" s="11">
        <v>8</v>
      </c>
      <c r="H180" s="11"/>
      <c r="I180" s="11"/>
      <c r="J180" s="11"/>
      <c r="K180" s="11">
        <v>16</v>
      </c>
      <c r="L180" s="11"/>
      <c r="M180" s="11"/>
      <c r="N180" s="11"/>
      <c r="O180" s="11" t="s">
        <v>434</v>
      </c>
      <c r="P180" s="9"/>
      <c r="Q180" s="5" t="str">
        <f>IFERROR(VLOOKUP($D180,LISTINO!$B:$I,6,FALSE),IFERROR(VLOOKUP($E180,LISTINO!$C:$I,5,FALSE),""))</f>
        <v/>
      </c>
      <c r="R180" s="12" t="str">
        <f t="shared" si="2"/>
        <v/>
      </c>
    </row>
    <row r="181" spans="1:18" x14ac:dyDescent="0.3">
      <c r="A181" s="4" t="s">
        <v>435</v>
      </c>
      <c r="B181" s="4" t="s">
        <v>487</v>
      </c>
      <c r="C181" s="11">
        <v>7</v>
      </c>
      <c r="D181" s="4" t="s">
        <v>389</v>
      </c>
      <c r="E181" s="4" t="s">
        <v>485</v>
      </c>
      <c r="F181" s="4" t="s">
        <v>449</v>
      </c>
      <c r="G181" s="11">
        <v>8</v>
      </c>
      <c r="H181" s="11"/>
      <c r="I181" s="11"/>
      <c r="J181" s="11"/>
      <c r="K181" s="11">
        <v>16</v>
      </c>
      <c r="L181" s="11"/>
      <c r="M181" s="11"/>
      <c r="N181" s="11"/>
      <c r="O181" s="11" t="s">
        <v>434</v>
      </c>
      <c r="P181" s="9"/>
      <c r="Q181" s="5" t="str">
        <f>IFERROR(VLOOKUP($D181,LISTINO!$B:$I,6,FALSE),IFERROR(VLOOKUP($E181,LISTINO!$C:$I,5,FALSE),""))</f>
        <v/>
      </c>
      <c r="R181" s="12" t="str">
        <f t="shared" si="2"/>
        <v/>
      </c>
    </row>
    <row r="182" spans="1:18" x14ac:dyDescent="0.3">
      <c r="A182" s="4" t="s">
        <v>435</v>
      </c>
      <c r="B182" s="4" t="s">
        <v>487</v>
      </c>
      <c r="C182" s="11">
        <v>8</v>
      </c>
      <c r="D182" s="4" t="s">
        <v>389</v>
      </c>
      <c r="E182" s="4" t="s">
        <v>485</v>
      </c>
      <c r="F182" s="4" t="s">
        <v>449</v>
      </c>
      <c r="G182" s="11">
        <v>8</v>
      </c>
      <c r="H182" s="11"/>
      <c r="I182" s="11"/>
      <c r="J182" s="11"/>
      <c r="K182" s="11">
        <v>16</v>
      </c>
      <c r="L182" s="11"/>
      <c r="M182" s="11"/>
      <c r="N182" s="11"/>
      <c r="O182" s="11" t="s">
        <v>434</v>
      </c>
      <c r="P182" s="9"/>
      <c r="Q182" s="5" t="str">
        <f>IFERROR(VLOOKUP($D182,LISTINO!$B:$I,6,FALSE),IFERROR(VLOOKUP($E182,LISTINO!$C:$I,5,FALSE),""))</f>
        <v/>
      </c>
      <c r="R182" s="12" t="str">
        <f t="shared" si="2"/>
        <v/>
      </c>
    </row>
    <row r="183" spans="1:18" x14ac:dyDescent="0.3">
      <c r="A183" s="4" t="s">
        <v>435</v>
      </c>
      <c r="B183" s="4" t="s">
        <v>487</v>
      </c>
      <c r="C183" s="11">
        <v>9</v>
      </c>
      <c r="D183" s="4" t="s">
        <v>379</v>
      </c>
      <c r="E183" s="4" t="s">
        <v>380</v>
      </c>
      <c r="F183" s="4" t="s">
        <v>449</v>
      </c>
      <c r="G183" s="11">
        <v>8</v>
      </c>
      <c r="H183" s="11"/>
      <c r="I183" s="11"/>
      <c r="J183" s="11"/>
      <c r="K183" s="11">
        <v>16</v>
      </c>
      <c r="L183" s="11"/>
      <c r="M183" s="11"/>
      <c r="N183" s="11"/>
      <c r="O183" s="11" t="s">
        <v>434</v>
      </c>
      <c r="P183" s="9"/>
      <c r="Q183" s="5" t="str">
        <f>IFERROR(VLOOKUP($D183,LISTINO!$B:$I,6,FALSE),IFERROR(VLOOKUP($E183,LISTINO!$C:$I,5,FALSE),""))</f>
        <v/>
      </c>
      <c r="R183" s="12" t="str">
        <f t="shared" si="2"/>
        <v/>
      </c>
    </row>
    <row r="184" spans="1:18" x14ac:dyDescent="0.3">
      <c r="A184" s="4" t="s">
        <v>435</v>
      </c>
      <c r="B184" s="4" t="s">
        <v>488</v>
      </c>
      <c r="C184" s="11"/>
      <c r="D184" s="4" t="s">
        <v>289</v>
      </c>
      <c r="E184" s="4" t="s">
        <v>290</v>
      </c>
      <c r="F184" s="4" t="s">
        <v>433</v>
      </c>
      <c r="G184" s="11">
        <v>2</v>
      </c>
      <c r="H184" s="11"/>
      <c r="I184" s="11"/>
      <c r="J184" s="11"/>
      <c r="K184" s="11"/>
      <c r="L184" s="11"/>
      <c r="M184" s="11"/>
      <c r="N184" s="11"/>
      <c r="O184" s="11" t="s">
        <v>434</v>
      </c>
      <c r="P184" s="9"/>
      <c r="Q184" s="5">
        <f>IFERROR(VLOOKUP($D184,LISTINO!$B:$I,6,FALSE),IFERROR(VLOOKUP($E184,LISTINO!$C:$I,5,FALSE),""))</f>
        <v>0</v>
      </c>
      <c r="R184" s="12">
        <f t="shared" si="2"/>
        <v>0</v>
      </c>
    </row>
    <row r="185" spans="1:18" x14ac:dyDescent="0.3">
      <c r="A185" s="4" t="s">
        <v>435</v>
      </c>
      <c r="B185" s="4" t="s">
        <v>488</v>
      </c>
      <c r="C185" s="11"/>
      <c r="D185" s="4" t="s">
        <v>305</v>
      </c>
      <c r="E185" s="4" t="s">
        <v>306</v>
      </c>
      <c r="F185" s="4" t="s">
        <v>433</v>
      </c>
      <c r="G185" s="11">
        <v>2</v>
      </c>
      <c r="H185" s="11"/>
      <c r="I185" s="11"/>
      <c r="J185" s="11"/>
      <c r="K185" s="11"/>
      <c r="L185" s="11"/>
      <c r="M185" s="11"/>
      <c r="N185" s="11"/>
      <c r="O185" s="11" t="s">
        <v>434</v>
      </c>
      <c r="P185" s="9"/>
      <c r="Q185" s="5">
        <f>IFERROR(VLOOKUP($D185,LISTINO!$B:$I,6,FALSE),IFERROR(VLOOKUP($E185,LISTINO!$C:$I,5,FALSE),""))</f>
        <v>0</v>
      </c>
      <c r="R185" s="12">
        <f t="shared" si="2"/>
        <v>0</v>
      </c>
    </row>
    <row r="186" spans="1:18" x14ac:dyDescent="0.3">
      <c r="A186" s="4" t="s">
        <v>435</v>
      </c>
      <c r="B186" s="4" t="s">
        <v>488</v>
      </c>
      <c r="C186" s="11"/>
      <c r="D186" s="4" t="s">
        <v>307</v>
      </c>
      <c r="E186" s="4" t="s">
        <v>308</v>
      </c>
      <c r="F186" s="4" t="s">
        <v>433</v>
      </c>
      <c r="G186" s="11">
        <v>0</v>
      </c>
      <c r="H186" s="11"/>
      <c r="I186" s="11"/>
      <c r="J186" s="11"/>
      <c r="K186" s="11"/>
      <c r="L186" s="11"/>
      <c r="M186" s="11"/>
      <c r="N186" s="11"/>
      <c r="O186" s="11" t="s">
        <v>434</v>
      </c>
      <c r="P186" s="9"/>
      <c r="Q186" s="5">
        <f>IFERROR(VLOOKUP($D186,LISTINO!$B:$I,6,FALSE),IFERROR(VLOOKUP($E186,LISTINO!$C:$I,5,FALSE),""))</f>
        <v>0</v>
      </c>
      <c r="R186" s="12">
        <f t="shared" si="2"/>
        <v>0</v>
      </c>
    </row>
    <row r="187" spans="1:18" x14ac:dyDescent="0.3">
      <c r="A187" s="4" t="s">
        <v>435</v>
      </c>
      <c r="B187" s="4" t="s">
        <v>488</v>
      </c>
      <c r="C187" s="11"/>
      <c r="D187" s="4" t="s">
        <v>313</v>
      </c>
      <c r="E187" s="4" t="s">
        <v>314</v>
      </c>
      <c r="F187" s="4" t="s">
        <v>433</v>
      </c>
      <c r="G187" s="11">
        <v>2</v>
      </c>
      <c r="H187" s="11"/>
      <c r="I187" s="11"/>
      <c r="J187" s="11"/>
      <c r="K187" s="11"/>
      <c r="L187" s="11"/>
      <c r="M187" s="11"/>
      <c r="N187" s="11"/>
      <c r="O187" s="11" t="s">
        <v>434</v>
      </c>
      <c r="P187" s="9"/>
      <c r="Q187" s="5">
        <f>IFERROR(VLOOKUP($D187,LISTINO!$B:$I,6,FALSE),IFERROR(VLOOKUP($E187,LISTINO!$C:$I,5,FALSE),""))</f>
        <v>0</v>
      </c>
      <c r="R187" s="12">
        <f t="shared" si="2"/>
        <v>0</v>
      </c>
    </row>
    <row r="188" spans="1:18" x14ac:dyDescent="0.3">
      <c r="A188" s="4" t="s">
        <v>435</v>
      </c>
      <c r="B188" s="4" t="s">
        <v>488</v>
      </c>
      <c r="C188" s="11"/>
      <c r="D188" s="4" t="s">
        <v>315</v>
      </c>
      <c r="E188" s="4" t="s">
        <v>316</v>
      </c>
      <c r="F188" s="4" t="s">
        <v>433</v>
      </c>
      <c r="G188" s="11">
        <v>0</v>
      </c>
      <c r="H188" s="11"/>
      <c r="I188" s="11"/>
      <c r="J188" s="11"/>
      <c r="K188" s="11"/>
      <c r="L188" s="11"/>
      <c r="M188" s="11"/>
      <c r="N188" s="11"/>
      <c r="O188" s="11" t="s">
        <v>434</v>
      </c>
      <c r="P188" s="9"/>
      <c r="Q188" s="5">
        <f>IFERROR(VLOOKUP($D188,LISTINO!$B:$I,6,FALSE),IFERROR(VLOOKUP($E188,LISTINO!$C:$I,5,FALSE),""))</f>
        <v>0</v>
      </c>
      <c r="R188" s="12">
        <f t="shared" si="2"/>
        <v>0</v>
      </c>
    </row>
    <row r="189" spans="1:18" x14ac:dyDescent="0.3">
      <c r="A189" s="4" t="s">
        <v>435</v>
      </c>
      <c r="B189" s="4" t="s">
        <v>488</v>
      </c>
      <c r="C189" s="11">
        <v>1</v>
      </c>
      <c r="D189" s="4" t="s">
        <v>16</v>
      </c>
      <c r="E189" s="4" t="s">
        <v>17</v>
      </c>
      <c r="F189" s="4" t="s">
        <v>433</v>
      </c>
      <c r="G189" s="11">
        <v>2</v>
      </c>
      <c r="H189" s="11"/>
      <c r="I189" s="11"/>
      <c r="J189" s="11"/>
      <c r="K189" s="11"/>
      <c r="L189" s="11">
        <v>8</v>
      </c>
      <c r="M189" s="11"/>
      <c r="N189" s="11"/>
      <c r="O189" s="11" t="s">
        <v>434</v>
      </c>
      <c r="P189" s="9"/>
      <c r="Q189" s="5">
        <f>IFERROR(VLOOKUP($D189,LISTINO!$B:$I,6,FALSE),IFERROR(VLOOKUP($E189,LISTINO!$C:$I,5,FALSE),""))</f>
        <v>0</v>
      </c>
      <c r="R189" s="12">
        <f t="shared" si="2"/>
        <v>0</v>
      </c>
    </row>
    <row r="190" spans="1:18" x14ac:dyDescent="0.3">
      <c r="A190" s="4" t="s">
        <v>435</v>
      </c>
      <c r="B190" s="4" t="s">
        <v>488</v>
      </c>
      <c r="C190" s="11">
        <v>2</v>
      </c>
      <c r="D190" s="4" t="s">
        <v>369</v>
      </c>
      <c r="E190" s="4" t="s">
        <v>370</v>
      </c>
      <c r="F190" s="4" t="s">
        <v>449</v>
      </c>
      <c r="G190" s="11">
        <v>2</v>
      </c>
      <c r="H190" s="11"/>
      <c r="I190" s="11"/>
      <c r="J190" s="11"/>
      <c r="K190" s="11"/>
      <c r="L190" s="11">
        <v>8</v>
      </c>
      <c r="M190" s="11"/>
      <c r="N190" s="11"/>
      <c r="O190" s="11" t="s">
        <v>434</v>
      </c>
      <c r="P190" s="9"/>
      <c r="Q190" s="5" t="str">
        <f>IFERROR(VLOOKUP($D190,LISTINO!$B:$I,6,FALSE),IFERROR(VLOOKUP($E190,LISTINO!$C:$I,5,FALSE),""))</f>
        <v/>
      </c>
      <c r="R190" s="12" t="str">
        <f t="shared" si="2"/>
        <v/>
      </c>
    </row>
    <row r="191" spans="1:18" x14ac:dyDescent="0.3">
      <c r="A191" s="4" t="s">
        <v>435</v>
      </c>
      <c r="B191" s="4" t="s">
        <v>488</v>
      </c>
      <c r="C191" s="11">
        <v>3</v>
      </c>
      <c r="D191" s="4" t="s">
        <v>397</v>
      </c>
      <c r="E191" s="4" t="s">
        <v>484</v>
      </c>
      <c r="F191" s="4" t="s">
        <v>449</v>
      </c>
      <c r="G191" s="11">
        <v>2</v>
      </c>
      <c r="H191" s="11"/>
      <c r="I191" s="11"/>
      <c r="J191" s="11"/>
      <c r="K191" s="11"/>
      <c r="L191" s="11">
        <v>8</v>
      </c>
      <c r="M191" s="11"/>
      <c r="N191" s="11"/>
      <c r="O191" s="11" t="s">
        <v>434</v>
      </c>
      <c r="P191" s="9"/>
      <c r="Q191" s="5" t="str">
        <f>IFERROR(VLOOKUP($D191,LISTINO!$B:$I,6,FALSE),IFERROR(VLOOKUP($E191,LISTINO!$C:$I,5,FALSE),""))</f>
        <v/>
      </c>
      <c r="R191" s="12" t="str">
        <f t="shared" si="2"/>
        <v/>
      </c>
    </row>
    <row r="192" spans="1:18" x14ac:dyDescent="0.3">
      <c r="A192" s="4" t="s">
        <v>435</v>
      </c>
      <c r="B192" s="4" t="s">
        <v>488</v>
      </c>
      <c r="C192" s="11">
        <v>4</v>
      </c>
      <c r="D192" s="4" t="s">
        <v>397</v>
      </c>
      <c r="E192" s="4" t="s">
        <v>484</v>
      </c>
      <c r="F192" s="4" t="s">
        <v>449</v>
      </c>
      <c r="G192" s="11">
        <v>2</v>
      </c>
      <c r="H192" s="11"/>
      <c r="I192" s="11"/>
      <c r="J192" s="11"/>
      <c r="K192" s="11"/>
      <c r="L192" s="11">
        <v>8</v>
      </c>
      <c r="M192" s="11"/>
      <c r="N192" s="11"/>
      <c r="O192" s="11" t="s">
        <v>434</v>
      </c>
      <c r="P192" s="9"/>
      <c r="Q192" s="5" t="str">
        <f>IFERROR(VLOOKUP($D192,LISTINO!$B:$I,6,FALSE),IFERROR(VLOOKUP($E192,LISTINO!$C:$I,5,FALSE),""))</f>
        <v/>
      </c>
      <c r="R192" s="12" t="str">
        <f t="shared" si="2"/>
        <v/>
      </c>
    </row>
    <row r="193" spans="1:18" x14ac:dyDescent="0.3">
      <c r="A193" s="4" t="s">
        <v>435</v>
      </c>
      <c r="B193" s="4" t="s">
        <v>488</v>
      </c>
      <c r="C193" s="11">
        <v>5</v>
      </c>
      <c r="D193" s="4" t="s">
        <v>387</v>
      </c>
      <c r="E193" s="4" t="s">
        <v>388</v>
      </c>
      <c r="F193" s="4" t="s">
        <v>449</v>
      </c>
      <c r="G193" s="11">
        <v>2</v>
      </c>
      <c r="H193" s="11"/>
      <c r="I193" s="11"/>
      <c r="J193" s="11"/>
      <c r="K193" s="11"/>
      <c r="L193" s="11">
        <v>8</v>
      </c>
      <c r="M193" s="11"/>
      <c r="N193" s="11"/>
      <c r="O193" s="11" t="s">
        <v>434</v>
      </c>
      <c r="P193" s="9"/>
      <c r="Q193" s="5" t="str">
        <f>IFERROR(VLOOKUP($D193,LISTINO!$B:$I,6,FALSE),IFERROR(VLOOKUP($E193,LISTINO!$C:$I,5,FALSE),""))</f>
        <v/>
      </c>
      <c r="R193" s="12" t="str">
        <f t="shared" si="2"/>
        <v/>
      </c>
    </row>
    <row r="194" spans="1:18" x14ac:dyDescent="0.3">
      <c r="A194" s="4" t="s">
        <v>435</v>
      </c>
      <c r="B194" s="4" t="s">
        <v>488</v>
      </c>
      <c r="C194" s="11">
        <v>6</v>
      </c>
      <c r="D194" s="4" t="s">
        <v>350</v>
      </c>
      <c r="E194" s="4" t="s">
        <v>351</v>
      </c>
      <c r="F194" s="4" t="s">
        <v>449</v>
      </c>
      <c r="G194" s="11">
        <v>8</v>
      </c>
      <c r="H194" s="11"/>
      <c r="I194" s="11"/>
      <c r="J194" s="11"/>
      <c r="K194" s="11"/>
      <c r="L194" s="11">
        <v>32</v>
      </c>
      <c r="M194" s="11"/>
      <c r="N194" s="11"/>
      <c r="O194" s="11" t="s">
        <v>434</v>
      </c>
      <c r="P194" s="9"/>
      <c r="Q194" s="5" t="str">
        <f>IFERROR(VLOOKUP($D194,LISTINO!$B:$I,6,FALSE),IFERROR(VLOOKUP($E194,LISTINO!$C:$I,5,FALSE),""))</f>
        <v/>
      </c>
      <c r="R194" s="12" t="str">
        <f t="shared" ref="R194:R257" si="3">IF(AND(ISNUMBER(G194),ISNUMBER(Q194)),G194*Q194,"")</f>
        <v/>
      </c>
    </row>
    <row r="195" spans="1:18" x14ac:dyDescent="0.3">
      <c r="A195" s="4" t="s">
        <v>435</v>
      </c>
      <c r="B195" s="4" t="s">
        <v>488</v>
      </c>
      <c r="C195" s="11">
        <v>7</v>
      </c>
      <c r="D195" s="4" t="s">
        <v>389</v>
      </c>
      <c r="E195" s="4" t="s">
        <v>485</v>
      </c>
      <c r="F195" s="4" t="s">
        <v>449</v>
      </c>
      <c r="G195" s="11">
        <v>8</v>
      </c>
      <c r="H195" s="11"/>
      <c r="I195" s="11"/>
      <c r="J195" s="11"/>
      <c r="K195" s="11"/>
      <c r="L195" s="11">
        <v>32</v>
      </c>
      <c r="M195" s="11"/>
      <c r="N195" s="11"/>
      <c r="O195" s="11" t="s">
        <v>434</v>
      </c>
      <c r="P195" s="9"/>
      <c r="Q195" s="5" t="str">
        <f>IFERROR(VLOOKUP($D195,LISTINO!$B:$I,6,FALSE),IFERROR(VLOOKUP($E195,LISTINO!$C:$I,5,FALSE),""))</f>
        <v/>
      </c>
      <c r="R195" s="12" t="str">
        <f t="shared" si="3"/>
        <v/>
      </c>
    </row>
    <row r="196" spans="1:18" x14ac:dyDescent="0.3">
      <c r="A196" s="4" t="s">
        <v>435</v>
      </c>
      <c r="B196" s="4" t="s">
        <v>488</v>
      </c>
      <c r="C196" s="11">
        <v>8</v>
      </c>
      <c r="D196" s="4" t="s">
        <v>389</v>
      </c>
      <c r="E196" s="4" t="s">
        <v>485</v>
      </c>
      <c r="F196" s="4" t="s">
        <v>449</v>
      </c>
      <c r="G196" s="11">
        <v>8</v>
      </c>
      <c r="H196" s="11"/>
      <c r="I196" s="11"/>
      <c r="J196" s="11"/>
      <c r="K196" s="11"/>
      <c r="L196" s="11">
        <v>32</v>
      </c>
      <c r="M196" s="11"/>
      <c r="N196" s="11"/>
      <c r="O196" s="11" t="s">
        <v>434</v>
      </c>
      <c r="P196" s="9"/>
      <c r="Q196" s="5" t="str">
        <f>IFERROR(VLOOKUP($D196,LISTINO!$B:$I,6,FALSE),IFERROR(VLOOKUP($E196,LISTINO!$C:$I,5,FALSE),""))</f>
        <v/>
      </c>
      <c r="R196" s="12" t="str">
        <f t="shared" si="3"/>
        <v/>
      </c>
    </row>
    <row r="197" spans="1:18" x14ac:dyDescent="0.3">
      <c r="A197" s="4" t="s">
        <v>435</v>
      </c>
      <c r="B197" s="4" t="s">
        <v>488</v>
      </c>
      <c r="C197" s="11">
        <v>9</v>
      </c>
      <c r="D197" s="4" t="s">
        <v>379</v>
      </c>
      <c r="E197" s="4" t="s">
        <v>380</v>
      </c>
      <c r="F197" s="4" t="s">
        <v>449</v>
      </c>
      <c r="G197" s="11">
        <v>8</v>
      </c>
      <c r="H197" s="11"/>
      <c r="I197" s="11"/>
      <c r="J197" s="11"/>
      <c r="K197" s="11"/>
      <c r="L197" s="11">
        <v>32</v>
      </c>
      <c r="M197" s="11"/>
      <c r="N197" s="11"/>
      <c r="O197" s="11" t="s">
        <v>434</v>
      </c>
      <c r="P197" s="9"/>
      <c r="Q197" s="5" t="str">
        <f>IFERROR(VLOOKUP($D197,LISTINO!$B:$I,6,FALSE),IFERROR(VLOOKUP($E197,LISTINO!$C:$I,5,FALSE),""))</f>
        <v/>
      </c>
      <c r="R197" s="12" t="str">
        <f t="shared" si="3"/>
        <v/>
      </c>
    </row>
    <row r="198" spans="1:18" x14ac:dyDescent="0.3">
      <c r="A198" s="4" t="s">
        <v>435</v>
      </c>
      <c r="B198" s="4" t="s">
        <v>489</v>
      </c>
      <c r="C198" s="11"/>
      <c r="D198" s="4" t="s">
        <v>289</v>
      </c>
      <c r="E198" s="4" t="s">
        <v>290</v>
      </c>
      <c r="F198" s="4" t="s">
        <v>433</v>
      </c>
      <c r="G198" s="11">
        <v>2</v>
      </c>
      <c r="H198" s="11"/>
      <c r="I198" s="11"/>
      <c r="J198" s="11"/>
      <c r="K198" s="11"/>
      <c r="L198" s="11"/>
      <c r="M198" s="11"/>
      <c r="N198" s="11"/>
      <c r="O198" s="11" t="s">
        <v>434</v>
      </c>
      <c r="P198" s="9"/>
      <c r="Q198" s="5">
        <f>IFERROR(VLOOKUP($D198,LISTINO!$B:$I,6,FALSE),IFERROR(VLOOKUP($E198,LISTINO!$C:$I,5,FALSE),""))</f>
        <v>0</v>
      </c>
      <c r="R198" s="12">
        <f t="shared" si="3"/>
        <v>0</v>
      </c>
    </row>
    <row r="199" spans="1:18" x14ac:dyDescent="0.3">
      <c r="A199" s="4" t="s">
        <v>435</v>
      </c>
      <c r="B199" s="4" t="s">
        <v>489</v>
      </c>
      <c r="C199" s="11"/>
      <c r="D199" s="4" t="s">
        <v>309</v>
      </c>
      <c r="E199" s="4" t="s">
        <v>310</v>
      </c>
      <c r="F199" s="4" t="s">
        <v>433</v>
      </c>
      <c r="G199" s="11">
        <v>2</v>
      </c>
      <c r="H199" s="11"/>
      <c r="I199" s="11"/>
      <c r="J199" s="11"/>
      <c r="K199" s="11"/>
      <c r="L199" s="11"/>
      <c r="M199" s="11"/>
      <c r="N199" s="11"/>
      <c r="O199" s="11" t="s">
        <v>434</v>
      </c>
      <c r="P199" s="9"/>
      <c r="Q199" s="5">
        <f>IFERROR(VLOOKUP($D199,LISTINO!$B:$I,6,FALSE),IFERROR(VLOOKUP($E199,LISTINO!$C:$I,5,FALSE),""))</f>
        <v>0</v>
      </c>
      <c r="R199" s="12">
        <f t="shared" si="3"/>
        <v>0</v>
      </c>
    </row>
    <row r="200" spans="1:18" x14ac:dyDescent="0.3">
      <c r="A200" s="4" t="s">
        <v>435</v>
      </c>
      <c r="B200" s="4" t="s">
        <v>489</v>
      </c>
      <c r="C200" s="11"/>
      <c r="D200" s="4" t="s">
        <v>311</v>
      </c>
      <c r="E200" s="4" t="s">
        <v>312</v>
      </c>
      <c r="F200" s="4" t="s">
        <v>433</v>
      </c>
      <c r="G200" s="11">
        <v>0</v>
      </c>
      <c r="H200" s="11"/>
      <c r="I200" s="11"/>
      <c r="J200" s="11"/>
      <c r="K200" s="11"/>
      <c r="L200" s="11"/>
      <c r="M200" s="11"/>
      <c r="N200" s="11"/>
      <c r="O200" s="11" t="s">
        <v>434</v>
      </c>
      <c r="P200" s="9"/>
      <c r="Q200" s="5">
        <f>IFERROR(VLOOKUP($D200,LISTINO!$B:$I,6,FALSE),IFERROR(VLOOKUP($E200,LISTINO!$C:$I,5,FALSE),""))</f>
        <v>0</v>
      </c>
      <c r="R200" s="12">
        <f t="shared" si="3"/>
        <v>0</v>
      </c>
    </row>
    <row r="201" spans="1:18" x14ac:dyDescent="0.3">
      <c r="A201" s="4" t="s">
        <v>435</v>
      </c>
      <c r="B201" s="4" t="s">
        <v>489</v>
      </c>
      <c r="C201" s="11"/>
      <c r="D201" s="4" t="s">
        <v>317</v>
      </c>
      <c r="E201" s="4" t="s">
        <v>318</v>
      </c>
      <c r="F201" s="4" t="s">
        <v>433</v>
      </c>
      <c r="G201" s="11">
        <v>2</v>
      </c>
      <c r="H201" s="11"/>
      <c r="I201" s="11"/>
      <c r="J201" s="11"/>
      <c r="K201" s="11"/>
      <c r="L201" s="11"/>
      <c r="M201" s="11"/>
      <c r="N201" s="11"/>
      <c r="O201" s="11" t="s">
        <v>434</v>
      </c>
      <c r="P201" s="9"/>
      <c r="Q201" s="5">
        <f>IFERROR(VLOOKUP($D201,LISTINO!$B:$I,6,FALSE),IFERROR(VLOOKUP($E201,LISTINO!$C:$I,5,FALSE),""))</f>
        <v>0</v>
      </c>
      <c r="R201" s="12">
        <f t="shared" si="3"/>
        <v>0</v>
      </c>
    </row>
    <row r="202" spans="1:18" x14ac:dyDescent="0.3">
      <c r="A202" s="4" t="s">
        <v>435</v>
      </c>
      <c r="B202" s="4" t="s">
        <v>489</v>
      </c>
      <c r="C202" s="11"/>
      <c r="D202" s="4" t="s">
        <v>319</v>
      </c>
      <c r="E202" s="4" t="s">
        <v>320</v>
      </c>
      <c r="F202" s="4" t="s">
        <v>433</v>
      </c>
      <c r="G202" s="11">
        <v>0</v>
      </c>
      <c r="H202" s="11"/>
      <c r="I202" s="11"/>
      <c r="J202" s="11"/>
      <c r="K202" s="11"/>
      <c r="L202" s="11"/>
      <c r="M202" s="11"/>
      <c r="N202" s="11"/>
      <c r="O202" s="11" t="s">
        <v>434</v>
      </c>
      <c r="P202" s="9"/>
      <c r="Q202" s="5">
        <f>IFERROR(VLOOKUP($D202,LISTINO!$B:$I,6,FALSE),IFERROR(VLOOKUP($E202,LISTINO!$C:$I,5,FALSE),""))</f>
        <v>0</v>
      </c>
      <c r="R202" s="12">
        <f t="shared" si="3"/>
        <v>0</v>
      </c>
    </row>
    <row r="203" spans="1:18" x14ac:dyDescent="0.3">
      <c r="A203" s="4" t="s">
        <v>435</v>
      </c>
      <c r="B203" s="4" t="s">
        <v>489</v>
      </c>
      <c r="C203" s="11"/>
      <c r="D203" s="4" t="s">
        <v>321</v>
      </c>
      <c r="E203" s="4" t="s">
        <v>322</v>
      </c>
      <c r="F203" s="4" t="s">
        <v>433</v>
      </c>
      <c r="G203" s="11">
        <v>2</v>
      </c>
      <c r="H203" s="11"/>
      <c r="I203" s="11"/>
      <c r="J203" s="11"/>
      <c r="K203" s="11"/>
      <c r="L203" s="11"/>
      <c r="M203" s="11"/>
      <c r="N203" s="11"/>
      <c r="O203" s="11" t="s">
        <v>434</v>
      </c>
      <c r="P203" s="9"/>
      <c r="Q203" s="5">
        <f>IFERROR(VLOOKUP($D203,LISTINO!$B:$I,6,FALSE),IFERROR(VLOOKUP($E203,LISTINO!$C:$I,5,FALSE),""))</f>
        <v>0</v>
      </c>
      <c r="R203" s="12">
        <f t="shared" si="3"/>
        <v>0</v>
      </c>
    </row>
    <row r="204" spans="1:18" x14ac:dyDescent="0.3">
      <c r="A204" s="4" t="s">
        <v>435</v>
      </c>
      <c r="B204" s="4" t="s">
        <v>489</v>
      </c>
      <c r="C204" s="11"/>
      <c r="D204" s="4" t="s">
        <v>323</v>
      </c>
      <c r="E204" s="4" t="s">
        <v>324</v>
      </c>
      <c r="F204" s="4" t="s">
        <v>433</v>
      </c>
      <c r="G204" s="11">
        <v>0</v>
      </c>
      <c r="H204" s="11"/>
      <c r="I204" s="11"/>
      <c r="J204" s="11"/>
      <c r="K204" s="11"/>
      <c r="L204" s="11"/>
      <c r="M204" s="11"/>
      <c r="N204" s="11"/>
      <c r="O204" s="11" t="s">
        <v>434</v>
      </c>
      <c r="P204" s="9"/>
      <c r="Q204" s="5">
        <f>IFERROR(VLOOKUP($D204,LISTINO!$B:$I,6,FALSE),IFERROR(VLOOKUP($E204,LISTINO!$C:$I,5,FALSE),""))</f>
        <v>0</v>
      </c>
      <c r="R204" s="12">
        <f t="shared" si="3"/>
        <v>0</v>
      </c>
    </row>
    <row r="205" spans="1:18" x14ac:dyDescent="0.3">
      <c r="A205" s="4" t="s">
        <v>435</v>
      </c>
      <c r="B205" s="4" t="s">
        <v>489</v>
      </c>
      <c r="C205" s="11">
        <v>1</v>
      </c>
      <c r="D205" s="4" t="s">
        <v>16</v>
      </c>
      <c r="E205" s="4" t="s">
        <v>17</v>
      </c>
      <c r="F205" s="4" t="s">
        <v>433</v>
      </c>
      <c r="G205" s="11">
        <v>2</v>
      </c>
      <c r="H205" s="11"/>
      <c r="I205" s="11"/>
      <c r="J205" s="11"/>
      <c r="K205" s="11"/>
      <c r="L205" s="11"/>
      <c r="M205" s="11">
        <v>12</v>
      </c>
      <c r="N205" s="11"/>
      <c r="O205" s="11" t="s">
        <v>434</v>
      </c>
      <c r="P205" s="9"/>
      <c r="Q205" s="5">
        <f>IFERROR(VLOOKUP($D205,LISTINO!$B:$I,6,FALSE),IFERROR(VLOOKUP($E205,LISTINO!$C:$I,5,FALSE),""))</f>
        <v>0</v>
      </c>
      <c r="R205" s="12">
        <f t="shared" si="3"/>
        <v>0</v>
      </c>
    </row>
    <row r="206" spans="1:18" x14ac:dyDescent="0.3">
      <c r="A206" s="4" t="s">
        <v>435</v>
      </c>
      <c r="B206" s="4" t="s">
        <v>489</v>
      </c>
      <c r="C206" s="11">
        <v>2</v>
      </c>
      <c r="D206" s="4" t="s">
        <v>369</v>
      </c>
      <c r="E206" s="4" t="s">
        <v>370</v>
      </c>
      <c r="F206" s="4" t="s">
        <v>449</v>
      </c>
      <c r="G206" s="11">
        <v>2</v>
      </c>
      <c r="H206" s="11"/>
      <c r="I206" s="11"/>
      <c r="J206" s="11"/>
      <c r="K206" s="11"/>
      <c r="L206" s="11"/>
      <c r="M206" s="11">
        <v>12</v>
      </c>
      <c r="N206" s="11"/>
      <c r="O206" s="11" t="s">
        <v>434</v>
      </c>
      <c r="P206" s="9"/>
      <c r="Q206" s="5" t="str">
        <f>IFERROR(VLOOKUP($D206,LISTINO!$B:$I,6,FALSE),IFERROR(VLOOKUP($E206,LISTINO!$C:$I,5,FALSE),""))</f>
        <v/>
      </c>
      <c r="R206" s="12" t="str">
        <f t="shared" si="3"/>
        <v/>
      </c>
    </row>
    <row r="207" spans="1:18" x14ac:dyDescent="0.3">
      <c r="A207" s="4" t="s">
        <v>435</v>
      </c>
      <c r="B207" s="4" t="s">
        <v>489</v>
      </c>
      <c r="C207" s="11">
        <v>3</v>
      </c>
      <c r="D207" s="4" t="s">
        <v>397</v>
      </c>
      <c r="E207" s="4" t="s">
        <v>484</v>
      </c>
      <c r="F207" s="4" t="s">
        <v>449</v>
      </c>
      <c r="G207" s="11">
        <v>2</v>
      </c>
      <c r="H207" s="11"/>
      <c r="I207" s="11"/>
      <c r="J207" s="11"/>
      <c r="K207" s="11"/>
      <c r="L207" s="11"/>
      <c r="M207" s="11">
        <v>12</v>
      </c>
      <c r="N207" s="11"/>
      <c r="O207" s="11" t="s">
        <v>434</v>
      </c>
      <c r="P207" s="9"/>
      <c r="Q207" s="5" t="str">
        <f>IFERROR(VLOOKUP($D207,LISTINO!$B:$I,6,FALSE),IFERROR(VLOOKUP($E207,LISTINO!$C:$I,5,FALSE),""))</f>
        <v/>
      </c>
      <c r="R207" s="12" t="str">
        <f t="shared" si="3"/>
        <v/>
      </c>
    </row>
    <row r="208" spans="1:18" x14ac:dyDescent="0.3">
      <c r="A208" s="4" t="s">
        <v>435</v>
      </c>
      <c r="B208" s="4" t="s">
        <v>489</v>
      </c>
      <c r="C208" s="11">
        <v>4</v>
      </c>
      <c r="D208" s="4" t="s">
        <v>397</v>
      </c>
      <c r="E208" s="4" t="s">
        <v>484</v>
      </c>
      <c r="F208" s="4" t="s">
        <v>449</v>
      </c>
      <c r="G208" s="11">
        <v>2</v>
      </c>
      <c r="H208" s="11"/>
      <c r="I208" s="11"/>
      <c r="J208" s="11"/>
      <c r="K208" s="11"/>
      <c r="L208" s="11"/>
      <c r="M208" s="11">
        <v>12</v>
      </c>
      <c r="N208" s="11"/>
      <c r="O208" s="11" t="s">
        <v>434</v>
      </c>
      <c r="P208" s="9"/>
      <c r="Q208" s="5" t="str">
        <f>IFERROR(VLOOKUP($D208,LISTINO!$B:$I,6,FALSE),IFERROR(VLOOKUP($E208,LISTINO!$C:$I,5,FALSE),""))</f>
        <v/>
      </c>
      <c r="R208" s="12" t="str">
        <f t="shared" si="3"/>
        <v/>
      </c>
    </row>
    <row r="209" spans="1:18" x14ac:dyDescent="0.3">
      <c r="A209" s="4" t="s">
        <v>435</v>
      </c>
      <c r="B209" s="4" t="s">
        <v>489</v>
      </c>
      <c r="C209" s="11">
        <v>5</v>
      </c>
      <c r="D209" s="4" t="s">
        <v>387</v>
      </c>
      <c r="E209" s="4" t="s">
        <v>388</v>
      </c>
      <c r="F209" s="4" t="s">
        <v>449</v>
      </c>
      <c r="G209" s="11">
        <v>2</v>
      </c>
      <c r="H209" s="11"/>
      <c r="I209" s="11"/>
      <c r="J209" s="11"/>
      <c r="K209" s="11"/>
      <c r="L209" s="11"/>
      <c r="M209" s="11">
        <v>12</v>
      </c>
      <c r="N209" s="11"/>
      <c r="O209" s="11" t="s">
        <v>434</v>
      </c>
      <c r="P209" s="9"/>
      <c r="Q209" s="5" t="str">
        <f>IFERROR(VLOOKUP($D209,LISTINO!$B:$I,6,FALSE),IFERROR(VLOOKUP($E209,LISTINO!$C:$I,5,FALSE),""))</f>
        <v/>
      </c>
      <c r="R209" s="12" t="str">
        <f t="shared" si="3"/>
        <v/>
      </c>
    </row>
    <row r="210" spans="1:18" x14ac:dyDescent="0.3">
      <c r="A210" s="4" t="s">
        <v>435</v>
      </c>
      <c r="B210" s="4" t="s">
        <v>489</v>
      </c>
      <c r="C210" s="11">
        <v>6</v>
      </c>
      <c r="D210" s="4" t="s">
        <v>350</v>
      </c>
      <c r="E210" s="4" t="s">
        <v>351</v>
      </c>
      <c r="F210" s="4" t="s">
        <v>449</v>
      </c>
      <c r="G210" s="11">
        <v>8</v>
      </c>
      <c r="H210" s="11"/>
      <c r="I210" s="11"/>
      <c r="J210" s="11"/>
      <c r="K210" s="11"/>
      <c r="L210" s="11"/>
      <c r="M210" s="11">
        <v>16</v>
      </c>
      <c r="N210" s="11"/>
      <c r="O210" s="11" t="s">
        <v>434</v>
      </c>
      <c r="P210" s="9"/>
      <c r="Q210" s="5" t="str">
        <f>IFERROR(VLOOKUP($D210,LISTINO!$B:$I,6,FALSE),IFERROR(VLOOKUP($E210,LISTINO!$C:$I,5,FALSE),""))</f>
        <v/>
      </c>
      <c r="R210" s="12" t="str">
        <f t="shared" si="3"/>
        <v/>
      </c>
    </row>
    <row r="211" spans="1:18" x14ac:dyDescent="0.3">
      <c r="A211" s="4" t="s">
        <v>435</v>
      </c>
      <c r="B211" s="4" t="s">
        <v>489</v>
      </c>
      <c r="C211" s="11">
        <v>7</v>
      </c>
      <c r="D211" s="4" t="s">
        <v>389</v>
      </c>
      <c r="E211" s="4" t="s">
        <v>485</v>
      </c>
      <c r="F211" s="4" t="s">
        <v>449</v>
      </c>
      <c r="G211" s="11">
        <v>8</v>
      </c>
      <c r="H211" s="11"/>
      <c r="I211" s="11"/>
      <c r="J211" s="11"/>
      <c r="K211" s="11"/>
      <c r="L211" s="11"/>
      <c r="M211" s="11">
        <v>16</v>
      </c>
      <c r="N211" s="11"/>
      <c r="O211" s="11" t="s">
        <v>434</v>
      </c>
      <c r="P211" s="9"/>
      <c r="Q211" s="5" t="str">
        <f>IFERROR(VLOOKUP($D211,LISTINO!$B:$I,6,FALSE),IFERROR(VLOOKUP($E211,LISTINO!$C:$I,5,FALSE),""))</f>
        <v/>
      </c>
      <c r="R211" s="12" t="str">
        <f t="shared" si="3"/>
        <v/>
      </c>
    </row>
    <row r="212" spans="1:18" x14ac:dyDescent="0.3">
      <c r="A212" s="4" t="s">
        <v>435</v>
      </c>
      <c r="B212" s="4" t="s">
        <v>489</v>
      </c>
      <c r="C212" s="11">
        <v>8</v>
      </c>
      <c r="D212" s="4" t="s">
        <v>389</v>
      </c>
      <c r="E212" s="4" t="s">
        <v>485</v>
      </c>
      <c r="F212" s="4" t="s">
        <v>449</v>
      </c>
      <c r="G212" s="11">
        <v>8</v>
      </c>
      <c r="H212" s="11"/>
      <c r="I212" s="11"/>
      <c r="J212" s="11"/>
      <c r="K212" s="11"/>
      <c r="L212" s="11"/>
      <c r="M212" s="11">
        <v>16</v>
      </c>
      <c r="N212" s="11"/>
      <c r="O212" s="11" t="s">
        <v>434</v>
      </c>
      <c r="P212" s="9"/>
      <c r="Q212" s="5" t="str">
        <f>IFERROR(VLOOKUP($D212,LISTINO!$B:$I,6,FALSE),IFERROR(VLOOKUP($E212,LISTINO!$C:$I,5,FALSE),""))</f>
        <v/>
      </c>
      <c r="R212" s="12" t="str">
        <f t="shared" si="3"/>
        <v/>
      </c>
    </row>
    <row r="213" spans="1:18" x14ac:dyDescent="0.3">
      <c r="A213" s="4" t="s">
        <v>435</v>
      </c>
      <c r="B213" s="4" t="s">
        <v>489</v>
      </c>
      <c r="C213" s="11">
        <v>9</v>
      </c>
      <c r="D213" s="4" t="s">
        <v>379</v>
      </c>
      <c r="E213" s="4" t="s">
        <v>380</v>
      </c>
      <c r="F213" s="4" t="s">
        <v>449</v>
      </c>
      <c r="G213" s="11">
        <v>8</v>
      </c>
      <c r="H213" s="11"/>
      <c r="I213" s="11"/>
      <c r="J213" s="11"/>
      <c r="K213" s="11"/>
      <c r="L213" s="11"/>
      <c r="M213" s="11">
        <v>16</v>
      </c>
      <c r="N213" s="11"/>
      <c r="O213" s="11" t="s">
        <v>434</v>
      </c>
      <c r="P213" s="9"/>
      <c r="Q213" s="5" t="str">
        <f>IFERROR(VLOOKUP($D213,LISTINO!$B:$I,6,FALSE),IFERROR(VLOOKUP($E213,LISTINO!$C:$I,5,FALSE),""))</f>
        <v/>
      </c>
      <c r="R213" s="12" t="str">
        <f t="shared" si="3"/>
        <v/>
      </c>
    </row>
    <row r="214" spans="1:18" x14ac:dyDescent="0.3">
      <c r="A214" s="4" t="s">
        <v>436</v>
      </c>
      <c r="B214" s="4"/>
      <c r="C214" s="11">
        <v>1</v>
      </c>
      <c r="D214" s="4" t="s">
        <v>373</v>
      </c>
      <c r="E214" s="4" t="s">
        <v>374</v>
      </c>
      <c r="F214" s="4" t="s">
        <v>449</v>
      </c>
      <c r="G214" s="11">
        <v>4</v>
      </c>
      <c r="H214" s="11">
        <v>56</v>
      </c>
      <c r="I214" s="11">
        <v>80</v>
      </c>
      <c r="J214" s="11">
        <v>88</v>
      </c>
      <c r="K214" s="11">
        <v>96</v>
      </c>
      <c r="L214" s="11">
        <v>152</v>
      </c>
      <c r="M214" s="11">
        <v>168</v>
      </c>
      <c r="N214" s="11"/>
      <c r="O214" s="11" t="s">
        <v>434</v>
      </c>
      <c r="P214" s="9"/>
      <c r="Q214" s="5" t="str">
        <f>IFERROR(VLOOKUP($D214,LISTINO!$B:$I,6,FALSE),IFERROR(VLOOKUP($E214,LISTINO!$C:$I,5,FALSE),""))</f>
        <v/>
      </c>
      <c r="R214" s="12" t="str">
        <f t="shared" si="3"/>
        <v/>
      </c>
    </row>
    <row r="215" spans="1:18" x14ac:dyDescent="0.3">
      <c r="A215" s="4" t="s">
        <v>436</v>
      </c>
      <c r="B215" s="4"/>
      <c r="C215" s="11">
        <v>2</v>
      </c>
      <c r="D215" s="4" t="s">
        <v>325</v>
      </c>
      <c r="E215" s="4" t="s">
        <v>326</v>
      </c>
      <c r="F215" s="4" t="s">
        <v>433</v>
      </c>
      <c r="G215" s="11">
        <v>2</v>
      </c>
      <c r="H215" s="11">
        <v>28</v>
      </c>
      <c r="I215" s="11">
        <v>40</v>
      </c>
      <c r="J215" s="11">
        <v>44</v>
      </c>
      <c r="K215" s="11">
        <v>48</v>
      </c>
      <c r="L215" s="11">
        <v>76</v>
      </c>
      <c r="M215" s="11">
        <v>84</v>
      </c>
      <c r="N215" s="11"/>
      <c r="O215" s="11" t="s">
        <v>434</v>
      </c>
      <c r="P215" s="9"/>
      <c r="Q215" s="5">
        <f>IFERROR(VLOOKUP($D215,LISTINO!$B:$I,6,FALSE),IFERROR(VLOOKUP($E215,LISTINO!$C:$I,5,FALSE),""))</f>
        <v>0</v>
      </c>
      <c r="R215" s="12">
        <f t="shared" si="3"/>
        <v>0</v>
      </c>
    </row>
    <row r="216" spans="1:18" x14ac:dyDescent="0.3">
      <c r="A216" s="4" t="s">
        <v>436</v>
      </c>
      <c r="B216" s="4"/>
      <c r="C216" s="11">
        <v>3</v>
      </c>
      <c r="D216" s="4" t="s">
        <v>327</v>
      </c>
      <c r="E216" s="4" t="s">
        <v>328</v>
      </c>
      <c r="F216" s="4" t="s">
        <v>433</v>
      </c>
      <c r="G216" s="11">
        <v>2</v>
      </c>
      <c r="H216" s="11">
        <v>56</v>
      </c>
      <c r="I216" s="11">
        <v>40</v>
      </c>
      <c r="J216" s="11">
        <v>44</v>
      </c>
      <c r="K216" s="11">
        <v>48</v>
      </c>
      <c r="L216" s="11">
        <v>76</v>
      </c>
      <c r="M216" s="11">
        <v>84</v>
      </c>
      <c r="N216" s="11"/>
      <c r="O216" s="11" t="s">
        <v>434</v>
      </c>
      <c r="P216" s="9"/>
      <c r="Q216" s="5">
        <f>IFERROR(VLOOKUP($D216,LISTINO!$B:$I,6,FALSE),IFERROR(VLOOKUP($E216,LISTINO!$C:$I,5,FALSE),""))</f>
        <v>0</v>
      </c>
      <c r="R216" s="12">
        <f t="shared" si="3"/>
        <v>0</v>
      </c>
    </row>
    <row r="217" spans="1:18" x14ac:dyDescent="0.3">
      <c r="A217" s="4" t="s">
        <v>436</v>
      </c>
      <c r="B217" s="4"/>
      <c r="C217" s="11">
        <v>4</v>
      </c>
      <c r="D217" s="4" t="s">
        <v>397</v>
      </c>
      <c r="E217" s="4" t="s">
        <v>484</v>
      </c>
      <c r="F217" s="4" t="s">
        <v>449</v>
      </c>
      <c r="G217" s="11">
        <v>4</v>
      </c>
      <c r="H217" s="11">
        <v>56</v>
      </c>
      <c r="I217" s="11">
        <v>80</v>
      </c>
      <c r="J217" s="11">
        <v>88</v>
      </c>
      <c r="K217" s="11">
        <v>96</v>
      </c>
      <c r="L217" s="11">
        <v>152</v>
      </c>
      <c r="M217" s="11">
        <v>168</v>
      </c>
      <c r="N217" s="11"/>
      <c r="O217" s="11" t="s">
        <v>434</v>
      </c>
      <c r="P217" s="9"/>
      <c r="Q217" s="5" t="str">
        <f>IFERROR(VLOOKUP($D217,LISTINO!$B:$I,6,FALSE),IFERROR(VLOOKUP($E217,LISTINO!$C:$I,5,FALSE),""))</f>
        <v/>
      </c>
      <c r="R217" s="12" t="str">
        <f t="shared" si="3"/>
        <v/>
      </c>
    </row>
    <row r="218" spans="1:18" x14ac:dyDescent="0.3">
      <c r="A218" s="4" t="s">
        <v>436</v>
      </c>
      <c r="B218" s="4"/>
      <c r="C218" s="11">
        <v>5</v>
      </c>
      <c r="D218" s="4" t="s">
        <v>387</v>
      </c>
      <c r="E218" s="4" t="s">
        <v>388</v>
      </c>
      <c r="F218" s="4" t="s">
        <v>449</v>
      </c>
      <c r="G218" s="11">
        <v>4</v>
      </c>
      <c r="H218" s="11">
        <v>56</v>
      </c>
      <c r="I218" s="11">
        <v>80</v>
      </c>
      <c r="J218" s="11">
        <v>88</v>
      </c>
      <c r="K218" s="11">
        <v>96</v>
      </c>
      <c r="L218" s="11">
        <v>152</v>
      </c>
      <c r="M218" s="11">
        <v>168</v>
      </c>
      <c r="N218" s="11"/>
      <c r="O218" s="11" t="s">
        <v>434</v>
      </c>
      <c r="P218" s="9"/>
      <c r="Q218" s="5" t="str">
        <f>IFERROR(VLOOKUP($D218,LISTINO!$B:$I,6,FALSE),IFERROR(VLOOKUP($E218,LISTINO!$C:$I,5,FALSE),""))</f>
        <v/>
      </c>
      <c r="R218" s="12" t="str">
        <f t="shared" si="3"/>
        <v/>
      </c>
    </row>
    <row r="219" spans="1:18" x14ac:dyDescent="0.3">
      <c r="A219" s="4" t="s">
        <v>436</v>
      </c>
      <c r="B219" s="4"/>
      <c r="C219" s="11">
        <v>6</v>
      </c>
      <c r="D219" s="4" t="s">
        <v>348</v>
      </c>
      <c r="E219" s="4" t="s">
        <v>349</v>
      </c>
      <c r="F219" s="4" t="s">
        <v>449</v>
      </c>
      <c r="G219" s="11">
        <v>4</v>
      </c>
      <c r="H219" s="11">
        <v>56</v>
      </c>
      <c r="I219" s="11">
        <v>80</v>
      </c>
      <c r="J219" s="11">
        <v>88</v>
      </c>
      <c r="K219" s="11">
        <v>96</v>
      </c>
      <c r="L219" s="11">
        <v>152</v>
      </c>
      <c r="M219" s="11">
        <v>168</v>
      </c>
      <c r="N219" s="11"/>
      <c r="O219" s="11" t="s">
        <v>434</v>
      </c>
      <c r="P219" s="9"/>
      <c r="Q219" s="5" t="str">
        <f>IFERROR(VLOOKUP($D219,LISTINO!$B:$I,6,FALSE),IFERROR(VLOOKUP($E219,LISTINO!$C:$I,5,FALSE),""))</f>
        <v/>
      </c>
      <c r="R219" s="12" t="str">
        <f t="shared" si="3"/>
        <v/>
      </c>
    </row>
    <row r="220" spans="1:18" x14ac:dyDescent="0.3">
      <c r="A220" s="4" t="s">
        <v>436</v>
      </c>
      <c r="B220" s="4"/>
      <c r="C220" s="11">
        <v>7</v>
      </c>
      <c r="D220" s="4" t="s">
        <v>389</v>
      </c>
      <c r="E220" s="4" t="s">
        <v>485</v>
      </c>
      <c r="F220" s="4" t="s">
        <v>449</v>
      </c>
      <c r="G220" s="11">
        <v>4</v>
      </c>
      <c r="H220" s="11">
        <v>56</v>
      </c>
      <c r="I220" s="11">
        <v>80</v>
      </c>
      <c r="J220" s="11">
        <v>88</v>
      </c>
      <c r="K220" s="11">
        <v>96</v>
      </c>
      <c r="L220" s="11">
        <v>152</v>
      </c>
      <c r="M220" s="11">
        <v>168</v>
      </c>
      <c r="N220" s="11"/>
      <c r="O220" s="11" t="s">
        <v>434</v>
      </c>
      <c r="P220" s="9"/>
      <c r="Q220" s="5" t="str">
        <f>IFERROR(VLOOKUP($D220,LISTINO!$B:$I,6,FALSE),IFERROR(VLOOKUP($E220,LISTINO!$C:$I,5,FALSE),""))</f>
        <v/>
      </c>
      <c r="R220" s="12" t="str">
        <f t="shared" si="3"/>
        <v/>
      </c>
    </row>
    <row r="221" spans="1:18" x14ac:dyDescent="0.3">
      <c r="A221" s="4" t="s">
        <v>436</v>
      </c>
      <c r="B221" s="4"/>
      <c r="C221" s="11">
        <v>8</v>
      </c>
      <c r="D221" s="4" t="s">
        <v>387</v>
      </c>
      <c r="E221" s="4" t="s">
        <v>388</v>
      </c>
      <c r="F221" s="4" t="s">
        <v>449</v>
      </c>
      <c r="G221" s="11">
        <v>4</v>
      </c>
      <c r="H221" s="11">
        <v>56</v>
      </c>
      <c r="I221" s="11">
        <v>80</v>
      </c>
      <c r="J221" s="11">
        <v>88</v>
      </c>
      <c r="K221" s="11">
        <v>96</v>
      </c>
      <c r="L221" s="11">
        <v>152</v>
      </c>
      <c r="M221" s="11">
        <v>168</v>
      </c>
      <c r="N221" s="11"/>
      <c r="O221" s="11" t="s">
        <v>434</v>
      </c>
      <c r="P221" s="9"/>
      <c r="Q221" s="5" t="str">
        <f>IFERROR(VLOOKUP($D221,LISTINO!$B:$I,6,FALSE),IFERROR(VLOOKUP($E221,LISTINO!$C:$I,5,FALSE),""))</f>
        <v/>
      </c>
      <c r="R221" s="12" t="str">
        <f t="shared" si="3"/>
        <v/>
      </c>
    </row>
    <row r="222" spans="1:18" x14ac:dyDescent="0.3">
      <c r="A222" s="4" t="s">
        <v>436</v>
      </c>
      <c r="B222" s="4"/>
      <c r="C222" s="11">
        <v>9</v>
      </c>
      <c r="D222" s="4" t="s">
        <v>362</v>
      </c>
      <c r="E222" s="4" t="s">
        <v>363</v>
      </c>
      <c r="F222" s="4" t="s">
        <v>449</v>
      </c>
      <c r="G222" s="11">
        <v>2</v>
      </c>
      <c r="H222" s="11">
        <v>28</v>
      </c>
      <c r="I222" s="11">
        <v>40</v>
      </c>
      <c r="J222" s="11">
        <v>44</v>
      </c>
      <c r="K222" s="11">
        <v>48</v>
      </c>
      <c r="L222" s="11">
        <v>76</v>
      </c>
      <c r="M222" s="11">
        <v>336</v>
      </c>
      <c r="N222" s="11"/>
      <c r="O222" s="11" t="s">
        <v>434</v>
      </c>
      <c r="P222" s="9"/>
      <c r="Q222" s="5" t="str">
        <f>IFERROR(VLOOKUP($D222,LISTINO!$B:$I,6,FALSE),IFERROR(VLOOKUP($E222,LISTINO!$C:$I,5,FALSE),""))</f>
        <v/>
      </c>
      <c r="R222" s="12" t="str">
        <f t="shared" si="3"/>
        <v/>
      </c>
    </row>
    <row r="223" spans="1:18" x14ac:dyDescent="0.3">
      <c r="A223" s="4" t="s">
        <v>436</v>
      </c>
      <c r="B223" s="4"/>
      <c r="C223" s="11">
        <v>10</v>
      </c>
      <c r="D223" s="4" t="s">
        <v>329</v>
      </c>
      <c r="E223" s="4" t="s">
        <v>330</v>
      </c>
      <c r="F223" s="4" t="s">
        <v>433</v>
      </c>
      <c r="G223" s="11">
        <v>1</v>
      </c>
      <c r="H223" s="11">
        <v>14</v>
      </c>
      <c r="I223" s="11">
        <v>20</v>
      </c>
      <c r="J223" s="11">
        <v>22</v>
      </c>
      <c r="K223" s="11">
        <v>24</v>
      </c>
      <c r="L223" s="11">
        <v>38</v>
      </c>
      <c r="M223" s="11">
        <v>42</v>
      </c>
      <c r="N223" s="11"/>
      <c r="O223" s="11" t="s">
        <v>434</v>
      </c>
      <c r="P223" s="9"/>
      <c r="Q223" s="5">
        <f>IFERROR(VLOOKUP($D223,LISTINO!$B:$I,6,FALSE),IFERROR(VLOOKUP($E223,LISTINO!$C:$I,5,FALSE),""))</f>
        <v>0</v>
      </c>
      <c r="R223" s="12">
        <f t="shared" si="3"/>
        <v>0</v>
      </c>
    </row>
    <row r="224" spans="1:18" x14ac:dyDescent="0.3">
      <c r="A224" s="4" t="s">
        <v>436</v>
      </c>
      <c r="B224" s="4"/>
      <c r="C224" s="11">
        <v>11</v>
      </c>
      <c r="D224" s="4" t="s">
        <v>395</v>
      </c>
      <c r="E224" s="4" t="s">
        <v>396</v>
      </c>
      <c r="F224" s="4" t="s">
        <v>449</v>
      </c>
      <c r="G224" s="11">
        <v>2</v>
      </c>
      <c r="H224" s="11">
        <v>28</v>
      </c>
      <c r="I224" s="11">
        <v>40</v>
      </c>
      <c r="J224" s="11">
        <v>44</v>
      </c>
      <c r="K224" s="11">
        <v>48</v>
      </c>
      <c r="L224" s="11">
        <v>76</v>
      </c>
      <c r="M224" s="11">
        <v>84</v>
      </c>
      <c r="N224" s="11"/>
      <c r="O224" s="11" t="s">
        <v>434</v>
      </c>
      <c r="P224" s="9"/>
      <c r="Q224" s="5" t="str">
        <f>IFERROR(VLOOKUP($D224,LISTINO!$B:$I,6,FALSE),IFERROR(VLOOKUP($E224,LISTINO!$C:$I,5,FALSE),""))</f>
        <v/>
      </c>
      <c r="R224" s="12" t="str">
        <f t="shared" si="3"/>
        <v/>
      </c>
    </row>
    <row r="225" spans="1:18" x14ac:dyDescent="0.3">
      <c r="A225" s="4" t="s">
        <v>436</v>
      </c>
      <c r="B225" s="4"/>
      <c r="C225" s="11">
        <v>12</v>
      </c>
      <c r="D225" s="4" t="s">
        <v>385</v>
      </c>
      <c r="E225" s="4" t="s">
        <v>386</v>
      </c>
      <c r="F225" s="4" t="s">
        <v>449</v>
      </c>
      <c r="G225" s="11">
        <v>2</v>
      </c>
      <c r="H225" s="11">
        <v>28</v>
      </c>
      <c r="I225" s="11">
        <v>40</v>
      </c>
      <c r="J225" s="11">
        <v>44</v>
      </c>
      <c r="K225" s="11">
        <v>48</v>
      </c>
      <c r="L225" s="11">
        <v>76</v>
      </c>
      <c r="M225" s="11">
        <v>84</v>
      </c>
      <c r="N225" s="11"/>
      <c r="O225" s="11" t="s">
        <v>434</v>
      </c>
      <c r="P225" s="9"/>
      <c r="Q225" s="5" t="str">
        <f>IFERROR(VLOOKUP($D225,LISTINO!$B:$I,6,FALSE),IFERROR(VLOOKUP($E225,LISTINO!$C:$I,5,FALSE),""))</f>
        <v/>
      </c>
      <c r="R225" s="12" t="str">
        <f t="shared" si="3"/>
        <v/>
      </c>
    </row>
    <row r="226" spans="1:18" x14ac:dyDescent="0.3">
      <c r="A226" s="4" t="s">
        <v>436</v>
      </c>
      <c r="B226" s="4"/>
      <c r="C226" s="11">
        <v>13</v>
      </c>
      <c r="D226" s="4" t="s">
        <v>331</v>
      </c>
      <c r="E226" s="4" t="s">
        <v>332</v>
      </c>
      <c r="F226" s="4" t="s">
        <v>433</v>
      </c>
      <c r="G226" s="11">
        <v>1</v>
      </c>
      <c r="H226" s="11">
        <v>14</v>
      </c>
      <c r="I226" s="11">
        <v>40</v>
      </c>
      <c r="J226" s="11">
        <v>22</v>
      </c>
      <c r="K226" s="11">
        <v>48</v>
      </c>
      <c r="L226" s="11">
        <v>38</v>
      </c>
      <c r="M226" s="11">
        <v>42</v>
      </c>
      <c r="N226" s="11"/>
      <c r="O226" s="11" t="s">
        <v>434</v>
      </c>
      <c r="P226" s="9"/>
      <c r="Q226" s="5">
        <f>IFERROR(VLOOKUP($D226,LISTINO!$B:$I,6,FALSE),IFERROR(VLOOKUP($E226,LISTINO!$C:$I,5,FALSE),""))</f>
        <v>0</v>
      </c>
      <c r="R226" s="12">
        <f t="shared" si="3"/>
        <v>0</v>
      </c>
    </row>
    <row r="227" spans="1:18" x14ac:dyDescent="0.3">
      <c r="A227" s="4" t="s">
        <v>436</v>
      </c>
      <c r="B227" s="4"/>
      <c r="C227" s="11">
        <v>13</v>
      </c>
      <c r="D227" s="4" t="s">
        <v>333</v>
      </c>
      <c r="E227" s="4" t="s">
        <v>334</v>
      </c>
      <c r="F227" s="4" t="s">
        <v>433</v>
      </c>
      <c r="G227" s="11">
        <v>0</v>
      </c>
      <c r="H227" s="11"/>
      <c r="I227" s="11"/>
      <c r="J227" s="11"/>
      <c r="K227" s="11"/>
      <c r="L227" s="11"/>
      <c r="M227" s="11"/>
      <c r="N227" s="11"/>
      <c r="O227" s="11" t="s">
        <v>434</v>
      </c>
      <c r="P227" s="9"/>
      <c r="Q227" s="5">
        <f>IFERROR(VLOOKUP($D227,LISTINO!$B:$I,6,FALSE),IFERROR(VLOOKUP($E227,LISTINO!$C:$I,5,FALSE),""))</f>
        <v>0</v>
      </c>
      <c r="R227" s="12">
        <f t="shared" si="3"/>
        <v>0</v>
      </c>
    </row>
    <row r="228" spans="1:18" x14ac:dyDescent="0.3">
      <c r="A228" s="4" t="s">
        <v>436</v>
      </c>
      <c r="B228" s="4"/>
      <c r="C228" s="11">
        <v>14</v>
      </c>
      <c r="D228" s="4" t="s">
        <v>397</v>
      </c>
      <c r="E228" s="4" t="s">
        <v>484</v>
      </c>
      <c r="F228" s="4" t="s">
        <v>449</v>
      </c>
      <c r="G228" s="11">
        <v>4</v>
      </c>
      <c r="H228" s="11">
        <v>56</v>
      </c>
      <c r="I228" s="11">
        <v>80</v>
      </c>
      <c r="J228" s="11">
        <v>88</v>
      </c>
      <c r="K228" s="11">
        <v>96</v>
      </c>
      <c r="L228" s="11">
        <v>152</v>
      </c>
      <c r="M228" s="11">
        <v>168</v>
      </c>
      <c r="N228" s="11"/>
      <c r="O228" s="11" t="s">
        <v>434</v>
      </c>
      <c r="P228" s="9"/>
      <c r="Q228" s="5" t="str">
        <f>IFERROR(VLOOKUP($D228,LISTINO!$B:$I,6,FALSE),IFERROR(VLOOKUP($E228,LISTINO!$C:$I,5,FALSE),""))</f>
        <v/>
      </c>
      <c r="R228" s="12" t="str">
        <f t="shared" si="3"/>
        <v/>
      </c>
    </row>
    <row r="229" spans="1:18" x14ac:dyDescent="0.3">
      <c r="A229" s="4" t="s">
        <v>436</v>
      </c>
      <c r="B229" s="4"/>
      <c r="C229" s="11">
        <v>15</v>
      </c>
      <c r="D229" s="4" t="s">
        <v>389</v>
      </c>
      <c r="E229" s="4" t="s">
        <v>485</v>
      </c>
      <c r="F229" s="4" t="s">
        <v>449</v>
      </c>
      <c r="G229" s="11">
        <v>4</v>
      </c>
      <c r="H229" s="11">
        <v>56</v>
      </c>
      <c r="I229" s="11">
        <v>80</v>
      </c>
      <c r="J229" s="11">
        <v>88</v>
      </c>
      <c r="K229" s="11">
        <v>96</v>
      </c>
      <c r="L229" s="11">
        <v>152</v>
      </c>
      <c r="M229" s="11">
        <v>168</v>
      </c>
      <c r="N229" s="11"/>
      <c r="O229" s="11" t="s">
        <v>434</v>
      </c>
      <c r="P229" s="9"/>
      <c r="Q229" s="5" t="str">
        <f>IFERROR(VLOOKUP($D229,LISTINO!$B:$I,6,FALSE),IFERROR(VLOOKUP($E229,LISTINO!$C:$I,5,FALSE),""))</f>
        <v/>
      </c>
      <c r="R229" s="12" t="str">
        <f t="shared" si="3"/>
        <v/>
      </c>
    </row>
    <row r="230" spans="1:18" x14ac:dyDescent="0.3">
      <c r="A230" s="4" t="s">
        <v>436</v>
      </c>
      <c r="B230" s="4"/>
      <c r="C230" s="11">
        <v>16</v>
      </c>
      <c r="D230" s="4" t="s">
        <v>395</v>
      </c>
      <c r="E230" s="4" t="s">
        <v>396</v>
      </c>
      <c r="F230" s="4" t="s">
        <v>449</v>
      </c>
      <c r="G230" s="11">
        <v>2</v>
      </c>
      <c r="H230" s="11">
        <v>28</v>
      </c>
      <c r="I230" s="11">
        <v>40</v>
      </c>
      <c r="J230" s="11">
        <v>44</v>
      </c>
      <c r="K230" s="11">
        <v>48</v>
      </c>
      <c r="L230" s="11">
        <v>76</v>
      </c>
      <c r="M230" s="11">
        <v>84</v>
      </c>
      <c r="N230" s="11"/>
      <c r="O230" s="11" t="s">
        <v>434</v>
      </c>
      <c r="P230" s="9"/>
      <c r="Q230" s="5" t="str">
        <f>IFERROR(VLOOKUP($D230,LISTINO!$B:$I,6,FALSE),IFERROR(VLOOKUP($E230,LISTINO!$C:$I,5,FALSE),""))</f>
        <v/>
      </c>
      <c r="R230" s="12" t="str">
        <f t="shared" si="3"/>
        <v/>
      </c>
    </row>
    <row r="231" spans="1:18" x14ac:dyDescent="0.3">
      <c r="A231" t="s">
        <v>436</v>
      </c>
      <c r="C231" s="13">
        <v>1</v>
      </c>
      <c r="E231" t="s">
        <v>465</v>
      </c>
      <c r="F231" t="s">
        <v>464</v>
      </c>
      <c r="G231" s="13">
        <v>1</v>
      </c>
      <c r="H231" s="13">
        <v>12</v>
      </c>
      <c r="I231" s="13">
        <v>18</v>
      </c>
      <c r="J231" s="13">
        <v>20</v>
      </c>
      <c r="K231" s="13">
        <v>22</v>
      </c>
      <c r="L231" s="13">
        <v>36</v>
      </c>
      <c r="M231" s="13">
        <v>40</v>
      </c>
      <c r="N231" s="13"/>
      <c r="O231" s="13" t="s">
        <v>434</v>
      </c>
      <c r="P231" s="14"/>
      <c r="Q231" s="12">
        <f>IFERROR(VLOOKUP($D231,LISTINO!$B:$I,6,FALSE),IFERROR(VLOOKUP($E231,LISTINO!$C:$I,5,FALSE),""))</f>
        <v>0</v>
      </c>
      <c r="R231" s="12">
        <f t="shared" si="3"/>
        <v>0</v>
      </c>
    </row>
    <row r="232" spans="1:18" x14ac:dyDescent="0.3">
      <c r="A232" t="s">
        <v>436</v>
      </c>
      <c r="C232" s="13">
        <v>3</v>
      </c>
      <c r="D232" t="s">
        <v>397</v>
      </c>
      <c r="E232" s="6" t="s">
        <v>398</v>
      </c>
      <c r="F232" t="s">
        <v>449</v>
      </c>
      <c r="G232" s="13">
        <v>4</v>
      </c>
      <c r="H232" s="13">
        <v>12</v>
      </c>
      <c r="I232" s="13">
        <v>72</v>
      </c>
      <c r="J232" s="13">
        <v>80</v>
      </c>
      <c r="K232" s="13">
        <v>88</v>
      </c>
      <c r="L232" s="13">
        <v>144</v>
      </c>
      <c r="M232" s="13">
        <v>160</v>
      </c>
      <c r="N232" s="13"/>
      <c r="O232" s="13" t="s">
        <v>434</v>
      </c>
      <c r="P232" s="14"/>
      <c r="Q232" s="7" t="str">
        <f>IFERROR(VLOOKUP($D232,LISTINO!$B:$I,6,FALSE),IFERROR(VLOOKUP($E232,LISTINO!$C:$I,5,FALSE),""))</f>
        <v/>
      </c>
      <c r="R232" s="12" t="str">
        <f t="shared" si="3"/>
        <v/>
      </c>
    </row>
    <row r="233" spans="1:18" x14ac:dyDescent="0.3">
      <c r="A233" t="s">
        <v>436</v>
      </c>
      <c r="C233" s="13">
        <v>4</v>
      </c>
      <c r="D233" t="s">
        <v>373</v>
      </c>
      <c r="E233" t="s">
        <v>490</v>
      </c>
      <c r="F233" t="s">
        <v>449</v>
      </c>
      <c r="G233" s="13">
        <v>4</v>
      </c>
      <c r="H233" s="13">
        <v>48</v>
      </c>
      <c r="I233" s="13">
        <v>72</v>
      </c>
      <c r="J233" s="13">
        <v>80</v>
      </c>
      <c r="K233" s="13">
        <v>88</v>
      </c>
      <c r="L233" s="13">
        <v>144</v>
      </c>
      <c r="M233" s="13">
        <v>160</v>
      </c>
      <c r="N233" s="13"/>
      <c r="O233" s="13" t="s">
        <v>434</v>
      </c>
      <c r="P233" s="14"/>
      <c r="Q233" s="12" t="str">
        <f>IFERROR(VLOOKUP($D233,LISTINO!$B:$I,6,FALSE),IFERROR(VLOOKUP($E233,LISTINO!$C:$I,5,FALSE),""))</f>
        <v/>
      </c>
      <c r="R233" s="12" t="str">
        <f t="shared" si="3"/>
        <v/>
      </c>
    </row>
    <row r="234" spans="1:18" x14ac:dyDescent="0.3">
      <c r="A234" t="s">
        <v>436</v>
      </c>
      <c r="C234" s="13">
        <v>5</v>
      </c>
      <c r="D234" t="s">
        <v>397</v>
      </c>
      <c r="E234" t="s">
        <v>398</v>
      </c>
      <c r="F234" t="s">
        <v>449</v>
      </c>
      <c r="G234" s="13">
        <v>4</v>
      </c>
      <c r="H234" s="13">
        <v>48</v>
      </c>
      <c r="I234" s="13">
        <v>72</v>
      </c>
      <c r="J234" s="13">
        <v>80</v>
      </c>
      <c r="K234" s="13">
        <v>88</v>
      </c>
      <c r="L234" s="13">
        <v>144</v>
      </c>
      <c r="M234" s="13">
        <v>160</v>
      </c>
      <c r="N234" s="13"/>
      <c r="O234" s="13" t="s">
        <v>434</v>
      </c>
      <c r="P234" s="14"/>
      <c r="Q234" s="12" t="str">
        <f>IFERROR(VLOOKUP($D234,LISTINO!$B:$I,6,FALSE),IFERROR(VLOOKUP($E234,LISTINO!$C:$I,5,FALSE),""))</f>
        <v/>
      </c>
      <c r="R234" s="12" t="str">
        <f t="shared" si="3"/>
        <v/>
      </c>
    </row>
    <row r="235" spans="1:18" x14ac:dyDescent="0.3">
      <c r="A235" t="s">
        <v>436</v>
      </c>
      <c r="C235" s="13">
        <v>6</v>
      </c>
      <c r="D235" t="s">
        <v>377</v>
      </c>
      <c r="E235" t="s">
        <v>378</v>
      </c>
      <c r="F235" t="s">
        <v>449</v>
      </c>
      <c r="G235" s="13">
        <v>4</v>
      </c>
      <c r="H235" s="13">
        <v>48</v>
      </c>
      <c r="I235" s="13">
        <v>72</v>
      </c>
      <c r="J235" s="13">
        <v>80</v>
      </c>
      <c r="K235" s="13">
        <v>88</v>
      </c>
      <c r="L235" s="13">
        <v>144</v>
      </c>
      <c r="M235" s="13">
        <v>160</v>
      </c>
      <c r="N235" s="13"/>
      <c r="O235" s="13" t="s">
        <v>434</v>
      </c>
      <c r="P235" s="14"/>
      <c r="Q235" s="12" t="str">
        <f>IFERROR(VLOOKUP($D235,LISTINO!$B:$I,6,FALSE),IFERROR(VLOOKUP($E235,LISTINO!$C:$I,5,FALSE),""))</f>
        <v/>
      </c>
      <c r="R235" s="12" t="str">
        <f t="shared" si="3"/>
        <v/>
      </c>
    </row>
    <row r="236" spans="1:18" x14ac:dyDescent="0.3">
      <c r="A236" t="s">
        <v>436</v>
      </c>
      <c r="C236" s="13">
        <v>1</v>
      </c>
      <c r="E236" t="s">
        <v>463</v>
      </c>
      <c r="F236" t="s">
        <v>464</v>
      </c>
      <c r="G236" s="13">
        <v>1</v>
      </c>
      <c r="H236" s="13"/>
      <c r="I236" s="13"/>
      <c r="J236" s="13"/>
      <c r="K236" s="13"/>
      <c r="L236" s="13"/>
      <c r="M236" s="13"/>
      <c r="N236" s="13"/>
      <c r="O236" s="13" t="s">
        <v>434</v>
      </c>
      <c r="P236" s="14"/>
      <c r="Q236" s="12">
        <f>IFERROR(VLOOKUP($D236,LISTINO!$B:$I,6,FALSE),IFERROR(VLOOKUP($E236,LISTINO!$C:$I,5,FALSE),""))</f>
        <v>0</v>
      </c>
      <c r="R236" s="12">
        <f t="shared" si="3"/>
        <v>0</v>
      </c>
    </row>
    <row r="237" spans="1:18" x14ac:dyDescent="0.3">
      <c r="A237" t="s">
        <v>436</v>
      </c>
      <c r="C237" s="13">
        <v>3</v>
      </c>
      <c r="D237" t="s">
        <v>397</v>
      </c>
      <c r="E237" t="s">
        <v>398</v>
      </c>
      <c r="F237" t="s">
        <v>449</v>
      </c>
      <c r="G237" s="13">
        <v>4</v>
      </c>
      <c r="H237" s="13"/>
      <c r="I237" s="13"/>
      <c r="J237" s="13"/>
      <c r="K237" s="13"/>
      <c r="L237" s="13"/>
      <c r="M237" s="13"/>
      <c r="N237" s="13"/>
      <c r="O237" s="13" t="s">
        <v>434</v>
      </c>
      <c r="P237" s="14"/>
      <c r="Q237" s="12" t="str">
        <f>IFERROR(VLOOKUP($D237,LISTINO!$B:$I,6,FALSE),IFERROR(VLOOKUP($E237,LISTINO!$C:$I,5,FALSE),""))</f>
        <v/>
      </c>
      <c r="R237" s="12" t="str">
        <f t="shared" si="3"/>
        <v/>
      </c>
    </row>
    <row r="238" spans="1:18" x14ac:dyDescent="0.3">
      <c r="A238" t="s">
        <v>436</v>
      </c>
      <c r="C238" s="13">
        <v>4</v>
      </c>
      <c r="D238" t="s">
        <v>373</v>
      </c>
      <c r="E238" t="s">
        <v>490</v>
      </c>
      <c r="F238" t="s">
        <v>449</v>
      </c>
      <c r="G238" s="13">
        <v>4</v>
      </c>
      <c r="H238" s="13"/>
      <c r="I238" s="13"/>
      <c r="J238" s="13"/>
      <c r="K238" s="13"/>
      <c r="L238" s="13"/>
      <c r="M238" s="13"/>
      <c r="N238" s="13"/>
      <c r="O238" s="13" t="s">
        <v>434</v>
      </c>
      <c r="P238" s="14"/>
      <c r="Q238" s="12" t="str">
        <f>IFERROR(VLOOKUP($D238,LISTINO!$B:$I,6,FALSE),IFERROR(VLOOKUP($E238,LISTINO!$C:$I,5,FALSE),""))</f>
        <v/>
      </c>
      <c r="R238" s="12" t="str">
        <f t="shared" si="3"/>
        <v/>
      </c>
    </row>
    <row r="239" spans="1:18" x14ac:dyDescent="0.3">
      <c r="A239" t="s">
        <v>436</v>
      </c>
      <c r="C239" s="13">
        <v>5</v>
      </c>
      <c r="D239" t="s">
        <v>397</v>
      </c>
      <c r="E239" t="s">
        <v>398</v>
      </c>
      <c r="F239" t="s">
        <v>449</v>
      </c>
      <c r="G239" s="13">
        <v>4</v>
      </c>
      <c r="H239" s="13"/>
      <c r="I239" s="13"/>
      <c r="J239" s="13"/>
      <c r="K239" s="13"/>
      <c r="L239" s="13"/>
      <c r="M239" s="13"/>
      <c r="N239" s="13"/>
      <c r="O239" s="13" t="s">
        <v>434</v>
      </c>
      <c r="P239" s="14"/>
      <c r="Q239" s="12" t="str">
        <f>IFERROR(VLOOKUP($D239,LISTINO!$B:$I,6,FALSE),IFERROR(VLOOKUP($E239,LISTINO!$C:$I,5,FALSE),""))</f>
        <v/>
      </c>
      <c r="R239" s="12" t="str">
        <f t="shared" si="3"/>
        <v/>
      </c>
    </row>
    <row r="240" spans="1:18" x14ac:dyDescent="0.3">
      <c r="A240" t="s">
        <v>436</v>
      </c>
      <c r="C240" s="13">
        <v>6</v>
      </c>
      <c r="D240" t="s">
        <v>377</v>
      </c>
      <c r="E240" t="s">
        <v>378</v>
      </c>
      <c r="F240" t="s">
        <v>449</v>
      </c>
      <c r="G240" s="13">
        <v>4</v>
      </c>
      <c r="H240" s="13"/>
      <c r="I240" s="13"/>
      <c r="J240" s="13"/>
      <c r="K240" s="13"/>
      <c r="L240" s="13"/>
      <c r="M240" s="13"/>
      <c r="N240" s="13"/>
      <c r="O240" s="13" t="s">
        <v>434</v>
      </c>
      <c r="P240" s="14"/>
      <c r="Q240" s="12" t="str">
        <f>IFERROR(VLOOKUP($D240,LISTINO!$B:$I,6,FALSE),IFERROR(VLOOKUP($E240,LISTINO!$C:$I,5,FALSE),""))</f>
        <v/>
      </c>
      <c r="R240" s="12" t="str">
        <f t="shared" si="3"/>
        <v/>
      </c>
    </row>
    <row r="241" spans="1:18" x14ac:dyDescent="0.3">
      <c r="A241" t="s">
        <v>438</v>
      </c>
      <c r="B241" t="s">
        <v>491</v>
      </c>
      <c r="C241" s="13">
        <v>1</v>
      </c>
      <c r="D241" t="s">
        <v>360</v>
      </c>
      <c r="E241" t="s">
        <v>361</v>
      </c>
      <c r="F241" t="s">
        <v>449</v>
      </c>
      <c r="G241" s="13">
        <v>4</v>
      </c>
      <c r="H241" s="13"/>
      <c r="I241" s="13"/>
      <c r="J241" s="13"/>
      <c r="K241" s="13"/>
      <c r="L241" s="13"/>
      <c r="M241" s="13"/>
      <c r="N241" s="13"/>
      <c r="O241" s="13" t="s">
        <v>434</v>
      </c>
      <c r="P241" s="14"/>
      <c r="Q241" s="12" t="str">
        <f>IFERROR(VLOOKUP($D241,LISTINO!$B:$I,6,FALSE),IFERROR(VLOOKUP($E241,LISTINO!$C:$I,5,FALSE),""))</f>
        <v/>
      </c>
      <c r="R241" s="12" t="str">
        <f t="shared" si="3"/>
        <v/>
      </c>
    </row>
    <row r="242" spans="1:18" x14ac:dyDescent="0.3">
      <c r="A242" t="s">
        <v>438</v>
      </c>
      <c r="B242" t="s">
        <v>491</v>
      </c>
      <c r="C242" s="13">
        <v>2</v>
      </c>
      <c r="D242" t="s">
        <v>413</v>
      </c>
      <c r="E242" t="s">
        <v>414</v>
      </c>
      <c r="F242" t="s">
        <v>462</v>
      </c>
      <c r="G242" s="13">
        <v>1</v>
      </c>
      <c r="H242" s="13"/>
      <c r="I242" s="13"/>
      <c r="J242" s="13"/>
      <c r="K242" s="13"/>
      <c r="L242" s="13"/>
      <c r="M242" s="13"/>
      <c r="N242" s="13"/>
      <c r="O242" s="13" t="s">
        <v>434</v>
      </c>
      <c r="P242" s="14"/>
      <c r="Q242" s="12" t="str">
        <f>IFERROR(VLOOKUP($D242,LISTINO!$B:$I,6,FALSE),IFERROR(VLOOKUP($E242,LISTINO!$C:$I,5,FALSE),""))</f>
        <v/>
      </c>
      <c r="R242" s="12" t="str">
        <f t="shared" si="3"/>
        <v/>
      </c>
    </row>
    <row r="243" spans="1:18" x14ac:dyDescent="0.3">
      <c r="A243" t="s">
        <v>438</v>
      </c>
      <c r="B243" t="s">
        <v>491</v>
      </c>
      <c r="C243" s="13">
        <v>3</v>
      </c>
      <c r="D243" t="s">
        <v>22</v>
      </c>
      <c r="E243" t="s">
        <v>23</v>
      </c>
      <c r="F243" t="s">
        <v>433</v>
      </c>
      <c r="G243" s="13">
        <v>1</v>
      </c>
      <c r="H243" s="13"/>
      <c r="I243" s="13"/>
      <c r="J243" s="13"/>
      <c r="K243" s="13"/>
      <c r="L243" s="13"/>
      <c r="M243" s="13"/>
      <c r="N243" s="13"/>
      <c r="O243" s="13" t="s">
        <v>434</v>
      </c>
      <c r="P243" s="14"/>
      <c r="Q243" s="12">
        <f>IFERROR(VLOOKUP($D243,LISTINO!$B:$I,6,FALSE),IFERROR(VLOOKUP($E243,LISTINO!$C:$I,5,FALSE),""))</f>
        <v>0</v>
      </c>
      <c r="R243" s="12">
        <f t="shared" si="3"/>
        <v>0</v>
      </c>
    </row>
    <row r="244" spans="1:18" x14ac:dyDescent="0.3">
      <c r="A244" t="s">
        <v>438</v>
      </c>
      <c r="B244" t="s">
        <v>491</v>
      </c>
      <c r="C244" s="13">
        <v>4</v>
      </c>
      <c r="D244" t="s">
        <v>393</v>
      </c>
      <c r="E244" t="s">
        <v>492</v>
      </c>
      <c r="F244" t="s">
        <v>449</v>
      </c>
      <c r="G244" s="13">
        <v>2</v>
      </c>
      <c r="H244" s="13"/>
      <c r="I244" s="13"/>
      <c r="J244" s="13"/>
      <c r="K244" s="13"/>
      <c r="L244" s="13"/>
      <c r="M244" s="13"/>
      <c r="N244" s="13"/>
      <c r="O244" s="13" t="s">
        <v>434</v>
      </c>
      <c r="P244" s="14"/>
      <c r="Q244" s="12" t="str">
        <f>IFERROR(VLOOKUP($D244,LISTINO!$B:$I,6,FALSE),IFERROR(VLOOKUP($E244,LISTINO!$C:$I,5,FALSE),""))</f>
        <v/>
      </c>
      <c r="R244" s="12" t="str">
        <f t="shared" si="3"/>
        <v/>
      </c>
    </row>
    <row r="245" spans="1:18" x14ac:dyDescent="0.3">
      <c r="A245" t="s">
        <v>438</v>
      </c>
      <c r="B245" t="s">
        <v>491</v>
      </c>
      <c r="C245" s="13">
        <v>5</v>
      </c>
      <c r="D245" t="s">
        <v>383</v>
      </c>
      <c r="E245" t="s">
        <v>493</v>
      </c>
      <c r="F245" t="s">
        <v>449</v>
      </c>
      <c r="G245" s="13">
        <v>4</v>
      </c>
      <c r="H245" s="13"/>
      <c r="I245" s="13"/>
      <c r="J245" s="13"/>
      <c r="K245" s="13"/>
      <c r="L245" s="13"/>
      <c r="M245" s="13"/>
      <c r="N245" s="13"/>
      <c r="O245" s="13" t="s">
        <v>434</v>
      </c>
      <c r="P245" s="14"/>
      <c r="Q245" s="12" t="str">
        <f>IFERROR(VLOOKUP($D245,LISTINO!$B:$I,6,FALSE),IFERROR(VLOOKUP($E245,LISTINO!$C:$I,5,FALSE),""))</f>
        <v/>
      </c>
      <c r="R245" s="12" t="str">
        <f t="shared" si="3"/>
        <v/>
      </c>
    </row>
    <row r="246" spans="1:18" x14ac:dyDescent="0.3">
      <c r="A246" t="s">
        <v>438</v>
      </c>
      <c r="B246" t="s">
        <v>491</v>
      </c>
      <c r="C246" s="13">
        <v>6</v>
      </c>
      <c r="D246" t="s">
        <v>364</v>
      </c>
      <c r="E246" t="s">
        <v>365</v>
      </c>
      <c r="F246" t="s">
        <v>449</v>
      </c>
      <c r="G246" s="13">
        <v>2</v>
      </c>
      <c r="H246" s="13"/>
      <c r="I246" s="13"/>
      <c r="J246" s="13"/>
      <c r="K246" s="13"/>
      <c r="L246" s="13"/>
      <c r="M246" s="13"/>
      <c r="N246" s="13"/>
      <c r="O246" s="13" t="s">
        <v>434</v>
      </c>
      <c r="P246" s="14"/>
      <c r="Q246" s="12" t="str">
        <f>IFERROR(VLOOKUP($D246,LISTINO!$B:$I,6,FALSE),IFERROR(VLOOKUP($E246,LISTINO!$C:$I,5,FALSE),""))</f>
        <v/>
      </c>
      <c r="R246" s="12" t="str">
        <f t="shared" si="3"/>
        <v/>
      </c>
    </row>
    <row r="247" spans="1:18" x14ac:dyDescent="0.3">
      <c r="A247" t="s">
        <v>438</v>
      </c>
      <c r="B247" t="s">
        <v>491</v>
      </c>
      <c r="C247" s="13">
        <v>7</v>
      </c>
      <c r="D247" t="s">
        <v>395</v>
      </c>
      <c r="E247" t="s">
        <v>396</v>
      </c>
      <c r="F247" t="s">
        <v>449</v>
      </c>
      <c r="G247" s="13">
        <v>2</v>
      </c>
      <c r="H247" s="13"/>
      <c r="I247" s="13"/>
      <c r="J247" s="13"/>
      <c r="K247" s="13"/>
      <c r="L247" s="13"/>
      <c r="M247" s="13"/>
      <c r="N247" s="13"/>
      <c r="O247" s="13" t="s">
        <v>434</v>
      </c>
      <c r="P247" s="14"/>
      <c r="Q247" s="12" t="str">
        <f>IFERROR(VLOOKUP($D247,LISTINO!$B:$I,6,FALSE),IFERROR(VLOOKUP($E247,LISTINO!$C:$I,5,FALSE),""))</f>
        <v/>
      </c>
      <c r="R247" s="12" t="str">
        <f t="shared" si="3"/>
        <v/>
      </c>
    </row>
    <row r="248" spans="1:18" x14ac:dyDescent="0.3">
      <c r="A248" t="s">
        <v>438</v>
      </c>
      <c r="B248" t="s">
        <v>491</v>
      </c>
      <c r="C248" s="13">
        <v>9</v>
      </c>
      <c r="D248" t="s">
        <v>395</v>
      </c>
      <c r="E248" t="s">
        <v>396</v>
      </c>
      <c r="F248" t="s">
        <v>449</v>
      </c>
      <c r="G248" s="13">
        <v>2</v>
      </c>
      <c r="H248" s="13"/>
      <c r="I248" s="13"/>
      <c r="J248" s="13"/>
      <c r="K248" s="13"/>
      <c r="L248" s="13"/>
      <c r="M248" s="13"/>
      <c r="N248" s="13"/>
      <c r="O248" s="13" t="s">
        <v>434</v>
      </c>
      <c r="P248" s="14"/>
      <c r="Q248" s="12" t="str">
        <f>IFERROR(VLOOKUP($D248,LISTINO!$B:$I,6,FALSE),IFERROR(VLOOKUP($E248,LISTINO!$C:$I,5,FALSE),""))</f>
        <v/>
      </c>
      <c r="R248" s="12" t="str">
        <f t="shared" si="3"/>
        <v/>
      </c>
    </row>
    <row r="249" spans="1:18" x14ac:dyDescent="0.3">
      <c r="A249" t="s">
        <v>438</v>
      </c>
      <c r="B249" t="s">
        <v>491</v>
      </c>
      <c r="C249" s="13">
        <v>10</v>
      </c>
      <c r="D249" t="s">
        <v>385</v>
      </c>
      <c r="E249" t="s">
        <v>494</v>
      </c>
      <c r="F249" t="s">
        <v>449</v>
      </c>
      <c r="G249" s="13">
        <v>2</v>
      </c>
      <c r="H249" s="13"/>
      <c r="I249" s="13"/>
      <c r="J249" s="13"/>
      <c r="K249" s="13"/>
      <c r="L249" s="13"/>
      <c r="M249" s="13"/>
      <c r="N249" s="13"/>
      <c r="O249" s="13" t="s">
        <v>434</v>
      </c>
      <c r="P249" s="14"/>
      <c r="Q249" s="12" t="str">
        <f>IFERROR(VLOOKUP($D249,LISTINO!$B:$I,6,FALSE),IFERROR(VLOOKUP($E249,LISTINO!$C:$I,5,FALSE),""))</f>
        <v/>
      </c>
      <c r="R249" s="12" t="str">
        <f t="shared" si="3"/>
        <v/>
      </c>
    </row>
    <row r="250" spans="1:18" x14ac:dyDescent="0.3">
      <c r="A250" t="s">
        <v>438</v>
      </c>
      <c r="B250" t="s">
        <v>491</v>
      </c>
      <c r="C250" s="13">
        <v>1</v>
      </c>
      <c r="D250" t="s">
        <v>354</v>
      </c>
      <c r="E250" t="s">
        <v>355</v>
      </c>
      <c r="F250" t="s">
        <v>449</v>
      </c>
      <c r="G250" s="13">
        <v>2</v>
      </c>
      <c r="H250" s="13"/>
      <c r="I250" s="13"/>
      <c r="J250" s="13"/>
      <c r="K250" s="13"/>
      <c r="L250" s="13"/>
      <c r="M250" s="13"/>
      <c r="N250" s="13"/>
      <c r="O250" s="13" t="s">
        <v>434</v>
      </c>
      <c r="P250" s="14"/>
      <c r="Q250" s="12" t="str">
        <f>IFERROR(VLOOKUP($D250,LISTINO!$B:$I,6,FALSE),IFERROR(VLOOKUP($E250,LISTINO!$C:$I,5,FALSE),""))</f>
        <v/>
      </c>
      <c r="R250" s="12" t="str">
        <f t="shared" si="3"/>
        <v/>
      </c>
    </row>
    <row r="251" spans="1:18" x14ac:dyDescent="0.3">
      <c r="A251" t="s">
        <v>438</v>
      </c>
      <c r="B251" t="s">
        <v>491</v>
      </c>
      <c r="C251" s="13">
        <v>2</v>
      </c>
      <c r="D251" t="s">
        <v>391</v>
      </c>
      <c r="E251" t="s">
        <v>495</v>
      </c>
      <c r="F251" t="s">
        <v>449</v>
      </c>
      <c r="G251" s="13">
        <v>2</v>
      </c>
      <c r="H251" s="13"/>
      <c r="I251" s="13"/>
      <c r="J251" s="13"/>
      <c r="K251" s="13"/>
      <c r="L251" s="13"/>
      <c r="M251" s="13"/>
      <c r="N251" s="13"/>
      <c r="O251" s="13" t="s">
        <v>434</v>
      </c>
      <c r="P251" s="14"/>
      <c r="Q251" s="12" t="str">
        <f>IFERROR(VLOOKUP($D251,LISTINO!$B:$I,6,FALSE),IFERROR(VLOOKUP($E251,LISTINO!$C:$I,5,FALSE),""))</f>
        <v/>
      </c>
      <c r="R251" s="12" t="str">
        <f t="shared" si="3"/>
        <v/>
      </c>
    </row>
    <row r="252" spans="1:18" x14ac:dyDescent="0.3">
      <c r="A252" t="s">
        <v>438</v>
      </c>
      <c r="B252" t="s">
        <v>491</v>
      </c>
      <c r="C252" s="13">
        <v>3</v>
      </c>
      <c r="D252" t="s">
        <v>24</v>
      </c>
      <c r="E252" t="s">
        <v>25</v>
      </c>
      <c r="F252" t="s">
        <v>433</v>
      </c>
      <c r="G252" s="13">
        <v>1</v>
      </c>
      <c r="H252" s="13"/>
      <c r="I252" s="13"/>
      <c r="J252" s="13"/>
      <c r="K252" s="13"/>
      <c r="L252" s="13"/>
      <c r="M252" s="13"/>
      <c r="N252" s="13"/>
      <c r="O252" s="13" t="s">
        <v>434</v>
      </c>
      <c r="P252" s="14"/>
      <c r="Q252" s="12">
        <f>IFERROR(VLOOKUP($D252,LISTINO!$B:$I,6,FALSE),IFERROR(VLOOKUP($E252,LISTINO!$C:$I,5,FALSE),""))</f>
        <v>0</v>
      </c>
      <c r="R252" s="12">
        <f t="shared" si="3"/>
        <v>0</v>
      </c>
    </row>
    <row r="253" spans="1:18" x14ac:dyDescent="0.3">
      <c r="A253" t="s">
        <v>437</v>
      </c>
      <c r="B253" t="s">
        <v>491</v>
      </c>
      <c r="C253" s="13">
        <v>1</v>
      </c>
      <c r="D253" t="s">
        <v>18</v>
      </c>
      <c r="E253" t="s">
        <v>19</v>
      </c>
      <c r="F253" t="s">
        <v>433</v>
      </c>
      <c r="G253" s="13">
        <v>1</v>
      </c>
      <c r="H253" s="13"/>
      <c r="I253" s="13"/>
      <c r="J253" s="13"/>
      <c r="K253" s="13"/>
      <c r="L253" s="13"/>
      <c r="M253" s="13"/>
      <c r="N253" s="13"/>
      <c r="O253" s="13" t="s">
        <v>434</v>
      </c>
      <c r="P253" s="14"/>
      <c r="Q253" s="12">
        <f>IFERROR(VLOOKUP($D253,LISTINO!$B:$I,6,FALSE),IFERROR(VLOOKUP($E253,LISTINO!$C:$I,5,FALSE),""))</f>
        <v>0</v>
      </c>
      <c r="R253" s="12">
        <f t="shared" si="3"/>
        <v>0</v>
      </c>
    </row>
    <row r="254" spans="1:18" x14ac:dyDescent="0.3">
      <c r="A254" t="s">
        <v>437</v>
      </c>
      <c r="B254" t="s">
        <v>491</v>
      </c>
      <c r="C254" s="13">
        <v>2</v>
      </c>
      <c r="D254" t="s">
        <v>369</v>
      </c>
      <c r="E254" t="s">
        <v>370</v>
      </c>
      <c r="F254" t="s">
        <v>449</v>
      </c>
      <c r="G254" s="13">
        <v>4</v>
      </c>
      <c r="H254" s="13"/>
      <c r="I254" s="13"/>
      <c r="J254" s="13"/>
      <c r="K254" s="13"/>
      <c r="L254" s="13"/>
      <c r="M254" s="13"/>
      <c r="N254" s="13"/>
      <c r="O254" s="13" t="s">
        <v>434</v>
      </c>
      <c r="P254" s="14"/>
      <c r="Q254" s="12" t="str">
        <f>IFERROR(VLOOKUP($D254,LISTINO!$B:$I,6,FALSE),IFERROR(VLOOKUP($E254,LISTINO!$C:$I,5,FALSE),""))</f>
        <v/>
      </c>
      <c r="R254" s="12" t="str">
        <f t="shared" si="3"/>
        <v/>
      </c>
    </row>
    <row r="255" spans="1:18" x14ac:dyDescent="0.3">
      <c r="A255" t="s">
        <v>437</v>
      </c>
      <c r="B255" t="s">
        <v>491</v>
      </c>
      <c r="C255" s="13">
        <v>3</v>
      </c>
      <c r="D255" t="s">
        <v>397</v>
      </c>
      <c r="E255" t="s">
        <v>484</v>
      </c>
      <c r="F255" t="s">
        <v>449</v>
      </c>
      <c r="G255" s="13">
        <v>4</v>
      </c>
      <c r="H255" s="13"/>
      <c r="I255" s="13"/>
      <c r="J255" s="13"/>
      <c r="K255" s="13"/>
      <c r="L255" s="13"/>
      <c r="M255" s="13"/>
      <c r="N255" s="13"/>
      <c r="O255" s="13" t="s">
        <v>434</v>
      </c>
      <c r="P255" s="14"/>
      <c r="Q255" s="12" t="str">
        <f>IFERROR(VLOOKUP($D255,LISTINO!$B:$I,6,FALSE),IFERROR(VLOOKUP($E255,LISTINO!$C:$I,5,FALSE),""))</f>
        <v/>
      </c>
      <c r="R255" s="12" t="str">
        <f t="shared" si="3"/>
        <v/>
      </c>
    </row>
    <row r="256" spans="1:18" x14ac:dyDescent="0.3">
      <c r="A256" t="s">
        <v>437</v>
      </c>
      <c r="B256" t="s">
        <v>491</v>
      </c>
      <c r="C256" s="13">
        <v>4</v>
      </c>
      <c r="D256" t="s">
        <v>20</v>
      </c>
      <c r="E256" t="s">
        <v>21</v>
      </c>
      <c r="F256" t="s">
        <v>433</v>
      </c>
      <c r="G256" s="13">
        <v>1</v>
      </c>
      <c r="H256" s="13"/>
      <c r="I256" s="13"/>
      <c r="J256" s="13"/>
      <c r="K256" s="13"/>
      <c r="L256" s="13"/>
      <c r="M256" s="13"/>
      <c r="N256" s="13"/>
      <c r="O256" s="13" t="s">
        <v>434</v>
      </c>
      <c r="P256" s="14"/>
      <c r="Q256" s="12">
        <f>IFERROR(VLOOKUP($D256,LISTINO!$B:$I,6,FALSE),IFERROR(VLOOKUP($E256,LISTINO!$C:$I,5,FALSE),""))</f>
        <v>0</v>
      </c>
      <c r="R256" s="12">
        <f t="shared" si="3"/>
        <v>0</v>
      </c>
    </row>
    <row r="257" spans="1:18" x14ac:dyDescent="0.3">
      <c r="A257" t="s">
        <v>437</v>
      </c>
      <c r="B257" t="s">
        <v>491</v>
      </c>
      <c r="C257" s="13">
        <v>5</v>
      </c>
      <c r="D257" t="s">
        <v>397</v>
      </c>
      <c r="E257" t="s">
        <v>484</v>
      </c>
      <c r="F257" t="s">
        <v>449</v>
      </c>
      <c r="G257" s="13">
        <v>4</v>
      </c>
      <c r="H257" s="13"/>
      <c r="I257" s="13"/>
      <c r="J257" s="13"/>
      <c r="K257" s="13"/>
      <c r="L257" s="13"/>
      <c r="M257" s="13"/>
      <c r="N257" s="13"/>
      <c r="O257" s="13" t="s">
        <v>434</v>
      </c>
      <c r="P257" s="14"/>
      <c r="Q257" s="12" t="str">
        <f>IFERROR(VLOOKUP($D257,LISTINO!$B:$I,6,FALSE),IFERROR(VLOOKUP($E257,LISTINO!$C:$I,5,FALSE),""))</f>
        <v/>
      </c>
      <c r="R257" s="12" t="str">
        <f t="shared" si="3"/>
        <v/>
      </c>
    </row>
    <row r="258" spans="1:18" x14ac:dyDescent="0.3">
      <c r="A258" t="s">
        <v>437</v>
      </c>
      <c r="B258" t="s">
        <v>491</v>
      </c>
      <c r="C258" s="13">
        <v>6</v>
      </c>
      <c r="D258" t="s">
        <v>387</v>
      </c>
      <c r="E258" t="s">
        <v>496</v>
      </c>
      <c r="F258" t="s">
        <v>449</v>
      </c>
      <c r="G258" s="13">
        <v>4</v>
      </c>
      <c r="H258" s="13"/>
      <c r="I258" s="13"/>
      <c r="J258" s="13"/>
      <c r="K258" s="13"/>
      <c r="L258" s="13"/>
      <c r="M258" s="13"/>
      <c r="N258" s="13"/>
      <c r="O258" s="13" t="s">
        <v>434</v>
      </c>
      <c r="P258" s="14"/>
      <c r="Q258" s="12" t="str">
        <f>IFERROR(VLOOKUP($D258,LISTINO!$B:$I,6,FALSE),IFERROR(VLOOKUP($E258,LISTINO!$C:$I,5,FALSE),""))</f>
        <v/>
      </c>
      <c r="R258" s="12" t="str">
        <f t="shared" ref="R258:R321" si="4">IF(AND(ISNUMBER(G258),ISNUMBER(Q258)),G258*Q258,"")</f>
        <v/>
      </c>
    </row>
    <row r="259" spans="1:18" x14ac:dyDescent="0.3">
      <c r="A259" t="s">
        <v>437</v>
      </c>
      <c r="B259" t="s">
        <v>491</v>
      </c>
      <c r="C259" s="13">
        <v>7</v>
      </c>
      <c r="D259" t="s">
        <v>423</v>
      </c>
      <c r="E259" t="s">
        <v>424</v>
      </c>
      <c r="F259" t="s">
        <v>462</v>
      </c>
      <c r="G259" s="13">
        <v>1</v>
      </c>
      <c r="H259" s="13"/>
      <c r="I259" s="13"/>
      <c r="J259" s="13"/>
      <c r="K259" s="13"/>
      <c r="L259" s="13"/>
      <c r="M259" s="13"/>
      <c r="N259" s="13"/>
      <c r="O259" s="13" t="s">
        <v>434</v>
      </c>
      <c r="P259" s="14"/>
      <c r="Q259" s="12" t="str">
        <f>IFERROR(VLOOKUP($D259,LISTINO!$B:$I,6,FALSE),IFERROR(VLOOKUP($E259,LISTINO!$C:$I,5,FALSE),""))</f>
        <v/>
      </c>
      <c r="R259" s="12" t="str">
        <f t="shared" si="4"/>
        <v/>
      </c>
    </row>
    <row r="260" spans="1:18" x14ac:dyDescent="0.3">
      <c r="A260" t="s">
        <v>437</v>
      </c>
      <c r="B260" t="s">
        <v>491</v>
      </c>
      <c r="C260" s="13">
        <v>8</v>
      </c>
      <c r="D260" t="s">
        <v>399</v>
      </c>
      <c r="E260" t="s">
        <v>400</v>
      </c>
      <c r="F260" t="s">
        <v>449</v>
      </c>
      <c r="G260" s="13">
        <v>4</v>
      </c>
      <c r="H260" s="13"/>
      <c r="I260" s="13"/>
      <c r="J260" s="13"/>
      <c r="K260" s="13"/>
      <c r="L260" s="13"/>
      <c r="M260" s="13"/>
      <c r="N260" s="13"/>
      <c r="O260" s="13" t="s">
        <v>434</v>
      </c>
      <c r="P260" s="14"/>
      <c r="Q260" s="12" t="str">
        <f>IFERROR(VLOOKUP($D260,LISTINO!$B:$I,6,FALSE),IFERROR(VLOOKUP($E260,LISTINO!$C:$I,5,FALSE),""))</f>
        <v/>
      </c>
      <c r="R260" s="12" t="str">
        <f t="shared" si="4"/>
        <v/>
      </c>
    </row>
    <row r="261" spans="1:18" x14ac:dyDescent="0.3">
      <c r="A261" t="s">
        <v>437</v>
      </c>
      <c r="B261" t="s">
        <v>491</v>
      </c>
      <c r="C261" s="13">
        <v>9</v>
      </c>
      <c r="D261" t="s">
        <v>393</v>
      </c>
      <c r="E261" t="s">
        <v>492</v>
      </c>
      <c r="F261" t="s">
        <v>449</v>
      </c>
      <c r="G261" s="13">
        <v>4</v>
      </c>
      <c r="H261" s="13"/>
      <c r="I261" s="13"/>
      <c r="J261" s="13"/>
      <c r="K261" s="13"/>
      <c r="L261" s="13"/>
      <c r="M261" s="13"/>
      <c r="N261" s="13"/>
      <c r="O261" s="13" t="s">
        <v>434</v>
      </c>
      <c r="P261" s="14"/>
      <c r="Q261" s="12" t="str">
        <f>IFERROR(VLOOKUP($D261,LISTINO!$B:$I,6,FALSE),IFERROR(VLOOKUP($E261,LISTINO!$C:$I,5,FALSE),""))</f>
        <v/>
      </c>
      <c r="R261" s="12" t="str">
        <f t="shared" si="4"/>
        <v/>
      </c>
    </row>
    <row r="262" spans="1:18" x14ac:dyDescent="0.3">
      <c r="A262" t="s">
        <v>437</v>
      </c>
      <c r="B262" t="s">
        <v>491</v>
      </c>
      <c r="C262" s="13">
        <v>10</v>
      </c>
      <c r="D262" t="s">
        <v>383</v>
      </c>
      <c r="E262" t="s">
        <v>493</v>
      </c>
      <c r="F262" t="s">
        <v>449</v>
      </c>
      <c r="G262" s="13">
        <v>4</v>
      </c>
      <c r="H262" s="13"/>
      <c r="I262" s="13"/>
      <c r="J262" s="13"/>
      <c r="K262" s="13"/>
      <c r="L262" s="13"/>
      <c r="M262" s="13"/>
      <c r="N262" s="13"/>
      <c r="O262" s="13" t="s">
        <v>434</v>
      </c>
      <c r="P262" s="14"/>
      <c r="Q262" s="12" t="str">
        <f>IFERROR(VLOOKUP($D262,LISTINO!$B:$I,6,FALSE),IFERROR(VLOOKUP($E262,LISTINO!$C:$I,5,FALSE),""))</f>
        <v/>
      </c>
      <c r="R262" s="12" t="str">
        <f t="shared" si="4"/>
        <v/>
      </c>
    </row>
    <row r="263" spans="1:18" x14ac:dyDescent="0.3">
      <c r="A263" t="s">
        <v>497</v>
      </c>
      <c r="C263" s="13">
        <v>1</v>
      </c>
      <c r="D263" t="s">
        <v>46</v>
      </c>
      <c r="E263" t="s">
        <v>47</v>
      </c>
      <c r="F263" t="s">
        <v>433</v>
      </c>
      <c r="G263" s="13">
        <v>1</v>
      </c>
      <c r="H263" s="13"/>
      <c r="I263" s="13"/>
      <c r="J263" s="13"/>
      <c r="K263" s="13"/>
      <c r="L263" s="13"/>
      <c r="M263" s="13"/>
      <c r="N263" s="13"/>
      <c r="O263" s="13" t="s">
        <v>434</v>
      </c>
      <c r="P263" s="14"/>
      <c r="Q263" s="12">
        <f>IFERROR(VLOOKUP($D263,LISTINO!$B:$I,6,FALSE),IFERROR(VLOOKUP($E263,LISTINO!$C:$I,5,FALSE),""))</f>
        <v>0</v>
      </c>
      <c r="R263" s="12">
        <f t="shared" si="4"/>
        <v>0</v>
      </c>
    </row>
    <row r="264" spans="1:18" x14ac:dyDescent="0.3">
      <c r="A264" t="s">
        <v>497</v>
      </c>
      <c r="C264" s="13">
        <v>2</v>
      </c>
      <c r="D264" t="s">
        <v>48</v>
      </c>
      <c r="E264" t="s">
        <v>49</v>
      </c>
      <c r="F264" t="s">
        <v>433</v>
      </c>
      <c r="G264" s="13">
        <v>1</v>
      </c>
      <c r="H264" s="13"/>
      <c r="I264" s="13"/>
      <c r="J264" s="13"/>
      <c r="K264" s="13"/>
      <c r="L264" s="13"/>
      <c r="M264" s="13"/>
      <c r="N264" s="13"/>
      <c r="O264" s="13" t="s">
        <v>434</v>
      </c>
      <c r="P264" s="14"/>
      <c r="Q264" s="12">
        <f>IFERROR(VLOOKUP($D264,LISTINO!$B:$I,6,FALSE),IFERROR(VLOOKUP($E264,LISTINO!$C:$I,5,FALSE),""))</f>
        <v>0</v>
      </c>
      <c r="R264" s="12">
        <f t="shared" si="4"/>
        <v>0</v>
      </c>
    </row>
    <row r="265" spans="1:18" x14ac:dyDescent="0.3">
      <c r="A265" t="s">
        <v>497</v>
      </c>
      <c r="C265" s="13">
        <v>3</v>
      </c>
      <c r="D265" t="s">
        <v>368</v>
      </c>
      <c r="E265" t="s">
        <v>367</v>
      </c>
      <c r="F265" t="s">
        <v>449</v>
      </c>
      <c r="G265" s="13">
        <v>4</v>
      </c>
      <c r="H265" s="13"/>
      <c r="I265" s="13"/>
      <c r="J265" s="13"/>
      <c r="K265" s="13"/>
      <c r="L265" s="13"/>
      <c r="M265" s="13"/>
      <c r="N265" s="13"/>
      <c r="O265" s="13" t="s">
        <v>434</v>
      </c>
      <c r="P265" s="14"/>
      <c r="Q265" s="12" t="str">
        <f>IFERROR(VLOOKUP($D265,LISTINO!$B:$I,6,FALSE),IFERROR(VLOOKUP($E265,LISTINO!$C:$I,5,FALSE),""))</f>
        <v/>
      </c>
      <c r="R265" s="12" t="str">
        <f t="shared" si="4"/>
        <v/>
      </c>
    </row>
    <row r="266" spans="1:18" x14ac:dyDescent="0.3">
      <c r="A266" t="s">
        <v>497</v>
      </c>
      <c r="C266" s="13">
        <v>4</v>
      </c>
      <c r="D266" t="s">
        <v>395</v>
      </c>
      <c r="E266" t="s">
        <v>396</v>
      </c>
      <c r="F266" t="s">
        <v>449</v>
      </c>
      <c r="G266" s="13">
        <v>4</v>
      </c>
      <c r="H266" s="13"/>
      <c r="I266" s="13"/>
      <c r="J266" s="13"/>
      <c r="K266" s="13"/>
      <c r="L266" s="13"/>
      <c r="M266" s="13"/>
      <c r="N266" s="13"/>
      <c r="O266" s="13" t="s">
        <v>434</v>
      </c>
      <c r="P266" s="14"/>
      <c r="Q266" s="12" t="str">
        <f>IFERROR(VLOOKUP($D266,LISTINO!$B:$I,6,FALSE),IFERROR(VLOOKUP($E266,LISTINO!$C:$I,5,FALSE),""))</f>
        <v/>
      </c>
      <c r="R266" s="12" t="str">
        <f t="shared" si="4"/>
        <v/>
      </c>
    </row>
    <row r="267" spans="1:18" x14ac:dyDescent="0.3">
      <c r="A267" t="s">
        <v>497</v>
      </c>
      <c r="C267" s="13">
        <v>5</v>
      </c>
      <c r="D267" t="s">
        <v>395</v>
      </c>
      <c r="E267" t="s">
        <v>396</v>
      </c>
      <c r="F267" t="s">
        <v>449</v>
      </c>
      <c r="G267" s="13">
        <v>4</v>
      </c>
      <c r="H267" s="13"/>
      <c r="I267" s="13"/>
      <c r="J267" s="13"/>
      <c r="K267" s="13"/>
      <c r="L267" s="13"/>
      <c r="M267" s="13"/>
      <c r="N267" s="13"/>
      <c r="O267" s="13" t="s">
        <v>434</v>
      </c>
      <c r="P267" s="14"/>
      <c r="Q267" s="12" t="str">
        <f>IFERROR(VLOOKUP($D267,LISTINO!$B:$I,6,FALSE),IFERROR(VLOOKUP($E267,LISTINO!$C:$I,5,FALSE),""))</f>
        <v/>
      </c>
      <c r="R267" s="12" t="str">
        <f t="shared" si="4"/>
        <v/>
      </c>
    </row>
    <row r="268" spans="1:18" x14ac:dyDescent="0.3">
      <c r="A268" t="s">
        <v>497</v>
      </c>
      <c r="C268" s="13">
        <v>6</v>
      </c>
      <c r="D268" t="s">
        <v>385</v>
      </c>
      <c r="E268" t="s">
        <v>494</v>
      </c>
      <c r="F268" t="s">
        <v>449</v>
      </c>
      <c r="G268" s="13">
        <v>4</v>
      </c>
      <c r="H268" s="13"/>
      <c r="I268" s="13"/>
      <c r="J268" s="13"/>
      <c r="K268" s="13"/>
      <c r="L268" s="13"/>
      <c r="M268" s="13"/>
      <c r="N268" s="13"/>
      <c r="O268" s="13" t="s">
        <v>434</v>
      </c>
      <c r="P268" s="14"/>
      <c r="Q268" s="12" t="str">
        <f>IFERROR(VLOOKUP($D268,LISTINO!$B:$I,6,FALSE),IFERROR(VLOOKUP($E268,LISTINO!$C:$I,5,FALSE),""))</f>
        <v/>
      </c>
      <c r="R268" s="12" t="str">
        <f t="shared" si="4"/>
        <v/>
      </c>
    </row>
    <row r="269" spans="1:18" x14ac:dyDescent="0.3">
      <c r="A269" t="s">
        <v>497</v>
      </c>
      <c r="C269" s="13">
        <v>7</v>
      </c>
      <c r="D269" t="s">
        <v>201</v>
      </c>
      <c r="E269" t="s">
        <v>202</v>
      </c>
      <c r="F269" t="s">
        <v>433</v>
      </c>
      <c r="G269" s="13">
        <v>1</v>
      </c>
      <c r="H269" s="13"/>
      <c r="I269" s="13"/>
      <c r="J269" s="13"/>
      <c r="K269" s="13"/>
      <c r="L269" s="13"/>
      <c r="M269" s="13"/>
      <c r="N269" s="13" t="s">
        <v>498</v>
      </c>
      <c r="O269" s="13" t="s">
        <v>434</v>
      </c>
      <c r="P269" s="14"/>
      <c r="Q269" s="12">
        <f>IFERROR(VLOOKUP($D269,LISTINO!$B:$I,6,FALSE),IFERROR(VLOOKUP($E269,LISTINO!$C:$I,5,FALSE),""))</f>
        <v>0</v>
      </c>
      <c r="R269" s="12">
        <f t="shared" si="4"/>
        <v>0</v>
      </c>
    </row>
    <row r="270" spans="1:18" x14ac:dyDescent="0.3">
      <c r="A270" t="s">
        <v>497</v>
      </c>
      <c r="C270" s="13">
        <v>8</v>
      </c>
      <c r="D270" t="s">
        <v>411</v>
      </c>
      <c r="E270" t="s">
        <v>412</v>
      </c>
      <c r="F270" t="s">
        <v>461</v>
      </c>
      <c r="G270" s="13">
        <v>1</v>
      </c>
      <c r="H270" s="13"/>
      <c r="I270" s="13"/>
      <c r="J270" s="13"/>
      <c r="K270" s="13"/>
      <c r="L270" s="13"/>
      <c r="M270" s="13"/>
      <c r="N270" s="13"/>
      <c r="O270" s="13" t="s">
        <v>434</v>
      </c>
      <c r="P270" s="14"/>
      <c r="Q270" s="12" t="str">
        <f>IFERROR(VLOOKUP($D270,LISTINO!$B:$I,6,FALSE),IFERROR(VLOOKUP($E270,LISTINO!$C:$I,5,FALSE),""))</f>
        <v/>
      </c>
      <c r="R270" s="12" t="str">
        <f t="shared" si="4"/>
        <v/>
      </c>
    </row>
    <row r="271" spans="1:18" x14ac:dyDescent="0.3">
      <c r="A271" t="s">
        <v>497</v>
      </c>
      <c r="C271" s="13">
        <v>9</v>
      </c>
      <c r="D271" t="s">
        <v>373</v>
      </c>
      <c r="E271" t="s">
        <v>374</v>
      </c>
      <c r="F271" t="s">
        <v>449</v>
      </c>
      <c r="G271" s="13">
        <v>4</v>
      </c>
      <c r="H271" s="13"/>
      <c r="I271" s="13"/>
      <c r="J271" s="13"/>
      <c r="K271" s="13"/>
      <c r="L271" s="13"/>
      <c r="M271" s="13"/>
      <c r="N271" s="13"/>
      <c r="O271" s="13" t="s">
        <v>434</v>
      </c>
      <c r="P271" s="14"/>
      <c r="Q271" s="12" t="str">
        <f>IFERROR(VLOOKUP($D271,LISTINO!$B:$I,6,FALSE),IFERROR(VLOOKUP($E271,LISTINO!$C:$I,5,FALSE),""))</f>
        <v/>
      </c>
      <c r="R271" s="12" t="str">
        <f t="shared" si="4"/>
        <v/>
      </c>
    </row>
    <row r="272" spans="1:18" x14ac:dyDescent="0.3">
      <c r="A272" t="s">
        <v>497</v>
      </c>
      <c r="C272" s="13">
        <v>10</v>
      </c>
      <c r="D272" t="s">
        <v>397</v>
      </c>
      <c r="E272" t="s">
        <v>484</v>
      </c>
      <c r="F272" t="s">
        <v>449</v>
      </c>
      <c r="G272" s="13">
        <v>4</v>
      </c>
      <c r="H272" s="13"/>
      <c r="I272" s="13"/>
      <c r="J272" s="13"/>
      <c r="K272" s="13"/>
      <c r="L272" s="13"/>
      <c r="M272" s="13"/>
      <c r="N272" s="13"/>
      <c r="O272" s="13" t="s">
        <v>434</v>
      </c>
      <c r="P272" s="14"/>
      <c r="Q272" s="12" t="str">
        <f>IFERROR(VLOOKUP($D272,LISTINO!$B:$I,6,FALSE),IFERROR(VLOOKUP($E272,LISTINO!$C:$I,5,FALSE),""))</f>
        <v/>
      </c>
      <c r="R272" s="12" t="str">
        <f t="shared" si="4"/>
        <v/>
      </c>
    </row>
    <row r="273" spans="1:18" x14ac:dyDescent="0.3">
      <c r="A273" t="s">
        <v>497</v>
      </c>
      <c r="C273" s="13">
        <v>11</v>
      </c>
      <c r="D273" t="s">
        <v>397</v>
      </c>
      <c r="E273" t="s">
        <v>484</v>
      </c>
      <c r="F273" t="s">
        <v>449</v>
      </c>
      <c r="G273" s="13">
        <v>4</v>
      </c>
      <c r="H273" s="13"/>
      <c r="I273" s="13"/>
      <c r="J273" s="13"/>
      <c r="K273" s="13"/>
      <c r="L273" s="13"/>
      <c r="M273" s="13"/>
      <c r="N273" s="13"/>
      <c r="O273" s="13" t="s">
        <v>434</v>
      </c>
      <c r="P273" s="14"/>
      <c r="Q273" s="12" t="str">
        <f>IFERROR(VLOOKUP($D273,LISTINO!$B:$I,6,FALSE),IFERROR(VLOOKUP($E273,LISTINO!$C:$I,5,FALSE),""))</f>
        <v/>
      </c>
      <c r="R273" s="12" t="str">
        <f t="shared" si="4"/>
        <v/>
      </c>
    </row>
    <row r="274" spans="1:18" x14ac:dyDescent="0.3">
      <c r="A274" t="s">
        <v>497</v>
      </c>
      <c r="C274" s="13">
        <v>12</v>
      </c>
      <c r="D274" t="s">
        <v>387</v>
      </c>
      <c r="E274" t="s">
        <v>496</v>
      </c>
      <c r="F274" t="s">
        <v>449</v>
      </c>
      <c r="G274" s="13">
        <v>4</v>
      </c>
      <c r="H274" s="13"/>
      <c r="I274" s="13"/>
      <c r="J274" s="13"/>
      <c r="K274" s="13"/>
      <c r="L274" s="13"/>
      <c r="M274" s="13"/>
      <c r="N274" s="13"/>
      <c r="O274" s="13" t="s">
        <v>434</v>
      </c>
      <c r="P274" s="14"/>
      <c r="Q274" s="12" t="str">
        <f>IFERROR(VLOOKUP($D274,LISTINO!$B:$I,6,FALSE),IFERROR(VLOOKUP($E274,LISTINO!$C:$I,5,FALSE),""))</f>
        <v/>
      </c>
      <c r="R274" s="12" t="str">
        <f t="shared" si="4"/>
        <v/>
      </c>
    </row>
    <row r="275" spans="1:18" x14ac:dyDescent="0.3">
      <c r="A275" t="s">
        <v>445</v>
      </c>
      <c r="C275" s="13">
        <v>1</v>
      </c>
      <c r="D275" t="s">
        <v>203</v>
      </c>
      <c r="E275" t="s">
        <v>204</v>
      </c>
      <c r="F275" t="s">
        <v>433</v>
      </c>
      <c r="G275" s="13">
        <v>1</v>
      </c>
      <c r="H275" s="13"/>
      <c r="I275" s="13"/>
      <c r="J275" s="13"/>
      <c r="K275" s="13"/>
      <c r="L275" s="13"/>
      <c r="M275" s="13"/>
      <c r="N275" s="13"/>
      <c r="O275" s="13" t="s">
        <v>434</v>
      </c>
      <c r="P275" s="14"/>
      <c r="Q275" s="12">
        <f>IFERROR(VLOOKUP($D275,LISTINO!$B:$I,6,FALSE),IFERROR(VLOOKUP($E275,LISTINO!$C:$I,5,FALSE),""))</f>
        <v>0</v>
      </c>
      <c r="R275" s="12">
        <f t="shared" si="4"/>
        <v>0</v>
      </c>
    </row>
    <row r="276" spans="1:18" x14ac:dyDescent="0.3">
      <c r="A276" t="s">
        <v>445</v>
      </c>
      <c r="C276" s="13">
        <v>1</v>
      </c>
      <c r="D276" t="s">
        <v>243</v>
      </c>
      <c r="E276" t="s">
        <v>244</v>
      </c>
      <c r="F276" t="s">
        <v>433</v>
      </c>
      <c r="G276" s="13">
        <v>0</v>
      </c>
      <c r="H276" s="13"/>
      <c r="I276" s="13"/>
      <c r="J276" s="13"/>
      <c r="K276" s="13"/>
      <c r="L276" s="13"/>
      <c r="M276" s="13"/>
      <c r="N276" s="13"/>
      <c r="O276" s="13" t="s">
        <v>434</v>
      </c>
      <c r="P276" s="14"/>
      <c r="Q276" s="12">
        <f>IFERROR(VLOOKUP($D276,LISTINO!$B:$I,6,FALSE),IFERROR(VLOOKUP($E276,LISTINO!$C:$I,5,FALSE),""))</f>
        <v>0</v>
      </c>
      <c r="R276" s="12">
        <f t="shared" si="4"/>
        <v>0</v>
      </c>
    </row>
    <row r="277" spans="1:18" x14ac:dyDescent="0.3">
      <c r="A277" t="s">
        <v>445</v>
      </c>
      <c r="C277" s="13">
        <v>2</v>
      </c>
      <c r="D277" t="s">
        <v>46</v>
      </c>
      <c r="E277" t="s">
        <v>47</v>
      </c>
      <c r="F277" t="s">
        <v>433</v>
      </c>
      <c r="G277" s="13">
        <v>1</v>
      </c>
      <c r="H277" s="13"/>
      <c r="I277" s="13"/>
      <c r="J277" s="13"/>
      <c r="K277" s="13"/>
      <c r="L277" s="13"/>
      <c r="M277" s="13"/>
      <c r="N277" s="13"/>
      <c r="O277" s="13" t="s">
        <v>434</v>
      </c>
      <c r="P277" s="14"/>
      <c r="Q277" s="12">
        <f>IFERROR(VLOOKUP($D277,LISTINO!$B:$I,6,FALSE),IFERROR(VLOOKUP($E277,LISTINO!$C:$I,5,FALSE),""))</f>
        <v>0</v>
      </c>
      <c r="R277" s="12">
        <f t="shared" si="4"/>
        <v>0</v>
      </c>
    </row>
    <row r="278" spans="1:18" x14ac:dyDescent="0.3">
      <c r="A278" t="s">
        <v>445</v>
      </c>
      <c r="C278" s="13">
        <v>3</v>
      </c>
      <c r="D278" t="s">
        <v>385</v>
      </c>
      <c r="E278" t="s">
        <v>494</v>
      </c>
      <c r="F278" t="s">
        <v>449</v>
      </c>
      <c r="G278" s="13">
        <v>4</v>
      </c>
      <c r="H278" s="13"/>
      <c r="I278" s="13"/>
      <c r="J278" s="13"/>
      <c r="K278" s="13"/>
      <c r="L278" s="13"/>
      <c r="M278" s="13"/>
      <c r="N278" s="13"/>
      <c r="O278" s="13" t="s">
        <v>434</v>
      </c>
      <c r="P278" s="14"/>
      <c r="Q278" s="12" t="str">
        <f>IFERROR(VLOOKUP($D278,LISTINO!$B:$I,6,FALSE),IFERROR(VLOOKUP($E278,LISTINO!$C:$I,5,FALSE),""))</f>
        <v/>
      </c>
      <c r="R278" s="12" t="str">
        <f t="shared" si="4"/>
        <v/>
      </c>
    </row>
    <row r="279" spans="1:18" x14ac:dyDescent="0.3">
      <c r="A279" t="s">
        <v>445</v>
      </c>
      <c r="C279" s="13">
        <v>4</v>
      </c>
      <c r="D279" t="s">
        <v>395</v>
      </c>
      <c r="E279" t="s">
        <v>396</v>
      </c>
      <c r="F279" t="s">
        <v>449</v>
      </c>
      <c r="G279" s="13">
        <v>4</v>
      </c>
      <c r="H279" s="13"/>
      <c r="I279" s="13"/>
      <c r="J279" s="13"/>
      <c r="K279" s="13"/>
      <c r="L279" s="13"/>
      <c r="M279" s="13"/>
      <c r="N279" s="13"/>
      <c r="O279" s="13" t="s">
        <v>434</v>
      </c>
      <c r="P279" s="14"/>
      <c r="Q279" s="12" t="str">
        <f>IFERROR(VLOOKUP($D279,LISTINO!$B:$I,6,FALSE),IFERROR(VLOOKUP($E279,LISTINO!$C:$I,5,FALSE),""))</f>
        <v/>
      </c>
      <c r="R279" s="12" t="str">
        <f t="shared" si="4"/>
        <v/>
      </c>
    </row>
    <row r="280" spans="1:18" x14ac:dyDescent="0.3">
      <c r="A280" t="s">
        <v>445</v>
      </c>
      <c r="C280" s="13">
        <v>5</v>
      </c>
      <c r="D280" t="s">
        <v>395</v>
      </c>
      <c r="E280" t="s">
        <v>396</v>
      </c>
      <c r="F280" t="s">
        <v>449</v>
      </c>
      <c r="G280" s="13">
        <v>4</v>
      </c>
      <c r="H280" s="13"/>
      <c r="I280" s="13"/>
      <c r="J280" s="13"/>
      <c r="K280" s="13"/>
      <c r="L280" s="13"/>
      <c r="M280" s="13"/>
      <c r="N280" s="13"/>
      <c r="O280" s="13" t="s">
        <v>434</v>
      </c>
      <c r="P280" s="14"/>
      <c r="Q280" s="12" t="str">
        <f>IFERROR(VLOOKUP($D280,LISTINO!$B:$I,6,FALSE),IFERROR(VLOOKUP($E280,LISTINO!$C:$I,5,FALSE),""))</f>
        <v/>
      </c>
      <c r="R280" s="12" t="str">
        <f t="shared" si="4"/>
        <v/>
      </c>
    </row>
    <row r="281" spans="1:18" x14ac:dyDescent="0.3">
      <c r="A281" t="s">
        <v>445</v>
      </c>
      <c r="C281" s="13">
        <v>6</v>
      </c>
      <c r="D281" t="s">
        <v>366</v>
      </c>
      <c r="E281" t="s">
        <v>367</v>
      </c>
      <c r="F281" t="s">
        <v>449</v>
      </c>
      <c r="G281" s="13">
        <v>4</v>
      </c>
      <c r="H281" s="13"/>
      <c r="I281" s="13"/>
      <c r="J281" s="13"/>
      <c r="K281" s="13"/>
      <c r="L281" s="13"/>
      <c r="M281" s="13"/>
      <c r="N281" s="13"/>
      <c r="O281" s="13" t="s">
        <v>434</v>
      </c>
      <c r="P281" s="14"/>
      <c r="Q281" s="12" t="str">
        <f>IFERROR(VLOOKUP($D281,LISTINO!$B:$I,6,FALSE),IFERROR(VLOOKUP($E281,LISTINO!$C:$I,5,FALSE),""))</f>
        <v/>
      </c>
      <c r="R281" s="12" t="str">
        <f t="shared" si="4"/>
        <v/>
      </c>
    </row>
    <row r="282" spans="1:18" x14ac:dyDescent="0.3">
      <c r="A282" t="s">
        <v>445</v>
      </c>
      <c r="C282" s="13">
        <v>7</v>
      </c>
      <c r="D282" t="s">
        <v>48</v>
      </c>
      <c r="E282" t="s">
        <v>49</v>
      </c>
      <c r="F282" t="s">
        <v>433</v>
      </c>
      <c r="G282" s="13">
        <v>1</v>
      </c>
      <c r="H282" s="13"/>
      <c r="I282" s="13"/>
      <c r="J282" s="13"/>
      <c r="K282" s="13"/>
      <c r="L282" s="13"/>
      <c r="M282" s="13"/>
      <c r="N282" s="13"/>
      <c r="O282" s="13" t="s">
        <v>434</v>
      </c>
      <c r="P282" s="14"/>
      <c r="Q282" s="12">
        <f>IFERROR(VLOOKUP($D282,LISTINO!$B:$I,6,FALSE),IFERROR(VLOOKUP($E282,LISTINO!$C:$I,5,FALSE),""))</f>
        <v>0</v>
      </c>
      <c r="R282" s="12">
        <f t="shared" si="4"/>
        <v>0</v>
      </c>
    </row>
    <row r="283" spans="1:18" x14ac:dyDescent="0.3">
      <c r="A283" t="s">
        <v>445</v>
      </c>
      <c r="C283" s="13">
        <v>8</v>
      </c>
      <c r="D283" t="s">
        <v>409</v>
      </c>
      <c r="E283" t="s">
        <v>410</v>
      </c>
      <c r="F283" t="s">
        <v>461</v>
      </c>
      <c r="G283" s="13">
        <v>1</v>
      </c>
      <c r="H283" s="13"/>
      <c r="I283" s="13"/>
      <c r="J283" s="13"/>
      <c r="K283" s="13"/>
      <c r="L283" s="13"/>
      <c r="M283" s="13"/>
      <c r="N283" s="13"/>
      <c r="O283" s="13" t="s">
        <v>434</v>
      </c>
      <c r="P283" s="14"/>
      <c r="Q283" s="12" t="str">
        <f>IFERROR(VLOOKUP($D283,LISTINO!$B:$I,6,FALSE),IFERROR(VLOOKUP($E283,LISTINO!$C:$I,5,FALSE),""))</f>
        <v/>
      </c>
      <c r="R283" s="12" t="str">
        <f t="shared" si="4"/>
        <v/>
      </c>
    </row>
    <row r="284" spans="1:18" x14ac:dyDescent="0.3">
      <c r="A284" t="s">
        <v>445</v>
      </c>
      <c r="C284" s="13">
        <v>9</v>
      </c>
      <c r="D284" t="s">
        <v>397</v>
      </c>
      <c r="E284" t="s">
        <v>484</v>
      </c>
      <c r="F284" t="s">
        <v>449</v>
      </c>
      <c r="G284" s="13">
        <v>4</v>
      </c>
      <c r="H284" s="13"/>
      <c r="I284" s="13"/>
      <c r="J284" s="13"/>
      <c r="K284" s="13"/>
      <c r="L284" s="13"/>
      <c r="M284" s="13"/>
      <c r="N284" s="13"/>
      <c r="O284" s="13" t="s">
        <v>434</v>
      </c>
      <c r="P284" s="14"/>
      <c r="Q284" s="12" t="str">
        <f>IFERROR(VLOOKUP($D284,LISTINO!$B:$I,6,FALSE),IFERROR(VLOOKUP($E284,LISTINO!$C:$I,5,FALSE),""))</f>
        <v/>
      </c>
      <c r="R284" s="12" t="str">
        <f t="shared" si="4"/>
        <v/>
      </c>
    </row>
    <row r="285" spans="1:18" x14ac:dyDescent="0.3">
      <c r="A285" t="s">
        <v>445</v>
      </c>
      <c r="C285" s="13">
        <v>10</v>
      </c>
      <c r="D285" t="s">
        <v>373</v>
      </c>
      <c r="E285" t="s">
        <v>374</v>
      </c>
      <c r="F285" t="s">
        <v>449</v>
      </c>
      <c r="G285" s="13">
        <v>4</v>
      </c>
      <c r="H285" s="13"/>
      <c r="I285" s="13"/>
      <c r="J285" s="13"/>
      <c r="K285" s="13"/>
      <c r="L285" s="13"/>
      <c r="M285" s="13"/>
      <c r="N285" s="13"/>
      <c r="O285" s="13" t="s">
        <v>434</v>
      </c>
      <c r="P285" s="14"/>
      <c r="Q285" s="12" t="str">
        <f>IFERROR(VLOOKUP($D285,LISTINO!$B:$I,6,FALSE),IFERROR(VLOOKUP($E285,LISTINO!$C:$I,5,FALSE),""))</f>
        <v/>
      </c>
      <c r="R285" s="12" t="str">
        <f t="shared" si="4"/>
        <v/>
      </c>
    </row>
    <row r="286" spans="1:18" x14ac:dyDescent="0.3">
      <c r="A286" t="s">
        <v>445</v>
      </c>
      <c r="C286" s="13">
        <v>11</v>
      </c>
      <c r="D286" t="s">
        <v>397</v>
      </c>
      <c r="E286" t="s">
        <v>484</v>
      </c>
      <c r="F286" t="s">
        <v>449</v>
      </c>
      <c r="G286" s="13">
        <v>4</v>
      </c>
      <c r="H286" s="13"/>
      <c r="I286" s="13"/>
      <c r="J286" s="13"/>
      <c r="K286" s="13"/>
      <c r="L286" s="13"/>
      <c r="M286" s="13"/>
      <c r="N286" s="13"/>
      <c r="O286" s="13" t="s">
        <v>434</v>
      </c>
      <c r="P286" s="14"/>
      <c r="Q286" s="12" t="str">
        <f>IFERROR(VLOOKUP($D286,LISTINO!$B:$I,6,FALSE),IFERROR(VLOOKUP($E286,LISTINO!$C:$I,5,FALSE),""))</f>
        <v/>
      </c>
      <c r="R286" s="12" t="str">
        <f t="shared" si="4"/>
        <v/>
      </c>
    </row>
    <row r="287" spans="1:18" x14ac:dyDescent="0.3">
      <c r="A287" t="s">
        <v>445</v>
      </c>
      <c r="C287" s="13">
        <v>12</v>
      </c>
      <c r="D287" t="s">
        <v>387</v>
      </c>
      <c r="E287" t="s">
        <v>496</v>
      </c>
      <c r="F287" t="s">
        <v>449</v>
      </c>
      <c r="G287" s="13">
        <v>4</v>
      </c>
      <c r="H287" s="13"/>
      <c r="I287" s="13"/>
      <c r="J287" s="13"/>
      <c r="K287" s="13"/>
      <c r="L287" s="13"/>
      <c r="M287" s="13"/>
      <c r="N287" s="13"/>
      <c r="O287" s="13" t="s">
        <v>434</v>
      </c>
      <c r="P287" s="14"/>
      <c r="Q287" s="12" t="str">
        <f>IFERROR(VLOOKUP($D287,LISTINO!$B:$I,6,FALSE),IFERROR(VLOOKUP($E287,LISTINO!$C:$I,5,FALSE),""))</f>
        <v/>
      </c>
      <c r="R287" s="12" t="str">
        <f t="shared" si="4"/>
        <v/>
      </c>
    </row>
    <row r="288" spans="1:18" x14ac:dyDescent="0.3">
      <c r="A288" t="s">
        <v>445</v>
      </c>
      <c r="C288" s="13">
        <v>13</v>
      </c>
      <c r="D288" t="s">
        <v>373</v>
      </c>
      <c r="E288" t="s">
        <v>374</v>
      </c>
      <c r="F288" t="s">
        <v>449</v>
      </c>
      <c r="G288" s="13">
        <v>4</v>
      </c>
      <c r="H288" s="13"/>
      <c r="I288" s="13"/>
      <c r="J288" s="13"/>
      <c r="K288" s="13"/>
      <c r="L288" s="13"/>
      <c r="M288" s="13"/>
      <c r="N288" s="13"/>
      <c r="O288" s="13" t="s">
        <v>434</v>
      </c>
      <c r="P288" s="14"/>
      <c r="Q288" s="12" t="str">
        <f>IFERROR(VLOOKUP($D288,LISTINO!$B:$I,6,FALSE),IFERROR(VLOOKUP($E288,LISTINO!$C:$I,5,FALSE),""))</f>
        <v/>
      </c>
      <c r="R288" s="12" t="str">
        <f t="shared" si="4"/>
        <v/>
      </c>
    </row>
    <row r="289" spans="1:18" x14ac:dyDescent="0.3">
      <c r="A289" t="s">
        <v>445</v>
      </c>
      <c r="C289" s="13">
        <v>14</v>
      </c>
      <c r="D289" t="s">
        <v>397</v>
      </c>
      <c r="E289" t="s">
        <v>484</v>
      </c>
      <c r="F289" t="s">
        <v>449</v>
      </c>
      <c r="G289" s="13">
        <v>4</v>
      </c>
      <c r="H289" s="13"/>
      <c r="I289" s="13"/>
      <c r="J289" s="13"/>
      <c r="K289" s="13"/>
      <c r="L289" s="13"/>
      <c r="M289" s="13"/>
      <c r="N289" s="13"/>
      <c r="O289" s="13" t="s">
        <v>434</v>
      </c>
      <c r="P289" s="14"/>
      <c r="Q289" s="12" t="str">
        <f>IFERROR(VLOOKUP($D289,LISTINO!$B:$I,6,FALSE),IFERROR(VLOOKUP($E289,LISTINO!$C:$I,5,FALSE),""))</f>
        <v/>
      </c>
      <c r="R289" s="12" t="str">
        <f t="shared" si="4"/>
        <v/>
      </c>
    </row>
    <row r="290" spans="1:18" x14ac:dyDescent="0.3">
      <c r="A290" t="s">
        <v>445</v>
      </c>
      <c r="C290" s="13">
        <v>15</v>
      </c>
      <c r="D290" t="s">
        <v>48</v>
      </c>
      <c r="E290" s="6" t="s">
        <v>49</v>
      </c>
      <c r="F290" t="s">
        <v>433</v>
      </c>
      <c r="G290" s="13">
        <v>1</v>
      </c>
      <c r="H290" s="13"/>
      <c r="I290" s="13"/>
      <c r="J290" s="13"/>
      <c r="K290" s="13"/>
      <c r="L290" s="13"/>
      <c r="M290" s="13"/>
      <c r="N290" s="13"/>
      <c r="O290" s="13" t="s">
        <v>434</v>
      </c>
      <c r="P290" s="14"/>
      <c r="Q290" s="12">
        <f>IFERROR(VLOOKUP($D290,LISTINO!$B:$I,6,FALSE),IFERROR(VLOOKUP($E290,LISTINO!$C:$I,5,FALSE),""))</f>
        <v>0</v>
      </c>
      <c r="R290" s="7">
        <f t="shared" si="4"/>
        <v>0</v>
      </c>
    </row>
    <row r="291" spans="1:18" x14ac:dyDescent="0.3">
      <c r="A291" t="s">
        <v>445</v>
      </c>
      <c r="C291" s="13">
        <v>16</v>
      </c>
      <c r="D291" t="s">
        <v>411</v>
      </c>
      <c r="E291" t="s">
        <v>412</v>
      </c>
      <c r="F291" t="s">
        <v>461</v>
      </c>
      <c r="G291" s="13">
        <v>1</v>
      </c>
      <c r="H291" s="13"/>
      <c r="I291" s="13"/>
      <c r="J291" s="13"/>
      <c r="K291" s="13"/>
      <c r="L291" s="13"/>
      <c r="M291" s="13"/>
      <c r="N291" s="13" t="s">
        <v>498</v>
      </c>
      <c r="O291" s="13" t="s">
        <v>434</v>
      </c>
      <c r="P291" s="14"/>
      <c r="Q291" s="12" t="str">
        <f>IFERROR(VLOOKUP($D291,LISTINO!$B:$I,6,FALSE),IFERROR(VLOOKUP($E291,LISTINO!$C:$I,5,FALSE),""))</f>
        <v/>
      </c>
      <c r="R291" s="12" t="str">
        <f t="shared" si="4"/>
        <v/>
      </c>
    </row>
    <row r="292" spans="1:18" x14ac:dyDescent="0.3">
      <c r="A292" t="s">
        <v>445</v>
      </c>
      <c r="C292" s="13">
        <v>17</v>
      </c>
      <c r="D292" t="s">
        <v>411</v>
      </c>
      <c r="E292" t="s">
        <v>412</v>
      </c>
      <c r="F292" t="s">
        <v>461</v>
      </c>
      <c r="G292" s="13">
        <v>1</v>
      </c>
      <c r="H292" s="13"/>
      <c r="I292" s="13"/>
      <c r="J292" s="13"/>
      <c r="K292" s="13"/>
      <c r="L292" s="13"/>
      <c r="M292" s="13"/>
      <c r="N292" s="13"/>
      <c r="O292" s="13" t="s">
        <v>434</v>
      </c>
      <c r="P292" s="14"/>
      <c r="Q292" s="12" t="str">
        <f>IFERROR(VLOOKUP($D292,LISTINO!$B:$I,6,FALSE),IFERROR(VLOOKUP($E292,LISTINO!$C:$I,5,FALSE),""))</f>
        <v/>
      </c>
      <c r="R292" s="12" t="str">
        <f t="shared" si="4"/>
        <v/>
      </c>
    </row>
    <row r="293" spans="1:18" x14ac:dyDescent="0.3">
      <c r="A293" t="s">
        <v>445</v>
      </c>
      <c r="C293" s="13">
        <v>18</v>
      </c>
      <c r="D293" t="s">
        <v>397</v>
      </c>
      <c r="E293" t="s">
        <v>484</v>
      </c>
      <c r="F293" t="s">
        <v>449</v>
      </c>
      <c r="G293" s="13">
        <v>4</v>
      </c>
      <c r="H293" s="13"/>
      <c r="I293" s="13"/>
      <c r="J293" s="13"/>
      <c r="K293" s="13"/>
      <c r="L293" s="13"/>
      <c r="M293" s="13"/>
      <c r="N293" s="13"/>
      <c r="O293" s="13" t="s">
        <v>434</v>
      </c>
      <c r="P293" s="14"/>
      <c r="Q293" s="12" t="str">
        <f>IFERROR(VLOOKUP($D293,LISTINO!$B:$I,6,FALSE),IFERROR(VLOOKUP($E293,LISTINO!$C:$I,5,FALSE),""))</f>
        <v/>
      </c>
      <c r="R293" s="12" t="str">
        <f t="shared" si="4"/>
        <v/>
      </c>
    </row>
    <row r="294" spans="1:18" x14ac:dyDescent="0.3">
      <c r="A294" t="s">
        <v>445</v>
      </c>
      <c r="C294" s="13">
        <v>19</v>
      </c>
      <c r="D294" t="s">
        <v>387</v>
      </c>
      <c r="E294" t="s">
        <v>496</v>
      </c>
      <c r="F294" t="s">
        <v>449</v>
      </c>
      <c r="G294" s="13">
        <v>4</v>
      </c>
      <c r="H294" s="13"/>
      <c r="I294" s="13"/>
      <c r="J294" s="13"/>
      <c r="K294" s="13"/>
      <c r="L294" s="13"/>
      <c r="M294" s="13"/>
      <c r="N294" s="13"/>
      <c r="O294" s="13" t="s">
        <v>434</v>
      </c>
      <c r="P294" s="14"/>
      <c r="Q294" s="12" t="str">
        <f>IFERROR(VLOOKUP($D294,LISTINO!$B:$I,6,FALSE),IFERROR(VLOOKUP($E294,LISTINO!$C:$I,5,FALSE),""))</f>
        <v/>
      </c>
      <c r="R294" s="12" t="str">
        <f t="shared" si="4"/>
        <v/>
      </c>
    </row>
    <row r="295" spans="1:18" x14ac:dyDescent="0.3">
      <c r="A295" t="s">
        <v>441</v>
      </c>
      <c r="C295" s="13">
        <v>1</v>
      </c>
      <c r="D295" t="s">
        <v>36</v>
      </c>
      <c r="E295" t="s">
        <v>37</v>
      </c>
      <c r="F295" t="s">
        <v>433</v>
      </c>
      <c r="G295" s="13">
        <v>1</v>
      </c>
      <c r="H295" s="13"/>
      <c r="I295" s="13"/>
      <c r="J295" s="13"/>
      <c r="K295" s="13"/>
      <c r="L295" s="13"/>
      <c r="M295" s="13"/>
      <c r="N295" s="13"/>
      <c r="O295" s="13" t="s">
        <v>434</v>
      </c>
      <c r="P295" s="14"/>
      <c r="Q295" s="12">
        <f>IFERROR(VLOOKUP($D295,LISTINO!$B:$I,6,FALSE),IFERROR(VLOOKUP($E295,LISTINO!$C:$I,5,FALSE),""))</f>
        <v>0</v>
      </c>
      <c r="R295" s="12">
        <f t="shared" si="4"/>
        <v>0</v>
      </c>
    </row>
    <row r="296" spans="1:18" x14ac:dyDescent="0.3">
      <c r="A296" t="s">
        <v>441</v>
      </c>
      <c r="C296" s="13">
        <v>2</v>
      </c>
      <c r="D296" t="s">
        <v>38</v>
      </c>
      <c r="E296" t="s">
        <v>39</v>
      </c>
      <c r="F296" t="s">
        <v>433</v>
      </c>
      <c r="G296" s="13">
        <v>1</v>
      </c>
      <c r="H296" s="13"/>
      <c r="I296" s="13"/>
      <c r="J296" s="13"/>
      <c r="K296" s="13"/>
      <c r="L296" s="13"/>
      <c r="M296" s="13"/>
      <c r="N296" s="13"/>
      <c r="O296" s="13" t="s">
        <v>434</v>
      </c>
      <c r="P296" s="14"/>
      <c r="Q296" s="12">
        <f>IFERROR(VLOOKUP($D296,LISTINO!$B:$I,6,FALSE),IFERROR(VLOOKUP($E296,LISTINO!$C:$I,5,FALSE),""))</f>
        <v>0</v>
      </c>
      <c r="R296" s="12">
        <f t="shared" si="4"/>
        <v>0</v>
      </c>
    </row>
    <row r="297" spans="1:18" x14ac:dyDescent="0.3">
      <c r="A297" t="s">
        <v>441</v>
      </c>
      <c r="C297" s="13">
        <v>3</v>
      </c>
      <c r="D297" t="s">
        <v>373</v>
      </c>
      <c r="E297" t="s">
        <v>367</v>
      </c>
      <c r="F297" t="s">
        <v>449</v>
      </c>
      <c r="G297" s="13">
        <v>2</v>
      </c>
      <c r="H297" s="13"/>
      <c r="I297" s="13"/>
      <c r="J297" s="13"/>
      <c r="K297" s="13"/>
      <c r="L297" s="13"/>
      <c r="M297" s="13"/>
      <c r="N297" s="13"/>
      <c r="O297" s="13" t="s">
        <v>434</v>
      </c>
      <c r="P297" s="14"/>
      <c r="Q297" s="12" t="str">
        <f>IFERROR(VLOOKUP($D297,LISTINO!$B:$I,6,FALSE),IFERROR(VLOOKUP($E297,LISTINO!$C:$I,5,FALSE),""))</f>
        <v/>
      </c>
      <c r="R297" s="12" t="str">
        <f t="shared" si="4"/>
        <v/>
      </c>
    </row>
    <row r="298" spans="1:18" x14ac:dyDescent="0.3">
      <c r="A298" t="s">
        <v>441</v>
      </c>
      <c r="C298" s="13">
        <v>4</v>
      </c>
      <c r="D298" t="s">
        <v>397</v>
      </c>
      <c r="E298" t="s">
        <v>396</v>
      </c>
      <c r="F298" t="s">
        <v>449</v>
      </c>
      <c r="G298" s="13">
        <v>2</v>
      </c>
      <c r="H298" s="13"/>
      <c r="I298" s="13"/>
      <c r="J298" s="13"/>
      <c r="K298" s="13"/>
      <c r="L298" s="13"/>
      <c r="M298" s="13"/>
      <c r="N298" s="13"/>
      <c r="O298" s="13" t="s">
        <v>434</v>
      </c>
      <c r="P298" s="14"/>
      <c r="Q298" s="12" t="str">
        <f>IFERROR(VLOOKUP($D298,LISTINO!$B:$I,6,FALSE),IFERROR(VLOOKUP($E298,LISTINO!$C:$I,5,FALSE),""))</f>
        <v/>
      </c>
      <c r="R298" s="12" t="str">
        <f t="shared" si="4"/>
        <v/>
      </c>
    </row>
    <row r="299" spans="1:18" x14ac:dyDescent="0.3">
      <c r="A299" t="s">
        <v>441</v>
      </c>
      <c r="C299" s="13">
        <v>5</v>
      </c>
      <c r="D299" t="s">
        <v>397</v>
      </c>
      <c r="E299" t="s">
        <v>396</v>
      </c>
      <c r="F299" t="s">
        <v>449</v>
      </c>
      <c r="G299" s="13">
        <v>2</v>
      </c>
      <c r="H299" s="13"/>
      <c r="I299" s="13"/>
      <c r="J299" s="13"/>
      <c r="K299" s="13"/>
      <c r="L299" s="13"/>
      <c r="M299" s="13"/>
      <c r="N299" s="13"/>
      <c r="O299" s="13" t="s">
        <v>434</v>
      </c>
      <c r="P299" s="14"/>
      <c r="Q299" s="12" t="str">
        <f>IFERROR(VLOOKUP($D299,LISTINO!$B:$I,6,FALSE),IFERROR(VLOOKUP($E299,LISTINO!$C:$I,5,FALSE),""))</f>
        <v/>
      </c>
      <c r="R299" s="12" t="str">
        <f t="shared" si="4"/>
        <v/>
      </c>
    </row>
    <row r="300" spans="1:18" x14ac:dyDescent="0.3">
      <c r="A300" t="s">
        <v>441</v>
      </c>
      <c r="C300" s="13">
        <v>6</v>
      </c>
      <c r="D300" t="s">
        <v>387</v>
      </c>
      <c r="E300" t="s">
        <v>494</v>
      </c>
      <c r="F300" t="s">
        <v>449</v>
      </c>
      <c r="G300" s="13">
        <v>2</v>
      </c>
      <c r="H300" s="13"/>
      <c r="I300" s="13"/>
      <c r="J300" s="13"/>
      <c r="K300" s="13"/>
      <c r="L300" s="13"/>
      <c r="M300" s="13"/>
      <c r="N300" s="13"/>
      <c r="O300" s="13" t="s">
        <v>434</v>
      </c>
      <c r="P300" s="14"/>
      <c r="Q300" s="12" t="str">
        <f>IFERROR(VLOOKUP($D300,LISTINO!$B:$I,6,FALSE),IFERROR(VLOOKUP($E300,LISTINO!$C:$I,5,FALSE),""))</f>
        <v/>
      </c>
      <c r="R300" s="12" t="str">
        <f t="shared" si="4"/>
        <v/>
      </c>
    </row>
    <row r="301" spans="1:18" x14ac:dyDescent="0.3">
      <c r="A301" t="s">
        <v>441</v>
      </c>
      <c r="C301" s="13">
        <v>7</v>
      </c>
      <c r="D301" t="s">
        <v>373</v>
      </c>
      <c r="E301" t="s">
        <v>367</v>
      </c>
      <c r="F301" t="s">
        <v>449</v>
      </c>
      <c r="G301" s="13">
        <v>4</v>
      </c>
      <c r="H301" s="13"/>
      <c r="I301" s="13"/>
      <c r="J301" s="13"/>
      <c r="K301" s="13"/>
      <c r="L301" s="13"/>
      <c r="M301" s="13"/>
      <c r="N301" s="13"/>
      <c r="O301" s="13" t="s">
        <v>434</v>
      </c>
      <c r="P301" s="14"/>
      <c r="Q301" s="12" t="str">
        <f>IFERROR(VLOOKUP($D301,LISTINO!$B:$I,6,FALSE),IFERROR(VLOOKUP($E301,LISTINO!$C:$I,5,FALSE),""))</f>
        <v/>
      </c>
      <c r="R301" s="12" t="str">
        <f t="shared" si="4"/>
        <v/>
      </c>
    </row>
    <row r="302" spans="1:18" x14ac:dyDescent="0.3">
      <c r="A302" t="s">
        <v>441</v>
      </c>
      <c r="C302" s="13">
        <v>8</v>
      </c>
      <c r="D302" t="s">
        <v>397</v>
      </c>
      <c r="E302" t="s">
        <v>396</v>
      </c>
      <c r="F302" t="s">
        <v>449</v>
      </c>
      <c r="G302" s="13">
        <v>2</v>
      </c>
      <c r="H302" s="13"/>
      <c r="I302" s="13"/>
      <c r="J302" s="13"/>
      <c r="K302" s="13"/>
      <c r="L302" s="13"/>
      <c r="M302" s="13"/>
      <c r="N302" s="13"/>
      <c r="O302" s="13" t="s">
        <v>434</v>
      </c>
      <c r="P302" s="14"/>
      <c r="Q302" s="12" t="str">
        <f>IFERROR(VLOOKUP($D302,LISTINO!$B:$I,6,FALSE),IFERROR(VLOOKUP($E302,LISTINO!$C:$I,5,FALSE),""))</f>
        <v/>
      </c>
      <c r="R302" s="12" t="str">
        <f t="shared" si="4"/>
        <v/>
      </c>
    </row>
    <row r="303" spans="1:18" x14ac:dyDescent="0.3">
      <c r="A303" t="s">
        <v>441</v>
      </c>
      <c r="C303" s="13">
        <v>9</v>
      </c>
      <c r="D303" t="s">
        <v>397</v>
      </c>
      <c r="E303" t="s">
        <v>396</v>
      </c>
      <c r="F303" t="s">
        <v>449</v>
      </c>
      <c r="G303" s="13">
        <v>2</v>
      </c>
      <c r="H303" s="13"/>
      <c r="I303" s="13"/>
      <c r="J303" s="13"/>
      <c r="K303" s="13"/>
      <c r="L303" s="13"/>
      <c r="M303" s="13"/>
      <c r="N303" s="13"/>
      <c r="O303" s="13" t="s">
        <v>434</v>
      </c>
      <c r="P303" s="14"/>
      <c r="Q303" s="12" t="str">
        <f>IFERROR(VLOOKUP($D303,LISTINO!$B:$I,6,FALSE),IFERROR(VLOOKUP($E303,LISTINO!$C:$I,5,FALSE),""))</f>
        <v/>
      </c>
      <c r="R303" s="12" t="str">
        <f t="shared" si="4"/>
        <v/>
      </c>
    </row>
    <row r="304" spans="1:18" x14ac:dyDescent="0.3">
      <c r="A304" t="s">
        <v>441</v>
      </c>
      <c r="C304" s="13">
        <v>10</v>
      </c>
      <c r="D304" t="s">
        <v>387</v>
      </c>
      <c r="E304" t="s">
        <v>494</v>
      </c>
      <c r="F304" t="s">
        <v>449</v>
      </c>
      <c r="G304" s="13">
        <v>2</v>
      </c>
      <c r="H304" s="13"/>
      <c r="I304" s="13"/>
      <c r="J304" s="13"/>
      <c r="K304" s="13"/>
      <c r="L304" s="13"/>
      <c r="M304" s="13"/>
      <c r="N304" s="13"/>
      <c r="O304" s="13" t="s">
        <v>434</v>
      </c>
      <c r="P304" s="14"/>
      <c r="Q304" s="12" t="str">
        <f>IFERROR(VLOOKUP($D304,LISTINO!$B:$I,6,FALSE),IFERROR(VLOOKUP($E304,LISTINO!$C:$I,5,FALSE),""))</f>
        <v/>
      </c>
      <c r="R304" s="12" t="str">
        <f t="shared" si="4"/>
        <v/>
      </c>
    </row>
    <row r="305" spans="1:18" x14ac:dyDescent="0.3">
      <c r="A305" t="s">
        <v>441</v>
      </c>
      <c r="C305" s="13">
        <v>11</v>
      </c>
      <c r="D305" t="s">
        <v>40</v>
      </c>
      <c r="E305" t="s">
        <v>41</v>
      </c>
      <c r="F305" t="s">
        <v>433</v>
      </c>
      <c r="G305" s="13">
        <v>1</v>
      </c>
      <c r="H305" s="13"/>
      <c r="I305" s="13"/>
      <c r="J305" s="13"/>
      <c r="K305" s="13"/>
      <c r="L305" s="13"/>
      <c r="M305" s="13"/>
      <c r="N305" s="13"/>
      <c r="O305" s="13" t="s">
        <v>434</v>
      </c>
      <c r="P305" s="14"/>
      <c r="Q305" s="12">
        <f>IFERROR(VLOOKUP($D305,LISTINO!$B:$I,6,FALSE),IFERROR(VLOOKUP($E305,LISTINO!$C:$I,5,FALSE),""))</f>
        <v>0</v>
      </c>
      <c r="R305" s="12">
        <f t="shared" si="4"/>
        <v>0</v>
      </c>
    </row>
    <row r="306" spans="1:18" x14ac:dyDescent="0.3">
      <c r="A306" t="s">
        <v>441</v>
      </c>
      <c r="C306" s="13">
        <v>12</v>
      </c>
      <c r="D306" t="s">
        <v>77</v>
      </c>
      <c r="E306" t="s">
        <v>78</v>
      </c>
      <c r="F306" t="s">
        <v>433</v>
      </c>
      <c r="G306" s="13">
        <v>1</v>
      </c>
      <c r="H306" s="13"/>
      <c r="I306" s="13"/>
      <c r="J306" s="13"/>
      <c r="K306" s="13"/>
      <c r="L306" s="13"/>
      <c r="M306" s="13"/>
      <c r="N306" s="13" t="s">
        <v>498</v>
      </c>
      <c r="O306" s="13" t="s">
        <v>434</v>
      </c>
      <c r="P306" s="14"/>
      <c r="Q306" s="12">
        <f>IFERROR(VLOOKUP($D306,LISTINO!$B:$I,6,FALSE),IFERROR(VLOOKUP($E306,LISTINO!$C:$I,5,FALSE),""))</f>
        <v>0</v>
      </c>
      <c r="R306" s="12">
        <f t="shared" si="4"/>
        <v>0</v>
      </c>
    </row>
    <row r="307" spans="1:18" x14ac:dyDescent="0.3">
      <c r="A307" t="s">
        <v>441</v>
      </c>
      <c r="C307" s="13">
        <v>12</v>
      </c>
      <c r="D307" t="s">
        <v>119</v>
      </c>
      <c r="E307" t="s">
        <v>120</v>
      </c>
      <c r="F307" t="s">
        <v>433</v>
      </c>
      <c r="G307" s="13">
        <v>0</v>
      </c>
      <c r="H307" s="13"/>
      <c r="I307" s="13"/>
      <c r="J307" s="13"/>
      <c r="K307" s="13"/>
      <c r="L307" s="13"/>
      <c r="M307" s="13"/>
      <c r="N307" s="13"/>
      <c r="O307" s="13" t="s">
        <v>434</v>
      </c>
      <c r="P307" s="14"/>
      <c r="Q307" s="12">
        <f>IFERROR(VLOOKUP($D307,LISTINO!$B:$I,6,FALSE),IFERROR(VLOOKUP($E307,LISTINO!$C:$I,5,FALSE),""))</f>
        <v>0</v>
      </c>
      <c r="R307" s="12">
        <f t="shared" si="4"/>
        <v>0</v>
      </c>
    </row>
    <row r="308" spans="1:18" x14ac:dyDescent="0.3">
      <c r="A308" t="s">
        <v>440</v>
      </c>
      <c r="C308" s="13">
        <v>1</v>
      </c>
      <c r="D308" t="s">
        <v>371</v>
      </c>
      <c r="E308" t="s">
        <v>372</v>
      </c>
      <c r="F308" t="s">
        <v>449</v>
      </c>
      <c r="G308" s="13">
        <v>2</v>
      </c>
      <c r="H308" s="13"/>
      <c r="I308" s="13"/>
      <c r="J308" s="13"/>
      <c r="K308" s="13"/>
      <c r="L308" s="13"/>
      <c r="M308" s="13"/>
      <c r="N308" s="13"/>
      <c r="O308" s="13" t="s">
        <v>434</v>
      </c>
      <c r="P308" s="14"/>
      <c r="Q308" s="12" t="str">
        <f>IFERROR(VLOOKUP($D308,LISTINO!$B:$I,6,FALSE),IFERROR(VLOOKUP($E308,LISTINO!$C:$I,5,FALSE),""))</f>
        <v/>
      </c>
      <c r="R308" s="12" t="str">
        <f t="shared" si="4"/>
        <v/>
      </c>
    </row>
    <row r="309" spans="1:18" x14ac:dyDescent="0.3">
      <c r="A309" t="s">
        <v>440</v>
      </c>
      <c r="C309" s="13">
        <v>2</v>
      </c>
      <c r="D309" t="s">
        <v>397</v>
      </c>
      <c r="E309" t="s">
        <v>484</v>
      </c>
      <c r="F309" t="s">
        <v>449</v>
      </c>
      <c r="G309" s="13">
        <v>2</v>
      </c>
      <c r="H309" s="13"/>
      <c r="I309" s="13"/>
      <c r="J309" s="13"/>
      <c r="K309" s="13"/>
      <c r="L309" s="13"/>
      <c r="M309" s="13"/>
      <c r="N309" s="13"/>
      <c r="O309" s="13" t="s">
        <v>434</v>
      </c>
      <c r="P309" s="14"/>
      <c r="Q309" s="12" t="str">
        <f>IFERROR(VLOOKUP($D309,LISTINO!$B:$I,6,FALSE),IFERROR(VLOOKUP($E309,LISTINO!$C:$I,5,FALSE),""))</f>
        <v/>
      </c>
      <c r="R309" s="12" t="str">
        <f t="shared" si="4"/>
        <v/>
      </c>
    </row>
    <row r="310" spans="1:18" x14ac:dyDescent="0.3">
      <c r="A310" t="s">
        <v>440</v>
      </c>
      <c r="C310" s="13">
        <v>3</v>
      </c>
      <c r="D310" t="s">
        <v>30</v>
      </c>
      <c r="E310" t="s">
        <v>31</v>
      </c>
      <c r="F310" t="s">
        <v>433</v>
      </c>
      <c r="G310" s="13">
        <v>1</v>
      </c>
      <c r="H310" s="13"/>
      <c r="I310" s="13"/>
      <c r="J310" s="13"/>
      <c r="K310" s="13"/>
      <c r="L310" s="13"/>
      <c r="M310" s="13"/>
      <c r="N310" s="13"/>
      <c r="O310" s="13" t="s">
        <v>434</v>
      </c>
      <c r="P310" s="14"/>
      <c r="Q310" s="12">
        <f>IFERROR(VLOOKUP($D310,LISTINO!$B:$I,6,FALSE),IFERROR(VLOOKUP($E310,LISTINO!$C:$I,5,FALSE),""))</f>
        <v>0</v>
      </c>
      <c r="R310" s="12">
        <f t="shared" si="4"/>
        <v>0</v>
      </c>
    </row>
    <row r="311" spans="1:18" x14ac:dyDescent="0.3">
      <c r="A311" t="s">
        <v>440</v>
      </c>
      <c r="C311" s="13">
        <v>4</v>
      </c>
      <c r="D311" t="s">
        <v>34</v>
      </c>
      <c r="E311" t="s">
        <v>35</v>
      </c>
      <c r="F311" t="s">
        <v>433</v>
      </c>
      <c r="G311" s="13">
        <v>1</v>
      </c>
      <c r="H311" s="13"/>
      <c r="I311" s="13"/>
      <c r="J311" s="13"/>
      <c r="K311" s="13"/>
      <c r="L311" s="13"/>
      <c r="M311" s="13"/>
      <c r="N311" s="13"/>
      <c r="O311" s="13" t="s">
        <v>434</v>
      </c>
      <c r="P311" s="14"/>
      <c r="Q311" s="12">
        <f>IFERROR(VLOOKUP($D311,LISTINO!$B:$I,6,FALSE),IFERROR(VLOOKUP($E311,LISTINO!$C:$I,5,FALSE),""))</f>
        <v>0</v>
      </c>
      <c r="R311" s="12">
        <f t="shared" si="4"/>
        <v>0</v>
      </c>
    </row>
    <row r="312" spans="1:18" x14ac:dyDescent="0.3">
      <c r="A312" t="s">
        <v>440</v>
      </c>
      <c r="C312" s="13">
        <v>5</v>
      </c>
      <c r="D312" t="s">
        <v>397</v>
      </c>
      <c r="E312" t="s">
        <v>484</v>
      </c>
      <c r="F312" t="s">
        <v>449</v>
      </c>
      <c r="G312" s="13">
        <v>2</v>
      </c>
      <c r="H312" s="13"/>
      <c r="I312" s="13"/>
      <c r="J312" s="13"/>
      <c r="K312" s="13"/>
      <c r="L312" s="13"/>
      <c r="M312" s="13"/>
      <c r="N312" s="13"/>
      <c r="O312" s="13" t="s">
        <v>434</v>
      </c>
      <c r="P312" s="14"/>
      <c r="Q312" s="12" t="str">
        <f>IFERROR(VLOOKUP($D312,LISTINO!$B:$I,6,FALSE),IFERROR(VLOOKUP($E312,LISTINO!$C:$I,5,FALSE),""))</f>
        <v/>
      </c>
      <c r="R312" s="12" t="str">
        <f t="shared" si="4"/>
        <v/>
      </c>
    </row>
    <row r="313" spans="1:18" x14ac:dyDescent="0.3">
      <c r="A313" t="s">
        <v>440</v>
      </c>
      <c r="C313" s="13">
        <v>6</v>
      </c>
      <c r="D313" t="s">
        <v>387</v>
      </c>
      <c r="E313" t="s">
        <v>496</v>
      </c>
      <c r="F313" t="s">
        <v>449</v>
      </c>
      <c r="G313" s="13">
        <v>2</v>
      </c>
      <c r="H313" s="13"/>
      <c r="I313" s="13"/>
      <c r="J313" s="13"/>
      <c r="K313" s="13"/>
      <c r="L313" s="13"/>
      <c r="M313" s="13"/>
      <c r="N313" s="13"/>
      <c r="O313" s="13" t="s">
        <v>434</v>
      </c>
      <c r="P313" s="14"/>
      <c r="Q313" s="12" t="str">
        <f>IFERROR(VLOOKUP($D313,LISTINO!$B:$I,6,FALSE),IFERROR(VLOOKUP($E313,LISTINO!$C:$I,5,FALSE),""))</f>
        <v/>
      </c>
      <c r="R313" s="12" t="str">
        <f t="shared" si="4"/>
        <v/>
      </c>
    </row>
    <row r="314" spans="1:18" x14ac:dyDescent="0.3">
      <c r="A314" t="s">
        <v>440</v>
      </c>
      <c r="C314" s="13">
        <v>7</v>
      </c>
      <c r="D314" t="s">
        <v>375</v>
      </c>
      <c r="E314" t="s">
        <v>376</v>
      </c>
      <c r="F314" t="s">
        <v>449</v>
      </c>
      <c r="G314" s="13">
        <v>4</v>
      </c>
      <c r="H314" s="13"/>
      <c r="I314" s="13"/>
      <c r="J314" s="13"/>
      <c r="K314" s="13"/>
      <c r="L314" s="13"/>
      <c r="M314" s="13"/>
      <c r="N314" s="13"/>
      <c r="O314" s="13" t="s">
        <v>434</v>
      </c>
      <c r="P314" s="14"/>
      <c r="Q314" s="12" t="str">
        <f>IFERROR(VLOOKUP($D314,LISTINO!$B:$I,6,FALSE),IFERROR(VLOOKUP($E314,LISTINO!$C:$I,5,FALSE),""))</f>
        <v/>
      </c>
      <c r="R314" s="12" t="str">
        <f t="shared" si="4"/>
        <v/>
      </c>
    </row>
    <row r="315" spans="1:18" x14ac:dyDescent="0.3">
      <c r="A315" t="s">
        <v>440</v>
      </c>
      <c r="C315" s="13">
        <v>8</v>
      </c>
      <c r="D315" t="s">
        <v>397</v>
      </c>
      <c r="E315" t="s">
        <v>484</v>
      </c>
      <c r="F315" t="s">
        <v>449</v>
      </c>
      <c r="G315" s="13">
        <v>4</v>
      </c>
      <c r="H315" s="13"/>
      <c r="I315" s="13"/>
      <c r="J315" s="13"/>
      <c r="K315" s="13"/>
      <c r="L315" s="13"/>
      <c r="M315" s="13"/>
      <c r="N315" s="13"/>
      <c r="O315" s="13" t="s">
        <v>434</v>
      </c>
      <c r="P315" s="14"/>
      <c r="Q315" s="12" t="str">
        <f>IFERROR(VLOOKUP($D315,LISTINO!$B:$I,6,FALSE),IFERROR(VLOOKUP($E315,LISTINO!$C:$I,5,FALSE),""))</f>
        <v/>
      </c>
      <c r="R315" s="12" t="str">
        <f t="shared" si="4"/>
        <v/>
      </c>
    </row>
    <row r="316" spans="1:18" x14ac:dyDescent="0.3">
      <c r="A316" t="s">
        <v>440</v>
      </c>
      <c r="C316" s="13">
        <v>9</v>
      </c>
      <c r="D316" t="s">
        <v>32</v>
      </c>
      <c r="E316" t="s">
        <v>33</v>
      </c>
      <c r="F316" t="s">
        <v>433</v>
      </c>
      <c r="G316" s="13">
        <v>1</v>
      </c>
      <c r="H316" s="13"/>
      <c r="I316" s="13"/>
      <c r="J316" s="13"/>
      <c r="K316" s="13"/>
      <c r="L316" s="13"/>
      <c r="M316" s="13"/>
      <c r="N316" s="13"/>
      <c r="O316" s="13" t="s">
        <v>434</v>
      </c>
      <c r="P316" s="14"/>
      <c r="Q316" s="12">
        <f>IFERROR(VLOOKUP($D316,LISTINO!$B:$I,6,FALSE),IFERROR(VLOOKUP($E316,LISTINO!$C:$I,5,FALSE),""))</f>
        <v>0</v>
      </c>
      <c r="R316" s="12">
        <f t="shared" si="4"/>
        <v>0</v>
      </c>
    </row>
    <row r="317" spans="1:18" x14ac:dyDescent="0.3">
      <c r="A317" t="s">
        <v>440</v>
      </c>
      <c r="C317" s="13">
        <v>10</v>
      </c>
      <c r="D317" t="s">
        <v>75</v>
      </c>
      <c r="E317" t="s">
        <v>76</v>
      </c>
      <c r="F317" t="s">
        <v>433</v>
      </c>
      <c r="G317" s="13">
        <v>1</v>
      </c>
      <c r="H317" s="13"/>
      <c r="I317" s="13"/>
      <c r="J317" s="13"/>
      <c r="K317" s="13"/>
      <c r="L317" s="13"/>
      <c r="M317" s="13"/>
      <c r="N317" s="13"/>
      <c r="O317" s="13" t="s">
        <v>434</v>
      </c>
      <c r="P317" s="14"/>
      <c r="Q317" s="12">
        <f>IFERROR(VLOOKUP($D317,LISTINO!$B:$I,6,FALSE),IFERROR(VLOOKUP($E317,LISTINO!$C:$I,5,FALSE),""))</f>
        <v>0</v>
      </c>
      <c r="R317" s="12">
        <f t="shared" si="4"/>
        <v>0</v>
      </c>
    </row>
    <row r="318" spans="1:18" x14ac:dyDescent="0.3">
      <c r="A318" t="s">
        <v>440</v>
      </c>
      <c r="C318" s="13">
        <v>10</v>
      </c>
      <c r="D318" t="s">
        <v>117</v>
      </c>
      <c r="E318" t="s">
        <v>118</v>
      </c>
      <c r="F318" t="s">
        <v>433</v>
      </c>
      <c r="G318" s="13">
        <v>0</v>
      </c>
      <c r="H318" s="13"/>
      <c r="I318" s="13"/>
      <c r="J318" s="13"/>
      <c r="K318" s="13"/>
      <c r="L318" s="13"/>
      <c r="M318" s="13"/>
      <c r="N318" s="13"/>
      <c r="O318" s="13" t="s">
        <v>434</v>
      </c>
      <c r="P318" s="14"/>
      <c r="Q318" s="12">
        <f>IFERROR(VLOOKUP($D318,LISTINO!$B:$I,6,FALSE),IFERROR(VLOOKUP($E318,LISTINO!$C:$I,5,FALSE),""))</f>
        <v>0</v>
      </c>
      <c r="R318" s="12">
        <f t="shared" si="4"/>
        <v>0</v>
      </c>
    </row>
    <row r="319" spans="1:18" x14ac:dyDescent="0.3">
      <c r="A319" t="s">
        <v>440</v>
      </c>
      <c r="C319" s="13">
        <v>11</v>
      </c>
      <c r="D319" t="s">
        <v>397</v>
      </c>
      <c r="E319" t="s">
        <v>484</v>
      </c>
      <c r="F319" t="s">
        <v>449</v>
      </c>
      <c r="G319" s="13">
        <v>4</v>
      </c>
      <c r="H319" s="13"/>
      <c r="I319" s="13"/>
      <c r="J319" s="13"/>
      <c r="K319" s="13"/>
      <c r="L319" s="13"/>
      <c r="M319" s="13"/>
      <c r="N319" s="13"/>
      <c r="O319" s="13" t="s">
        <v>434</v>
      </c>
      <c r="P319" s="14"/>
      <c r="Q319" s="12" t="str">
        <f>IFERROR(VLOOKUP($D319,LISTINO!$B:$I,6,FALSE),IFERROR(VLOOKUP($E319,LISTINO!$C:$I,5,FALSE),""))</f>
        <v/>
      </c>
      <c r="R319" s="12" t="str">
        <f t="shared" si="4"/>
        <v/>
      </c>
    </row>
    <row r="320" spans="1:18" x14ac:dyDescent="0.3">
      <c r="A320" t="s">
        <v>440</v>
      </c>
      <c r="C320" s="13">
        <v>12</v>
      </c>
      <c r="D320" t="s">
        <v>387</v>
      </c>
      <c r="E320" t="s">
        <v>496</v>
      </c>
      <c r="F320" t="s">
        <v>449</v>
      </c>
      <c r="G320" s="13">
        <v>4</v>
      </c>
      <c r="H320" s="13"/>
      <c r="I320" s="13"/>
      <c r="J320" s="13"/>
      <c r="K320" s="13"/>
      <c r="L320" s="13"/>
      <c r="M320" s="13"/>
      <c r="N320" s="13"/>
      <c r="O320" s="13" t="s">
        <v>434</v>
      </c>
      <c r="P320" s="14"/>
      <c r="Q320" s="12" t="str">
        <f>IFERROR(VLOOKUP($D320,LISTINO!$B:$I,6,FALSE),IFERROR(VLOOKUP($E320,LISTINO!$C:$I,5,FALSE),""))</f>
        <v/>
      </c>
      <c r="R320" s="12" t="str">
        <f t="shared" si="4"/>
        <v/>
      </c>
    </row>
    <row r="321" spans="1:18" x14ac:dyDescent="0.3">
      <c r="A321" t="s">
        <v>447</v>
      </c>
      <c r="B321" t="s">
        <v>499</v>
      </c>
      <c r="C321" s="13">
        <v>1</v>
      </c>
      <c r="D321" t="s">
        <v>50</v>
      </c>
      <c r="E321" t="s">
        <v>51</v>
      </c>
      <c r="F321" t="s">
        <v>433</v>
      </c>
      <c r="G321" s="13">
        <v>1</v>
      </c>
      <c r="H321" s="13"/>
      <c r="I321" s="13"/>
      <c r="J321" s="13"/>
      <c r="K321" s="13"/>
      <c r="L321" s="13"/>
      <c r="M321" s="13"/>
      <c r="N321" s="13"/>
      <c r="O321" s="13" t="s">
        <v>434</v>
      </c>
      <c r="P321" s="14"/>
      <c r="Q321" s="12">
        <f>IFERROR(VLOOKUP($D321,LISTINO!$B:$I,6,FALSE),IFERROR(VLOOKUP($E321,LISTINO!$C:$I,5,FALSE),""))</f>
        <v>0</v>
      </c>
      <c r="R321" s="12">
        <f t="shared" si="4"/>
        <v>0</v>
      </c>
    </row>
    <row r="322" spans="1:18" x14ac:dyDescent="0.3">
      <c r="A322" t="s">
        <v>447</v>
      </c>
      <c r="B322" t="s">
        <v>499</v>
      </c>
      <c r="C322" s="13">
        <v>2</v>
      </c>
      <c r="D322" t="s">
        <v>415</v>
      </c>
      <c r="E322" t="s">
        <v>416</v>
      </c>
      <c r="F322" t="s">
        <v>462</v>
      </c>
      <c r="G322" s="13">
        <v>1</v>
      </c>
      <c r="H322" s="13"/>
      <c r="I322" s="13"/>
      <c r="J322" s="13"/>
      <c r="K322" s="13"/>
      <c r="L322" s="13"/>
      <c r="M322" s="13"/>
      <c r="N322" s="13"/>
      <c r="O322" s="13" t="s">
        <v>434</v>
      </c>
      <c r="P322" s="14"/>
      <c r="Q322" s="12" t="str">
        <f>IFERROR(VLOOKUP($D322,LISTINO!$B:$I,6,FALSE),IFERROR(VLOOKUP($E322,LISTINO!$C:$I,5,FALSE),""))</f>
        <v/>
      </c>
      <c r="R322" s="12" t="str">
        <f t="shared" ref="R322:R385" si="5">IF(AND(ISNUMBER(G322),ISNUMBER(Q322)),G322*Q322,"")</f>
        <v/>
      </c>
    </row>
    <row r="323" spans="1:18" x14ac:dyDescent="0.3">
      <c r="A323" t="s">
        <v>447</v>
      </c>
      <c r="B323" t="s">
        <v>499</v>
      </c>
      <c r="C323" s="13">
        <v>3</v>
      </c>
      <c r="D323" t="s">
        <v>419</v>
      </c>
      <c r="E323" t="s">
        <v>420</v>
      </c>
      <c r="F323" t="s">
        <v>462</v>
      </c>
      <c r="G323" s="13">
        <v>1</v>
      </c>
      <c r="H323" s="13"/>
      <c r="I323" s="13"/>
      <c r="J323" s="13"/>
      <c r="K323" s="13"/>
      <c r="L323" s="13"/>
      <c r="M323" s="13"/>
      <c r="N323" s="13"/>
      <c r="O323" s="13" t="s">
        <v>434</v>
      </c>
      <c r="P323" s="14"/>
      <c r="Q323" s="12" t="str">
        <f>IFERROR(VLOOKUP($D323,LISTINO!$B:$I,6,FALSE),IFERROR(VLOOKUP($E323,LISTINO!$C:$I,5,FALSE),""))</f>
        <v/>
      </c>
      <c r="R323" s="12" t="str">
        <f t="shared" si="5"/>
        <v/>
      </c>
    </row>
    <row r="324" spans="1:18" x14ac:dyDescent="0.3">
      <c r="A324" t="s">
        <v>447</v>
      </c>
      <c r="B324" t="s">
        <v>499</v>
      </c>
      <c r="C324" s="13">
        <v>4</v>
      </c>
      <c r="D324" t="s">
        <v>395</v>
      </c>
      <c r="E324" t="s">
        <v>396</v>
      </c>
      <c r="F324" t="s">
        <v>449</v>
      </c>
      <c r="G324" s="13">
        <v>2</v>
      </c>
      <c r="H324" s="13"/>
      <c r="I324" s="13"/>
      <c r="J324" s="13"/>
      <c r="K324" s="13"/>
      <c r="L324" s="13"/>
      <c r="M324" s="13"/>
      <c r="N324" s="13"/>
      <c r="O324" s="13" t="s">
        <v>434</v>
      </c>
      <c r="P324" s="14"/>
      <c r="Q324" s="12" t="str">
        <f>IFERROR(VLOOKUP($D324,LISTINO!$B:$I,6,FALSE),IFERROR(VLOOKUP($E324,LISTINO!$C:$I,5,FALSE),""))</f>
        <v/>
      </c>
      <c r="R324" s="12" t="str">
        <f t="shared" si="5"/>
        <v/>
      </c>
    </row>
    <row r="325" spans="1:18" x14ac:dyDescent="0.3">
      <c r="A325" t="s">
        <v>447</v>
      </c>
      <c r="B325" t="s">
        <v>499</v>
      </c>
      <c r="C325" s="13">
        <v>5</v>
      </c>
      <c r="D325" t="s">
        <v>368</v>
      </c>
      <c r="E325" t="s">
        <v>367</v>
      </c>
      <c r="F325" t="s">
        <v>449</v>
      </c>
      <c r="G325" s="13">
        <v>2</v>
      </c>
      <c r="H325" s="13"/>
      <c r="I325" s="13"/>
      <c r="J325" s="13"/>
      <c r="K325" s="13"/>
      <c r="L325" s="13"/>
      <c r="M325" s="13"/>
      <c r="N325" s="13"/>
      <c r="O325" s="13" t="s">
        <v>434</v>
      </c>
      <c r="P325" s="14"/>
      <c r="Q325" s="12" t="str">
        <f>IFERROR(VLOOKUP($D325,LISTINO!$B:$I,6,FALSE),IFERROR(VLOOKUP($E325,LISTINO!$C:$I,5,FALSE),""))</f>
        <v/>
      </c>
      <c r="R325" s="12" t="str">
        <f t="shared" si="5"/>
        <v/>
      </c>
    </row>
    <row r="326" spans="1:18" x14ac:dyDescent="0.3">
      <c r="A326" t="s">
        <v>447</v>
      </c>
      <c r="B326" t="s">
        <v>499</v>
      </c>
      <c r="C326" s="13">
        <v>4</v>
      </c>
      <c r="D326" t="s">
        <v>395</v>
      </c>
      <c r="E326" t="s">
        <v>396</v>
      </c>
      <c r="F326" t="s">
        <v>449</v>
      </c>
      <c r="G326" s="13">
        <v>2</v>
      </c>
      <c r="H326" s="13"/>
      <c r="I326" s="13"/>
      <c r="J326" s="13"/>
      <c r="K326" s="13"/>
      <c r="L326" s="13"/>
      <c r="M326" s="13"/>
      <c r="N326" s="13"/>
      <c r="O326" s="13" t="s">
        <v>434</v>
      </c>
      <c r="P326" s="14"/>
      <c r="Q326" s="12" t="str">
        <f>IFERROR(VLOOKUP($D326,LISTINO!$B:$I,6,FALSE),IFERROR(VLOOKUP($E326,LISTINO!$C:$I,5,FALSE),""))</f>
        <v/>
      </c>
      <c r="R326" s="12" t="str">
        <f t="shared" si="5"/>
        <v/>
      </c>
    </row>
    <row r="327" spans="1:18" x14ac:dyDescent="0.3">
      <c r="A327" t="s">
        <v>447</v>
      </c>
      <c r="B327" t="s">
        <v>499</v>
      </c>
      <c r="C327" s="13">
        <v>6</v>
      </c>
      <c r="D327" t="s">
        <v>385</v>
      </c>
      <c r="E327" t="s">
        <v>494</v>
      </c>
      <c r="F327" t="s">
        <v>449</v>
      </c>
      <c r="G327" s="13">
        <v>2</v>
      </c>
      <c r="H327" s="13"/>
      <c r="I327" s="13"/>
      <c r="J327" s="13"/>
      <c r="K327" s="13"/>
      <c r="L327" s="13"/>
      <c r="M327" s="13"/>
      <c r="N327" s="13"/>
      <c r="O327" s="13" t="s">
        <v>434</v>
      </c>
      <c r="P327" s="14"/>
      <c r="Q327" s="12" t="str">
        <f>IFERROR(VLOOKUP($D327,LISTINO!$B:$I,6,FALSE),IFERROR(VLOOKUP($E327,LISTINO!$C:$I,5,FALSE),""))</f>
        <v/>
      </c>
      <c r="R327" s="12" t="str">
        <f t="shared" si="5"/>
        <v/>
      </c>
    </row>
    <row r="328" spans="1:18" x14ac:dyDescent="0.3">
      <c r="A328" t="s">
        <v>447</v>
      </c>
      <c r="B328" t="s">
        <v>500</v>
      </c>
      <c r="C328" s="13">
        <v>1</v>
      </c>
      <c r="D328" t="s">
        <v>421</v>
      </c>
      <c r="E328" t="s">
        <v>422</v>
      </c>
      <c r="F328" t="s">
        <v>462</v>
      </c>
      <c r="G328" s="13">
        <v>1</v>
      </c>
      <c r="H328" s="13"/>
      <c r="I328" s="13"/>
      <c r="J328" s="13"/>
      <c r="K328" s="13"/>
      <c r="L328" s="13"/>
      <c r="M328" s="13"/>
      <c r="N328" s="13"/>
      <c r="O328" s="13" t="s">
        <v>434</v>
      </c>
      <c r="P328" s="14"/>
      <c r="Q328" s="12" t="str">
        <f>IFERROR(VLOOKUP($D328,LISTINO!$B:$I,6,FALSE),IFERROR(VLOOKUP($E328,LISTINO!$C:$I,5,FALSE),""))</f>
        <v/>
      </c>
      <c r="R328" s="12" t="str">
        <f t="shared" si="5"/>
        <v/>
      </c>
    </row>
    <row r="329" spans="1:18" x14ac:dyDescent="0.3">
      <c r="A329" t="s">
        <v>447</v>
      </c>
      <c r="B329" t="s">
        <v>500</v>
      </c>
      <c r="C329" s="13">
        <v>2</v>
      </c>
      <c r="E329" t="s">
        <v>465</v>
      </c>
      <c r="F329" t="s">
        <v>464</v>
      </c>
      <c r="G329" s="13"/>
      <c r="H329" s="13"/>
      <c r="I329" s="13"/>
      <c r="J329" s="13"/>
      <c r="K329" s="13"/>
      <c r="L329" s="13"/>
      <c r="M329" s="13"/>
      <c r="N329" s="13"/>
      <c r="O329" s="13" t="s">
        <v>434</v>
      </c>
      <c r="P329" s="14"/>
      <c r="Q329" s="12">
        <f>IFERROR(VLOOKUP($D329,LISTINO!$B:$I,6,FALSE),IFERROR(VLOOKUP($E329,LISTINO!$C:$I,5,FALSE),""))</f>
        <v>0</v>
      </c>
      <c r="R329" s="12" t="str">
        <f t="shared" si="5"/>
        <v/>
      </c>
    </row>
    <row r="330" spans="1:18" x14ac:dyDescent="0.3">
      <c r="A330" t="s">
        <v>447</v>
      </c>
      <c r="B330" t="s">
        <v>500</v>
      </c>
      <c r="C330" s="13">
        <v>3</v>
      </c>
      <c r="D330" t="s">
        <v>52</v>
      </c>
      <c r="E330" t="s">
        <v>53</v>
      </c>
      <c r="F330" t="s">
        <v>433</v>
      </c>
      <c r="G330" s="13">
        <v>1</v>
      </c>
      <c r="H330" s="13"/>
      <c r="I330" s="13"/>
      <c r="J330" s="13"/>
      <c r="K330" s="13"/>
      <c r="L330" s="13"/>
      <c r="M330" s="13"/>
      <c r="N330" s="13"/>
      <c r="O330" s="13" t="s">
        <v>434</v>
      </c>
      <c r="P330" s="14"/>
      <c r="Q330" s="12">
        <f>IFERROR(VLOOKUP($D330,LISTINO!$B:$I,6,FALSE),IFERROR(VLOOKUP($E330,LISTINO!$C:$I,5,FALSE),""))</f>
        <v>0</v>
      </c>
      <c r="R330" s="12">
        <f t="shared" si="5"/>
        <v>0</v>
      </c>
    </row>
    <row r="331" spans="1:18" x14ac:dyDescent="0.3">
      <c r="A331" t="s">
        <v>447</v>
      </c>
      <c r="B331" t="s">
        <v>500</v>
      </c>
      <c r="C331" s="13">
        <v>4</v>
      </c>
      <c r="E331" t="s">
        <v>448</v>
      </c>
      <c r="F331" t="s">
        <v>433</v>
      </c>
      <c r="G331" s="13">
        <v>1</v>
      </c>
      <c r="H331" s="13"/>
      <c r="I331" s="13"/>
      <c r="J331" s="13"/>
      <c r="K331" s="13"/>
      <c r="L331" s="13"/>
      <c r="M331" s="13"/>
      <c r="N331" s="13"/>
      <c r="O331" s="13" t="s">
        <v>434</v>
      </c>
      <c r="P331" s="14"/>
      <c r="Q331" s="12">
        <f>IFERROR(VLOOKUP($D331,LISTINO!$B:$I,6,FALSE),IFERROR(VLOOKUP($E331,LISTINO!$C:$I,5,FALSE),""))</f>
        <v>0</v>
      </c>
      <c r="R331" s="12">
        <f t="shared" si="5"/>
        <v>0</v>
      </c>
    </row>
    <row r="332" spans="1:18" x14ac:dyDescent="0.3">
      <c r="A332" t="s">
        <v>447</v>
      </c>
      <c r="B332" t="s">
        <v>500</v>
      </c>
      <c r="C332" s="13">
        <v>5</v>
      </c>
      <c r="D332" t="s">
        <v>393</v>
      </c>
      <c r="E332" t="s">
        <v>394</v>
      </c>
      <c r="F332" t="s">
        <v>449</v>
      </c>
      <c r="G332" s="13">
        <v>2</v>
      </c>
      <c r="H332" s="13"/>
      <c r="I332" s="13"/>
      <c r="J332" s="13"/>
      <c r="K332" s="13"/>
      <c r="L332" s="13"/>
      <c r="M332" s="13"/>
      <c r="N332" s="13"/>
      <c r="O332" s="13" t="s">
        <v>434</v>
      </c>
      <c r="P332" s="14"/>
      <c r="Q332" s="12" t="str">
        <f>IFERROR(VLOOKUP($D332,LISTINO!$B:$I,6,FALSE),IFERROR(VLOOKUP($E332,LISTINO!$C:$I,5,FALSE),""))</f>
        <v/>
      </c>
      <c r="R332" s="12" t="str">
        <f t="shared" si="5"/>
        <v/>
      </c>
    </row>
    <row r="333" spans="1:18" x14ac:dyDescent="0.3">
      <c r="A333" t="s">
        <v>447</v>
      </c>
      <c r="B333" t="s">
        <v>500</v>
      </c>
      <c r="C333" s="13">
        <v>6</v>
      </c>
      <c r="D333" t="s">
        <v>358</v>
      </c>
      <c r="E333" t="s">
        <v>359</v>
      </c>
      <c r="F333" t="s">
        <v>449</v>
      </c>
      <c r="G333" s="13">
        <v>2</v>
      </c>
      <c r="H333" s="13"/>
      <c r="I333" s="13"/>
      <c r="J333" s="13"/>
      <c r="K333" s="13"/>
      <c r="L333" s="13"/>
      <c r="M333" s="13"/>
      <c r="N333" s="13"/>
      <c r="O333" s="13" t="s">
        <v>434</v>
      </c>
      <c r="P333" s="14"/>
      <c r="Q333" s="12" t="str">
        <f>IFERROR(VLOOKUP($D333,LISTINO!$B:$I,6,FALSE),IFERROR(VLOOKUP($E333,LISTINO!$C:$I,5,FALSE),""))</f>
        <v/>
      </c>
      <c r="R333" s="12" t="str">
        <f t="shared" si="5"/>
        <v/>
      </c>
    </row>
    <row r="334" spans="1:18" x14ac:dyDescent="0.3">
      <c r="A334" t="s">
        <v>447</v>
      </c>
      <c r="B334" t="s">
        <v>500</v>
      </c>
      <c r="C334" s="13">
        <v>7</v>
      </c>
      <c r="D334" t="s">
        <v>393</v>
      </c>
      <c r="E334" t="s">
        <v>394</v>
      </c>
      <c r="F334" t="s">
        <v>449</v>
      </c>
      <c r="G334" s="13">
        <v>2</v>
      </c>
      <c r="H334" s="13"/>
      <c r="I334" s="13"/>
      <c r="J334" s="13"/>
      <c r="K334" s="13"/>
      <c r="L334" s="13"/>
      <c r="M334" s="13"/>
      <c r="N334" s="13"/>
      <c r="O334" s="13" t="s">
        <v>434</v>
      </c>
      <c r="P334" s="14"/>
      <c r="Q334" s="12" t="str">
        <f>IFERROR(VLOOKUP($D334,LISTINO!$B:$I,6,FALSE),IFERROR(VLOOKUP($E334,LISTINO!$C:$I,5,FALSE),""))</f>
        <v/>
      </c>
      <c r="R334" s="12" t="str">
        <f t="shared" si="5"/>
        <v/>
      </c>
    </row>
    <row r="335" spans="1:18" x14ac:dyDescent="0.3">
      <c r="A335" t="s">
        <v>447</v>
      </c>
      <c r="B335" t="s">
        <v>500</v>
      </c>
      <c r="C335" s="13">
        <v>8</v>
      </c>
      <c r="D335" t="s">
        <v>383</v>
      </c>
      <c r="E335" t="s">
        <v>384</v>
      </c>
      <c r="F335" t="s">
        <v>449</v>
      </c>
      <c r="G335" s="13">
        <v>2</v>
      </c>
      <c r="H335" s="13"/>
      <c r="I335" s="13"/>
      <c r="J335" s="13"/>
      <c r="K335" s="13"/>
      <c r="L335" s="13"/>
      <c r="M335" s="13"/>
      <c r="N335" s="13"/>
      <c r="O335" s="13" t="s">
        <v>434</v>
      </c>
      <c r="P335" s="14"/>
      <c r="Q335" s="12" t="str">
        <f>IFERROR(VLOOKUP($D335,LISTINO!$B:$I,6,FALSE),IFERROR(VLOOKUP($E335,LISTINO!$C:$I,5,FALSE),""))</f>
        <v/>
      </c>
      <c r="R335" s="12" t="str">
        <f t="shared" si="5"/>
        <v/>
      </c>
    </row>
    <row r="336" spans="1:18" x14ac:dyDescent="0.3">
      <c r="A336" t="s">
        <v>447</v>
      </c>
      <c r="B336" t="s">
        <v>500</v>
      </c>
      <c r="C336" s="13">
        <v>9</v>
      </c>
      <c r="D336" t="s">
        <v>358</v>
      </c>
      <c r="E336" t="s">
        <v>359</v>
      </c>
      <c r="F336" t="s">
        <v>449</v>
      </c>
      <c r="G336" s="13">
        <v>1</v>
      </c>
      <c r="H336" s="13"/>
      <c r="I336" s="13"/>
      <c r="J336" s="13"/>
      <c r="K336" s="13"/>
      <c r="L336" s="13"/>
      <c r="M336" s="13"/>
      <c r="N336" s="13"/>
      <c r="O336" s="13" t="s">
        <v>434</v>
      </c>
      <c r="P336" s="14"/>
      <c r="Q336" s="12" t="str">
        <f>IFERROR(VLOOKUP($D336,LISTINO!$B:$I,6,FALSE),IFERROR(VLOOKUP($E336,LISTINO!$C:$I,5,FALSE),""))</f>
        <v/>
      </c>
      <c r="R336" s="12" t="str">
        <f t="shared" si="5"/>
        <v/>
      </c>
    </row>
    <row r="337" spans="1:18" x14ac:dyDescent="0.3">
      <c r="A337" t="s">
        <v>447</v>
      </c>
      <c r="B337" t="s">
        <v>500</v>
      </c>
      <c r="C337" s="13">
        <v>10</v>
      </c>
      <c r="D337" t="s">
        <v>383</v>
      </c>
      <c r="E337" t="s">
        <v>384</v>
      </c>
      <c r="F337" t="s">
        <v>449</v>
      </c>
      <c r="G337" s="13">
        <v>1</v>
      </c>
      <c r="H337" s="13"/>
      <c r="I337" s="13"/>
      <c r="J337" s="13"/>
      <c r="K337" s="13"/>
      <c r="L337" s="13"/>
      <c r="M337" s="13"/>
      <c r="N337" s="13"/>
      <c r="O337" s="13" t="s">
        <v>434</v>
      </c>
      <c r="P337" s="14"/>
      <c r="Q337" s="12" t="str">
        <f>IFERROR(VLOOKUP($D337,LISTINO!$B:$I,6,FALSE),IFERROR(VLOOKUP($E337,LISTINO!$C:$I,5,FALSE),""))</f>
        <v/>
      </c>
      <c r="R337" s="12" t="str">
        <f t="shared" si="5"/>
        <v/>
      </c>
    </row>
    <row r="338" spans="1:18" x14ac:dyDescent="0.3">
      <c r="A338" t="s">
        <v>447</v>
      </c>
      <c r="B338" t="s">
        <v>500</v>
      </c>
      <c r="C338" s="13">
        <v>11</v>
      </c>
      <c r="D338" t="s">
        <v>393</v>
      </c>
      <c r="E338" t="s">
        <v>394</v>
      </c>
      <c r="F338" t="s">
        <v>449</v>
      </c>
      <c r="G338" s="13">
        <v>2</v>
      </c>
      <c r="H338" s="13"/>
      <c r="I338" s="13"/>
      <c r="J338" s="13"/>
      <c r="K338" s="13"/>
      <c r="L338" s="13"/>
      <c r="M338" s="13"/>
      <c r="N338" s="13"/>
      <c r="O338" s="13" t="s">
        <v>434</v>
      </c>
      <c r="P338" s="14"/>
      <c r="Q338" s="12" t="str">
        <f>IFERROR(VLOOKUP($D338,LISTINO!$B:$I,6,FALSE),IFERROR(VLOOKUP($E338,LISTINO!$C:$I,5,FALSE),""))</f>
        <v/>
      </c>
      <c r="R338" s="12" t="str">
        <f t="shared" si="5"/>
        <v/>
      </c>
    </row>
    <row r="339" spans="1:18" x14ac:dyDescent="0.3">
      <c r="A339" t="s">
        <v>447</v>
      </c>
      <c r="B339" t="s">
        <v>500</v>
      </c>
      <c r="C339" s="13">
        <v>12</v>
      </c>
      <c r="D339" t="s">
        <v>358</v>
      </c>
      <c r="E339" t="s">
        <v>359</v>
      </c>
      <c r="F339" t="s">
        <v>449</v>
      </c>
      <c r="G339" s="13">
        <v>2</v>
      </c>
      <c r="H339" s="13"/>
      <c r="I339" s="13"/>
      <c r="J339" s="13"/>
      <c r="K339" s="13"/>
      <c r="L339" s="13"/>
      <c r="M339" s="13"/>
      <c r="N339" s="13"/>
      <c r="O339" s="13" t="s">
        <v>434</v>
      </c>
      <c r="P339" s="14"/>
      <c r="Q339" s="12" t="str">
        <f>IFERROR(VLOOKUP($D339,LISTINO!$B:$I,6,FALSE),IFERROR(VLOOKUP($E339,LISTINO!$C:$I,5,FALSE),""))</f>
        <v/>
      </c>
      <c r="R339" s="12" t="str">
        <f t="shared" si="5"/>
        <v/>
      </c>
    </row>
    <row r="340" spans="1:18" x14ac:dyDescent="0.3">
      <c r="A340" t="s">
        <v>447</v>
      </c>
      <c r="B340" t="s">
        <v>500</v>
      </c>
      <c r="C340" s="13">
        <v>13</v>
      </c>
      <c r="D340" t="s">
        <v>393</v>
      </c>
      <c r="E340" t="s">
        <v>394</v>
      </c>
      <c r="F340" t="s">
        <v>449</v>
      </c>
      <c r="G340" s="13">
        <v>2</v>
      </c>
      <c r="H340" s="13"/>
      <c r="I340" s="13"/>
      <c r="J340" s="13"/>
      <c r="K340" s="13"/>
      <c r="L340" s="13"/>
      <c r="M340" s="13"/>
      <c r="N340" s="13"/>
      <c r="O340" s="13" t="s">
        <v>434</v>
      </c>
      <c r="P340" s="14"/>
      <c r="Q340" s="12" t="str">
        <f>IFERROR(VLOOKUP($D340,LISTINO!$B:$I,6,FALSE),IFERROR(VLOOKUP($E340,LISTINO!$C:$I,5,FALSE),""))</f>
        <v/>
      </c>
      <c r="R340" s="12" t="str">
        <f t="shared" si="5"/>
        <v/>
      </c>
    </row>
    <row r="341" spans="1:18" x14ac:dyDescent="0.3">
      <c r="A341" t="s">
        <v>447</v>
      </c>
      <c r="B341" t="s">
        <v>500</v>
      </c>
      <c r="C341" s="13">
        <v>14</v>
      </c>
      <c r="D341" t="s">
        <v>383</v>
      </c>
      <c r="E341" t="s">
        <v>384</v>
      </c>
      <c r="F341" t="s">
        <v>449</v>
      </c>
      <c r="G341" s="13">
        <v>2</v>
      </c>
      <c r="H341" s="13"/>
      <c r="I341" s="13"/>
      <c r="J341" s="13"/>
      <c r="K341" s="13"/>
      <c r="L341" s="13"/>
      <c r="M341" s="13"/>
      <c r="N341" s="13"/>
      <c r="O341" s="13" t="s">
        <v>434</v>
      </c>
      <c r="P341" s="14"/>
      <c r="Q341" s="12" t="str">
        <f>IFERROR(VLOOKUP($D341,LISTINO!$B:$I,6,FALSE),IFERROR(VLOOKUP($E341,LISTINO!$C:$I,5,FALSE),""))</f>
        <v/>
      </c>
      <c r="R341" s="12" t="str">
        <f t="shared" si="5"/>
        <v/>
      </c>
    </row>
    <row r="342" spans="1:18" x14ac:dyDescent="0.3">
      <c r="A342" t="s">
        <v>447</v>
      </c>
      <c r="B342" t="s">
        <v>501</v>
      </c>
      <c r="C342" s="13">
        <v>1</v>
      </c>
      <c r="D342" t="s">
        <v>54</v>
      </c>
      <c r="E342" t="s">
        <v>55</v>
      </c>
      <c r="F342" t="s">
        <v>433</v>
      </c>
      <c r="G342" s="13">
        <v>1</v>
      </c>
      <c r="H342" s="13"/>
      <c r="I342" s="13"/>
      <c r="J342" s="13"/>
      <c r="K342" s="13"/>
      <c r="L342" s="13"/>
      <c r="M342" s="13"/>
      <c r="N342" s="13"/>
      <c r="O342" s="13" t="s">
        <v>434</v>
      </c>
      <c r="P342" s="14"/>
      <c r="Q342" s="12">
        <f>IFERROR(VLOOKUP($D342,LISTINO!$B:$I,6,FALSE),IFERROR(VLOOKUP($E342,LISTINO!$C:$I,5,FALSE),""))</f>
        <v>0</v>
      </c>
      <c r="R342" s="12">
        <f t="shared" si="5"/>
        <v>0</v>
      </c>
    </row>
    <row r="343" spans="1:18" x14ac:dyDescent="0.3">
      <c r="A343" t="s">
        <v>447</v>
      </c>
      <c r="B343" t="s">
        <v>501</v>
      </c>
      <c r="C343" s="13">
        <v>2</v>
      </c>
      <c r="D343" t="s">
        <v>417</v>
      </c>
      <c r="E343" t="s">
        <v>418</v>
      </c>
      <c r="F343" t="s">
        <v>462</v>
      </c>
      <c r="G343" s="13">
        <v>1</v>
      </c>
      <c r="H343" s="13"/>
      <c r="I343" s="13"/>
      <c r="J343" s="13"/>
      <c r="K343" s="13"/>
      <c r="L343" s="13"/>
      <c r="M343" s="13"/>
      <c r="N343" s="13"/>
      <c r="O343" s="13" t="s">
        <v>434</v>
      </c>
      <c r="P343" s="14"/>
      <c r="Q343" s="12" t="str">
        <f>IFERROR(VLOOKUP($D343,LISTINO!$B:$I,6,FALSE),IFERROR(VLOOKUP($E343,LISTINO!$C:$I,5,FALSE),""))</f>
        <v/>
      </c>
      <c r="R343" s="12" t="str">
        <f t="shared" si="5"/>
        <v/>
      </c>
    </row>
    <row r="344" spans="1:18" x14ac:dyDescent="0.3">
      <c r="A344" t="s">
        <v>447</v>
      </c>
      <c r="B344" t="s">
        <v>502</v>
      </c>
      <c r="C344" s="13">
        <v>1</v>
      </c>
      <c r="D344" t="s">
        <v>340</v>
      </c>
      <c r="E344" t="s">
        <v>341</v>
      </c>
      <c r="F344" t="s">
        <v>449</v>
      </c>
      <c r="G344" s="13">
        <v>2</v>
      </c>
      <c r="H344" s="13"/>
      <c r="I344" s="13"/>
      <c r="J344" s="13"/>
      <c r="K344" s="13"/>
      <c r="L344" s="13"/>
      <c r="M344" s="13"/>
      <c r="N344" s="13"/>
      <c r="O344" s="13" t="s">
        <v>434</v>
      </c>
      <c r="P344" s="14"/>
      <c r="Q344" s="12" t="str">
        <f>IFERROR(VLOOKUP($D344,LISTINO!$B:$I,6,FALSE),IFERROR(VLOOKUP($E344,LISTINO!$C:$I,5,FALSE),""))</f>
        <v/>
      </c>
      <c r="R344" s="12" t="str">
        <f t="shared" si="5"/>
        <v/>
      </c>
    </row>
    <row r="346" spans="1:18" x14ac:dyDescent="0.3">
      <c r="E346" s="6" t="s">
        <v>503</v>
      </c>
      <c r="R346" s="7">
        <f>SUMIFS(R2:R344,N2:N344,"")</f>
        <v>313</v>
      </c>
    </row>
  </sheetData>
  <autoFilter ref="A1:R34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/>
  </sheetViews>
  <sheetFormatPr defaultRowHeight="14.4" x14ac:dyDescent="0.3"/>
  <cols>
    <col min="1" max="1" width="100" customWidth="1"/>
    <col min="2" max="2" width="12" customWidth="1"/>
  </cols>
  <sheetData>
    <row r="1" spans="1:2" ht="18" customHeight="1" x14ac:dyDescent="0.35">
      <c r="A1" s="1" t="s">
        <v>504</v>
      </c>
    </row>
    <row r="3" spans="1:2" x14ac:dyDescent="0.3">
      <c r="A3" s="6" t="s">
        <v>505</v>
      </c>
      <c r="B3">
        <v>198</v>
      </c>
    </row>
    <row r="4" spans="1:2" x14ac:dyDescent="0.3">
      <c r="A4" s="6" t="s">
        <v>506</v>
      </c>
      <c r="B4">
        <v>343</v>
      </c>
    </row>
    <row r="6" spans="1:2" x14ac:dyDescent="0.3">
      <c r="A6" s="6" t="s">
        <v>507</v>
      </c>
    </row>
    <row r="7" spans="1:2" x14ac:dyDescent="0.3">
      <c r="A7" t="s">
        <v>433</v>
      </c>
      <c r="B7">
        <v>155</v>
      </c>
    </row>
    <row r="8" spans="1:2" x14ac:dyDescent="0.3">
      <c r="A8" t="s">
        <v>449</v>
      </c>
      <c r="B8">
        <v>31</v>
      </c>
    </row>
    <row r="9" spans="1:2" x14ac:dyDescent="0.3">
      <c r="A9" t="s">
        <v>459</v>
      </c>
      <c r="B9">
        <v>1</v>
      </c>
    </row>
    <row r="10" spans="1:2" x14ac:dyDescent="0.3">
      <c r="A10" t="s">
        <v>460</v>
      </c>
      <c r="B10">
        <v>1</v>
      </c>
    </row>
    <row r="11" spans="1:2" x14ac:dyDescent="0.3">
      <c r="A11" t="s">
        <v>461</v>
      </c>
      <c r="B11">
        <v>2</v>
      </c>
    </row>
    <row r="12" spans="1:2" x14ac:dyDescent="0.3">
      <c r="A12" t="s">
        <v>462</v>
      </c>
      <c r="B12">
        <v>6</v>
      </c>
    </row>
    <row r="13" spans="1:2" x14ac:dyDescent="0.3">
      <c r="A13" t="s">
        <v>464</v>
      </c>
      <c r="B13">
        <v>2</v>
      </c>
    </row>
    <row r="15" spans="1:2" x14ac:dyDescent="0.3">
      <c r="A15" s="6" t="s">
        <v>508</v>
      </c>
    </row>
    <row r="16" spans="1:2" x14ac:dyDescent="0.3">
      <c r="A16" t="s">
        <v>509</v>
      </c>
    </row>
    <row r="17" spans="1:1" x14ac:dyDescent="0.3">
      <c r="A17" t="s">
        <v>510</v>
      </c>
    </row>
    <row r="18" spans="1:1" x14ac:dyDescent="0.3">
      <c r="A18" t="s">
        <v>511</v>
      </c>
    </row>
    <row r="19" spans="1:1" x14ac:dyDescent="0.3">
      <c r="A19" t="s">
        <v>512</v>
      </c>
    </row>
    <row r="20" spans="1:1" x14ac:dyDescent="0.3">
      <c r="A20" t="s">
        <v>513</v>
      </c>
    </row>
    <row r="21" spans="1:1" x14ac:dyDescent="0.3">
      <c r="A21" t="s">
        <v>514</v>
      </c>
    </row>
    <row r="22" spans="1:1" x14ac:dyDescent="0.3">
      <c r="A22" t="s">
        <v>515</v>
      </c>
    </row>
    <row r="23" spans="1:1" x14ac:dyDescent="0.3">
      <c r="A23" t="s">
        <v>516</v>
      </c>
    </row>
    <row r="24" spans="1:1" x14ac:dyDescent="0.3">
      <c r="A24" t="s">
        <v>517</v>
      </c>
    </row>
    <row r="25" spans="1:1" x14ac:dyDescent="0.3">
      <c r="A25" t="s">
        <v>518</v>
      </c>
    </row>
    <row r="26" spans="1:1" x14ac:dyDescent="0.3">
      <c r="A26" t="s">
        <v>519</v>
      </c>
    </row>
    <row r="27" spans="1:1" x14ac:dyDescent="0.3">
      <c r="A27" t="s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SCHEDA STRUTTURA</vt:lpstr>
      <vt:lpstr>SCHEDA PEZZI SPECIALI</vt:lpstr>
      <vt:lpstr>SCHEDA BULLONERIA</vt:lpstr>
      <vt:lpstr>SCHEDA ELETTROMECCANICA</vt:lpstr>
      <vt:lpstr>LISTINO</vt:lpstr>
      <vt:lpstr>DISTINTA COMPLETA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2026-08-29T15:59:04Z</dcterms:created>
  <dcterms:modified xsi:type="dcterms:W3CDTF">2026-08-31T13:55:30Z</dcterms:modified>
</cp:coreProperties>
</file>