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A STRUTTURA" sheetId="1" state="visible" r:id="rId1"/>
    <sheet name="LISTINO" sheetId="2" state="visible" r:id="rId2"/>
    <sheet name="DISTINTA COMPLETA" sheetId="3" state="visible" r:id="rId3"/>
    <sheet name="RIEPILOGO" sheetId="4" state="visible" r:id="rId4"/>
  </sheets>
  <definedNames>
    <definedName name="_xlnm._FilterDatabase" localSheetId="1" hidden="1">'LISTINO'!$A$4:$I$208</definedName>
    <definedName name="_xlnm._FilterDatabase" localSheetId="2" hidden="1">'DISTINTA COMPLETA'!$A$1:$R$358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FFFFFF"/>
      <sz val="10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0" pivotButton="0" quotePrefix="0" xfId="0"/>
    <xf numFmtId="0" fontId="3" fillId="2" borderId="1" applyAlignment="1" pivotButton="0" quotePrefix="0" xfId="0">
      <alignment horizontal="center" wrapText="1"/>
    </xf>
    <xf numFmtId="165" fontId="0" fillId="0" borderId="1" applyAlignment="1" pivotButton="0" quotePrefix="0" xfId="0">
      <alignment horizontal="center"/>
    </xf>
    <xf numFmtId="0" fontId="3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0" borderId="0" pivotButton="0" quotePrefix="0" xfId="0"/>
    <xf numFmtId="0" fontId="5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7" fontId="0" fillId="0" borderId="0" applyAlignment="1" pivotButton="0" quotePrefix="0" xfId="0">
      <alignment horizontal="center"/>
    </xf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8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6" customWidth="1" style="16" min="1" max="1"/>
    <col width="62" customWidth="1" style="16" min="2" max="2"/>
    <col width="12" customWidth="1" style="16" min="3" max="3"/>
    <col width="14" customWidth="1" style="16" min="4" max="4"/>
    <col width="18" customWidth="1" style="16" min="5" max="5"/>
    <col width="16" customWidth="1" style="16" min="6" max="6"/>
    <col width="16" customWidth="1" style="16" min="7" max="7"/>
  </cols>
  <sheetData>
    <row r="1">
      <c r="A1" s="17" t="inlineStr">
        <is>
          <t>SCHEDA STRUTTURA — parametri peso e costo di acquisto/zincatura (compilare kg/m, % zincatura, €/kg acquisto e €/kg zincatura)</t>
        </is>
      </c>
    </row>
    <row r="2">
      <c r="A2" t="inlineStr">
        <is>
          <t>Per ogni profilo: peso teorico al metro (grezzo), maggiorazione peso per zincatura (%), costo di acquisto al kg e costo di zincatura al kg. La maggiorazione gonfia solo il 'Peso elemento (kg)'. Nell'elenco: Costo acquisto (€) = Lunghezza × kg/m teorico (al netto della maggiorazione) × €/kg acquisto, indipendente dalla zincatura; Costo zincatura (€) = Peso elemento × magg. zincatura % × €/kg zincatura, solo se la maggiorazione è presente.</t>
        </is>
      </c>
    </row>
    <row r="4">
      <c r="A4" s="11" t="inlineStr">
        <is>
          <t>Profilo</t>
        </is>
      </c>
      <c r="B4" s="11" t="inlineStr">
        <is>
          <t>Peso teorico (kg/m)</t>
        </is>
      </c>
      <c r="C4" s="11" t="inlineStr">
        <is>
          <t>Magg. zincatura %</t>
        </is>
      </c>
      <c r="D4" s="11" t="inlineStr">
        <is>
          <t>Peso finale (kg/m)</t>
        </is>
      </c>
      <c r="E4" s="11" t="inlineStr">
        <is>
          <t>Costo acquisto (€/kg)</t>
        </is>
      </c>
      <c r="F4" s="11" t="inlineStr">
        <is>
          <t>Costo zincatura (€/kg)</t>
        </is>
      </c>
    </row>
    <row r="5">
      <c r="A5" t="inlineStr">
        <is>
          <t>IPE 140</t>
        </is>
      </c>
      <c r="B5" s="18" t="n"/>
      <c r="C5" s="19" t="n"/>
      <c r="D5" s="20">
        <f>IF(ISNUMBER($B5),$B5*(1+IF(ISNUMBER($C5),$C5,0)),"")</f>
        <v/>
      </c>
      <c r="E5" s="23" t="n"/>
      <c r="F5" s="23" t="n"/>
    </row>
    <row r="6">
      <c r="A6" t="inlineStr">
        <is>
          <t>IPEA 140</t>
        </is>
      </c>
      <c r="B6" s="18" t="n"/>
      <c r="C6" s="19" t="n"/>
      <c r="D6" s="20">
        <f>IF(ISNUMBER($B6),$B6*(1+IF(ISNUMBER($C6),$C6,0)),"")</f>
        <v/>
      </c>
      <c r="E6" s="23" t="n"/>
      <c r="F6" s="23" t="n"/>
    </row>
    <row r="7">
      <c r="A7" t="inlineStr">
        <is>
          <t>ASSE 120x120x3</t>
        </is>
      </c>
      <c r="B7" s="18" t="n">
        <v>11.8</v>
      </c>
      <c r="C7" s="19" t="n"/>
      <c r="D7" s="20">
        <f>IF(ISNUMBER($B7),$B7*(1+IF(ISNUMBER($C7),$C7,0)),"")</f>
        <v/>
      </c>
      <c r="E7" s="23" t="n"/>
      <c r="F7" s="23" t="n"/>
    </row>
    <row r="8">
      <c r="A8" t="inlineStr">
        <is>
          <t>ASSE 120x120x2,5</t>
        </is>
      </c>
      <c r="B8" s="18" t="n">
        <v>9.199999999999999</v>
      </c>
      <c r="C8" s="19" t="n"/>
      <c r="D8" s="20">
        <f>IF(ISNUMBER($B8),$B8*(1+IF(ISNUMBER($C8),$C8,0)),"")</f>
        <v/>
      </c>
      <c r="E8" s="23" t="n"/>
      <c r="F8" s="23" t="n"/>
    </row>
    <row r="12">
      <c r="A12" s="11" t="inlineStr">
        <is>
          <t>Codice</t>
        </is>
      </c>
      <c r="B12" s="11" t="inlineStr">
        <is>
          <t>Descrizione</t>
        </is>
      </c>
      <c r="C12" s="11" t="inlineStr">
        <is>
          <t>Profilo</t>
        </is>
      </c>
      <c r="D12" s="11" t="inlineStr">
        <is>
          <t>Lunghezza (m)</t>
        </is>
      </c>
      <c r="E12" s="11" t="inlineStr">
        <is>
          <t>Peso elemento (kg)</t>
        </is>
      </c>
      <c r="F12" s="11" t="inlineStr">
        <is>
          <t>Costo acquisto (€)</t>
        </is>
      </c>
      <c r="G12" s="11" t="inlineStr">
        <is>
          <t>Costo zincatura (€)</t>
        </is>
      </c>
    </row>
    <row r="13">
      <c r="A13" t="inlineStr">
        <is>
          <t>TTS.PC.001.IPE140.23</t>
        </is>
      </c>
      <c r="B13" t="inlineStr">
        <is>
          <t>Pilastro cuscinetto trave IPE 140 mt.2,30</t>
        </is>
      </c>
      <c r="C13" s="14" t="inlineStr">
        <is>
          <t>IPE 140</t>
        </is>
      </c>
      <c r="D13" s="21" t="n">
        <v>2.3</v>
      </c>
      <c r="E13" s="22">
        <f>IF(AND(ISNUMBER($D13),ISNUMBER(VLOOKUP($C13,$A$5:$F$11,4,FALSE))),$D13*VLOOKUP($C13,$A$5:$F$11,4,FALSE),"")</f>
        <v/>
      </c>
      <c r="F13" s="13">
        <f>IF(AND(ISNUMBER($D13),ISNUMBER(VLOOKUP($C13,$A$5:$F$11,2,FALSE)),ISNUMBER(VLOOKUP($C13,$A$5:$F$11,5,FALSE))),$D13*VLOOKUP($C13,$A$5:$F$11,2,FALSE)*VLOOKUP($C13,$A$5:$F$11,5,FALSE),"")</f>
        <v/>
      </c>
      <c r="G13" s="13">
        <f>IF(AND(ISNUMBER($E13),ISNUMBER(VLOOKUP($C13,$A$5:$F$11,3,FALSE)),VLOOKUP($C13,$A$5:$F$11,3,FALSE)&gt;0,ISNUMBER(VLOOKUP($C13,$A$5:$F$11,6,FALSE))),$E13*VLOOKUP($C13,$A$5:$F$11,3,FALSE)*VLOOKUP($C13,$A$5:$F$11,6,FALSE),"")</f>
        <v/>
      </c>
    </row>
    <row r="14">
      <c r="A14" t="inlineStr">
        <is>
          <t>TTS.PC.001.IPE140.23.FI</t>
        </is>
      </c>
      <c r="B14" t="inlineStr">
        <is>
          <t>Pilastro cuscinetto trave ipe140 x mt. 2,30 con foratura alloggiamento inverter</t>
        </is>
      </c>
      <c r="C14" s="14" t="inlineStr">
        <is>
          <t>IPE 140</t>
        </is>
      </c>
      <c r="D14" s="21" t="n">
        <v>2.3</v>
      </c>
      <c r="E14" s="22">
        <f>IF(AND(ISNUMBER($D14),ISNUMBER(VLOOKUP($C14,$A$5:$F$11,4,FALSE))),$D14*VLOOKUP($C14,$A$5:$F$11,4,FALSE),"")</f>
        <v/>
      </c>
      <c r="F14" s="13">
        <f>IF(AND(ISNUMBER($D14),ISNUMBER(VLOOKUP($C14,$A$5:$F$11,2,FALSE)),ISNUMBER(VLOOKUP($C14,$A$5:$F$11,5,FALSE))),$D14*VLOOKUP($C14,$A$5:$F$11,2,FALSE)*VLOOKUP($C14,$A$5:$F$11,5,FALSE),"")</f>
        <v/>
      </c>
      <c r="G14" s="13">
        <f>IF(AND(ISNUMBER($E14),ISNUMBER(VLOOKUP($C14,$A$5:$F$11,3,FALSE)),VLOOKUP($C14,$A$5:$F$11,3,FALSE)&gt;0,ISNUMBER(VLOOKUP($C14,$A$5:$F$11,6,FALSE))),$E14*VLOOKUP($C14,$A$5:$F$11,3,FALSE)*VLOOKUP($C14,$A$5:$F$11,6,FALSE),"")</f>
        <v/>
      </c>
    </row>
    <row r="15">
      <c r="A15" t="inlineStr">
        <is>
          <t>TTS.PC.001.IPE140.23.FQA</t>
        </is>
      </c>
      <c r="B15" t="inlineStr">
        <is>
          <t>Pilastro cuscinetto trave ipe140 x mt. 2,30 con foratura alloggiamento quadro area</t>
        </is>
      </c>
      <c r="C15" s="14" t="inlineStr">
        <is>
          <t>IPE 140</t>
        </is>
      </c>
      <c r="D15" s="21" t="n">
        <v>2.3</v>
      </c>
      <c r="E15" s="22">
        <f>IF(AND(ISNUMBER($D15),ISNUMBER(VLOOKUP($C15,$A$5:$F$11,4,FALSE))),$D15*VLOOKUP($C15,$A$5:$F$11,4,FALSE),"")</f>
        <v/>
      </c>
      <c r="F15" s="13">
        <f>IF(AND(ISNUMBER($D15),ISNUMBER(VLOOKUP($C15,$A$5:$F$11,2,FALSE)),ISNUMBER(VLOOKUP($C15,$A$5:$F$11,5,FALSE))),$D15*VLOOKUP($C15,$A$5:$F$11,2,FALSE)*VLOOKUP($C15,$A$5:$F$11,5,FALSE),"")</f>
        <v/>
      </c>
      <c r="G15" s="13">
        <f>IF(AND(ISNUMBER($E15),ISNUMBER(VLOOKUP($C15,$A$5:$F$11,3,FALSE)),VLOOKUP($C15,$A$5:$F$11,3,FALSE)&gt;0,ISNUMBER(VLOOKUP($C15,$A$5:$F$11,6,FALSE))),$E15*VLOOKUP($C15,$A$5:$F$11,3,FALSE)*VLOOKUP($C15,$A$5:$F$11,6,FALSE),"")</f>
        <v/>
      </c>
    </row>
    <row r="16">
      <c r="A16" t="inlineStr">
        <is>
          <t>TTS.PC.001.IPE140.28</t>
        </is>
      </c>
      <c r="B16" t="inlineStr">
        <is>
          <t>Pilastro cuscinetto trave IPE 140 mt.2,80</t>
        </is>
      </c>
      <c r="C16" s="14" t="inlineStr">
        <is>
          <t>IPE 140</t>
        </is>
      </c>
      <c r="D16" s="21" t="n">
        <v>2.8</v>
      </c>
      <c r="E16" s="22">
        <f>IF(AND(ISNUMBER($D16),ISNUMBER(VLOOKUP($C16,$A$5:$F$11,4,FALSE))),$D16*VLOOKUP($C16,$A$5:$F$11,4,FALSE),"")</f>
        <v/>
      </c>
      <c r="F16" s="13">
        <f>IF(AND(ISNUMBER($D16),ISNUMBER(VLOOKUP($C16,$A$5:$F$11,2,FALSE)),ISNUMBER(VLOOKUP($C16,$A$5:$F$11,5,FALSE))),$D16*VLOOKUP($C16,$A$5:$F$11,2,FALSE)*VLOOKUP($C16,$A$5:$F$11,5,FALSE),"")</f>
        <v/>
      </c>
      <c r="G16" s="13">
        <f>IF(AND(ISNUMBER($E16),ISNUMBER(VLOOKUP($C16,$A$5:$F$11,3,FALSE)),VLOOKUP($C16,$A$5:$F$11,3,FALSE)&gt;0,ISNUMBER(VLOOKUP($C16,$A$5:$F$11,6,FALSE))),$E16*VLOOKUP($C16,$A$5:$F$11,3,FALSE)*VLOOKUP($C16,$A$5:$F$11,6,FALSE),"")</f>
        <v/>
      </c>
    </row>
    <row r="17">
      <c r="A17" t="inlineStr">
        <is>
          <t>TTS.PC.001.IPE140.29</t>
        </is>
      </c>
      <c r="B17" t="inlineStr">
        <is>
          <t>Pilastro cuscinetto trave IPE 140 mt.2,90</t>
        </is>
      </c>
      <c r="C17" s="14" t="inlineStr">
        <is>
          <t>IPE 140</t>
        </is>
      </c>
      <c r="D17" s="21" t="n">
        <v>2.9</v>
      </c>
      <c r="E17" s="22">
        <f>IF(AND(ISNUMBER($D17),ISNUMBER(VLOOKUP($C17,$A$5:$F$11,4,FALSE))),$D17*VLOOKUP($C17,$A$5:$F$11,4,FALSE),"")</f>
        <v/>
      </c>
      <c r="F17" s="13">
        <f>IF(AND(ISNUMBER($D17),ISNUMBER(VLOOKUP($C17,$A$5:$F$11,2,FALSE)),ISNUMBER(VLOOKUP($C17,$A$5:$F$11,5,FALSE))),$D17*VLOOKUP($C17,$A$5:$F$11,2,FALSE)*VLOOKUP($C17,$A$5:$F$11,5,FALSE),"")</f>
        <v/>
      </c>
      <c r="G17" s="13">
        <f>IF(AND(ISNUMBER($E17),ISNUMBER(VLOOKUP($C17,$A$5:$F$11,3,FALSE)),VLOOKUP($C17,$A$5:$F$11,3,FALSE)&gt;0,ISNUMBER(VLOOKUP($C17,$A$5:$F$11,6,FALSE))),$E17*VLOOKUP($C17,$A$5:$F$11,3,FALSE)*VLOOKUP($C17,$A$5:$F$11,6,FALSE),"")</f>
        <v/>
      </c>
    </row>
    <row r="18">
      <c r="A18" t="inlineStr">
        <is>
          <t>TTS.PC.001.IPE140.30</t>
        </is>
      </c>
      <c r="B18" t="inlineStr">
        <is>
          <t>Pilastro cuscinetto trave IPE 140 mt.3,00</t>
        </is>
      </c>
      <c r="C18" s="14" t="inlineStr">
        <is>
          <t>IPE 140</t>
        </is>
      </c>
      <c r="D18" s="21" t="n">
        <v>3</v>
      </c>
      <c r="E18" s="22">
        <f>IF(AND(ISNUMBER($D18),ISNUMBER(VLOOKUP($C18,$A$5:$F$11,4,FALSE))),$D18*VLOOKUP($C18,$A$5:$F$11,4,FALSE),"")</f>
        <v/>
      </c>
      <c r="F18" s="13">
        <f>IF(AND(ISNUMBER($D18),ISNUMBER(VLOOKUP($C18,$A$5:$F$11,2,FALSE)),ISNUMBER(VLOOKUP($C18,$A$5:$F$11,5,FALSE))),$D18*VLOOKUP($C18,$A$5:$F$11,2,FALSE)*VLOOKUP($C18,$A$5:$F$11,5,FALSE),"")</f>
        <v/>
      </c>
      <c r="G18" s="13">
        <f>IF(AND(ISNUMBER($E18),ISNUMBER(VLOOKUP($C18,$A$5:$F$11,3,FALSE)),VLOOKUP($C18,$A$5:$F$11,3,FALSE)&gt;0,ISNUMBER(VLOOKUP($C18,$A$5:$F$11,6,FALSE))),$E18*VLOOKUP($C18,$A$5:$F$11,3,FALSE)*VLOOKUP($C18,$A$5:$F$11,6,FALSE),"")</f>
        <v/>
      </c>
    </row>
    <row r="19">
      <c r="A19" t="inlineStr">
        <is>
          <t>TTS.PC.001.IPE140.31</t>
        </is>
      </c>
      <c r="B19" t="inlineStr">
        <is>
          <t>Pilastro cuscinetto trave IPE 140 mt.3,10</t>
        </is>
      </c>
      <c r="C19" s="14" t="inlineStr">
        <is>
          <t>IPE 140</t>
        </is>
      </c>
      <c r="D19" s="21" t="n">
        <v>3.1</v>
      </c>
      <c r="E19" s="22">
        <f>IF(AND(ISNUMBER($D19),ISNUMBER(VLOOKUP($C19,$A$5:$F$11,4,FALSE))),$D19*VLOOKUP($C19,$A$5:$F$11,4,FALSE),"")</f>
        <v/>
      </c>
      <c r="F19" s="13">
        <f>IF(AND(ISNUMBER($D19),ISNUMBER(VLOOKUP($C19,$A$5:$F$11,2,FALSE)),ISNUMBER(VLOOKUP($C19,$A$5:$F$11,5,FALSE))),$D19*VLOOKUP($C19,$A$5:$F$11,2,FALSE)*VLOOKUP($C19,$A$5:$F$11,5,FALSE),"")</f>
        <v/>
      </c>
      <c r="G19" s="13">
        <f>IF(AND(ISNUMBER($E19),ISNUMBER(VLOOKUP($C19,$A$5:$F$11,3,FALSE)),VLOOKUP($C19,$A$5:$F$11,3,FALSE)&gt;0,ISNUMBER(VLOOKUP($C19,$A$5:$F$11,6,FALSE))),$E19*VLOOKUP($C19,$A$5:$F$11,3,FALSE)*VLOOKUP($C19,$A$5:$F$11,6,FALSE),"")</f>
        <v/>
      </c>
    </row>
    <row r="20">
      <c r="A20" t="inlineStr">
        <is>
          <t>TTS.PC.001.IPE140.32</t>
        </is>
      </c>
      <c r="B20" t="inlineStr">
        <is>
          <t>Pilastro cuscinetto trave IPE 140 mt.3,20</t>
        </is>
      </c>
      <c r="C20" s="14" t="inlineStr">
        <is>
          <t>IPE 140</t>
        </is>
      </c>
      <c r="D20" s="21" t="n">
        <v>3.2</v>
      </c>
      <c r="E20" s="22">
        <f>IF(AND(ISNUMBER($D20),ISNUMBER(VLOOKUP($C20,$A$5:$F$11,4,FALSE))),$D20*VLOOKUP($C20,$A$5:$F$11,4,FALSE),"")</f>
        <v/>
      </c>
      <c r="F20" s="13">
        <f>IF(AND(ISNUMBER($D20),ISNUMBER(VLOOKUP($C20,$A$5:$F$11,2,FALSE)),ISNUMBER(VLOOKUP($C20,$A$5:$F$11,5,FALSE))),$D20*VLOOKUP($C20,$A$5:$F$11,2,FALSE)*VLOOKUP($C20,$A$5:$F$11,5,FALSE),"")</f>
        <v/>
      </c>
      <c r="G20" s="13">
        <f>IF(AND(ISNUMBER($E20),ISNUMBER(VLOOKUP($C20,$A$5:$F$11,3,FALSE)),VLOOKUP($C20,$A$5:$F$11,3,FALSE)&gt;0,ISNUMBER(VLOOKUP($C20,$A$5:$F$11,6,FALSE))),$E20*VLOOKUP($C20,$A$5:$F$11,3,FALSE)*VLOOKUP($C20,$A$5:$F$11,6,FALSE),"")</f>
        <v/>
      </c>
    </row>
    <row r="21">
      <c r="A21" t="inlineStr">
        <is>
          <t>TTS.PC.001.IPE140.33</t>
        </is>
      </c>
      <c r="B21" t="inlineStr">
        <is>
          <t>Pilastro cuscinetto trave IPE 140 mt.3,30</t>
        </is>
      </c>
      <c r="C21" s="14" t="inlineStr">
        <is>
          <t>IPE 140</t>
        </is>
      </c>
      <c r="D21" s="21" t="n">
        <v>3.3</v>
      </c>
      <c r="E21" s="22">
        <f>IF(AND(ISNUMBER($D21),ISNUMBER(VLOOKUP($C21,$A$5:$F$11,4,FALSE))),$D21*VLOOKUP($C21,$A$5:$F$11,4,FALSE),"")</f>
        <v/>
      </c>
      <c r="F21" s="13">
        <f>IF(AND(ISNUMBER($D21),ISNUMBER(VLOOKUP($C21,$A$5:$F$11,2,FALSE)),ISNUMBER(VLOOKUP($C21,$A$5:$F$11,5,FALSE))),$D21*VLOOKUP($C21,$A$5:$F$11,2,FALSE)*VLOOKUP($C21,$A$5:$F$11,5,FALSE),"")</f>
        <v/>
      </c>
      <c r="G21" s="13">
        <f>IF(AND(ISNUMBER($E21),ISNUMBER(VLOOKUP($C21,$A$5:$F$11,3,FALSE)),VLOOKUP($C21,$A$5:$F$11,3,FALSE)&gt;0,ISNUMBER(VLOOKUP($C21,$A$5:$F$11,6,FALSE))),$E21*VLOOKUP($C21,$A$5:$F$11,3,FALSE)*VLOOKUP($C21,$A$5:$F$11,6,FALSE),"")</f>
        <v/>
      </c>
    </row>
    <row r="22">
      <c r="A22" t="inlineStr">
        <is>
          <t>TTS.PC.001.IPE140.34</t>
        </is>
      </c>
      <c r="B22" t="inlineStr">
        <is>
          <t>Pilastro cuscinetto trave IPE 140 mt.3,40</t>
        </is>
      </c>
      <c r="C22" s="14" t="inlineStr">
        <is>
          <t>IPE 140</t>
        </is>
      </c>
      <c r="D22" s="21" t="n">
        <v>3.4</v>
      </c>
      <c r="E22" s="22">
        <f>IF(AND(ISNUMBER($D22),ISNUMBER(VLOOKUP($C22,$A$5:$F$11,4,FALSE))),$D22*VLOOKUP($C22,$A$5:$F$11,4,FALSE),"")</f>
        <v/>
      </c>
      <c r="F22" s="13">
        <f>IF(AND(ISNUMBER($D22),ISNUMBER(VLOOKUP($C22,$A$5:$F$11,2,FALSE)),ISNUMBER(VLOOKUP($C22,$A$5:$F$11,5,FALSE))),$D22*VLOOKUP($C22,$A$5:$F$11,2,FALSE)*VLOOKUP($C22,$A$5:$F$11,5,FALSE),"")</f>
        <v/>
      </c>
      <c r="G22" s="13">
        <f>IF(AND(ISNUMBER($E22),ISNUMBER(VLOOKUP($C22,$A$5:$F$11,3,FALSE)),VLOOKUP($C22,$A$5:$F$11,3,FALSE)&gt;0,ISNUMBER(VLOOKUP($C22,$A$5:$F$11,6,FALSE))),$E22*VLOOKUP($C22,$A$5:$F$11,3,FALSE)*VLOOKUP($C22,$A$5:$F$11,6,FALSE),"")</f>
        <v/>
      </c>
    </row>
    <row r="23">
      <c r="A23" t="inlineStr">
        <is>
          <t>TTS.PC.001.IPE140.35</t>
        </is>
      </c>
      <c r="B23" t="inlineStr">
        <is>
          <t>Pilastro cuscinetto trave IPE 140 mt.3,50</t>
        </is>
      </c>
      <c r="C23" s="14" t="inlineStr">
        <is>
          <t>IPE 140</t>
        </is>
      </c>
      <c r="D23" s="21" t="n">
        <v>3.5</v>
      </c>
      <c r="E23" s="22">
        <f>IF(AND(ISNUMBER($D23),ISNUMBER(VLOOKUP($C23,$A$5:$F$11,4,FALSE))),$D23*VLOOKUP($C23,$A$5:$F$11,4,FALSE),"")</f>
        <v/>
      </c>
      <c r="F23" s="13">
        <f>IF(AND(ISNUMBER($D23),ISNUMBER(VLOOKUP($C23,$A$5:$F$11,2,FALSE)),ISNUMBER(VLOOKUP($C23,$A$5:$F$11,5,FALSE))),$D23*VLOOKUP($C23,$A$5:$F$11,2,FALSE)*VLOOKUP($C23,$A$5:$F$11,5,FALSE),"")</f>
        <v/>
      </c>
      <c r="G23" s="13">
        <f>IF(AND(ISNUMBER($E23),ISNUMBER(VLOOKUP($C23,$A$5:$F$11,3,FALSE)),VLOOKUP($C23,$A$5:$F$11,3,FALSE)&gt;0,ISNUMBER(VLOOKUP($C23,$A$5:$F$11,6,FALSE))),$E23*VLOOKUP($C23,$A$5:$F$11,3,FALSE)*VLOOKUP($C23,$A$5:$F$11,6,FALSE),"")</f>
        <v/>
      </c>
    </row>
    <row r="24">
      <c r="A24" t="inlineStr">
        <is>
          <t>TTS.PC.001.IPE140.36</t>
        </is>
      </c>
      <c r="B24" t="inlineStr">
        <is>
          <t>Pilastro cuscinetto trave IPE 140 mt.3,60</t>
        </is>
      </c>
      <c r="C24" s="14" t="inlineStr">
        <is>
          <t>IPE 140</t>
        </is>
      </c>
      <c r="D24" s="21" t="n">
        <v>3.6</v>
      </c>
      <c r="E24" s="22">
        <f>IF(AND(ISNUMBER($D24),ISNUMBER(VLOOKUP($C24,$A$5:$F$11,4,FALSE))),$D24*VLOOKUP($C24,$A$5:$F$11,4,FALSE),"")</f>
        <v/>
      </c>
      <c r="F24" s="13">
        <f>IF(AND(ISNUMBER($D24),ISNUMBER(VLOOKUP($C24,$A$5:$F$11,2,FALSE)),ISNUMBER(VLOOKUP($C24,$A$5:$F$11,5,FALSE))),$D24*VLOOKUP($C24,$A$5:$F$11,2,FALSE)*VLOOKUP($C24,$A$5:$F$11,5,FALSE),"")</f>
        <v/>
      </c>
      <c r="G24" s="13">
        <f>IF(AND(ISNUMBER($E24),ISNUMBER(VLOOKUP($C24,$A$5:$F$11,3,FALSE)),VLOOKUP($C24,$A$5:$F$11,3,FALSE)&gt;0,ISNUMBER(VLOOKUP($C24,$A$5:$F$11,6,FALSE))),$E24*VLOOKUP($C24,$A$5:$F$11,3,FALSE)*VLOOKUP($C24,$A$5:$F$11,6,FALSE),"")</f>
        <v/>
      </c>
    </row>
    <row r="25">
      <c r="A25" t="inlineStr">
        <is>
          <t>TTS.PC.001.IPE140.37</t>
        </is>
      </c>
      <c r="B25" t="inlineStr">
        <is>
          <t>Pilastro cuscinetto trave IPE 140 mt.3,70</t>
        </is>
      </c>
      <c r="C25" s="14" t="inlineStr">
        <is>
          <t>IPE 140</t>
        </is>
      </c>
      <c r="D25" s="21" t="n">
        <v>3.7</v>
      </c>
      <c r="E25" s="22">
        <f>IF(AND(ISNUMBER($D25),ISNUMBER(VLOOKUP($C25,$A$5:$F$11,4,FALSE))),$D25*VLOOKUP($C25,$A$5:$F$11,4,FALSE),"")</f>
        <v/>
      </c>
      <c r="F25" s="13">
        <f>IF(AND(ISNUMBER($D25),ISNUMBER(VLOOKUP($C25,$A$5:$F$11,2,FALSE)),ISNUMBER(VLOOKUP($C25,$A$5:$F$11,5,FALSE))),$D25*VLOOKUP($C25,$A$5:$F$11,2,FALSE)*VLOOKUP($C25,$A$5:$F$11,5,FALSE),"")</f>
        <v/>
      </c>
      <c r="G25" s="13">
        <f>IF(AND(ISNUMBER($E25),ISNUMBER(VLOOKUP($C25,$A$5:$F$11,3,FALSE)),VLOOKUP($C25,$A$5:$F$11,3,FALSE)&gt;0,ISNUMBER(VLOOKUP($C25,$A$5:$F$11,6,FALSE))),$E25*VLOOKUP($C25,$A$5:$F$11,3,FALSE)*VLOOKUP($C25,$A$5:$F$11,6,FALSE),"")</f>
        <v/>
      </c>
    </row>
    <row r="26">
      <c r="A26" t="inlineStr">
        <is>
          <t>TTS.PC.001.IPE140.38</t>
        </is>
      </c>
      <c r="B26" t="inlineStr">
        <is>
          <t>Pilastro cuscinetto trave IPE 140 mt.3,80</t>
        </is>
      </c>
      <c r="C26" s="14" t="inlineStr">
        <is>
          <t>IPE 140</t>
        </is>
      </c>
      <c r="D26" s="21" t="n">
        <v>3.8</v>
      </c>
      <c r="E26" s="22">
        <f>IF(AND(ISNUMBER($D26),ISNUMBER(VLOOKUP($C26,$A$5:$F$11,4,FALSE))),$D26*VLOOKUP($C26,$A$5:$F$11,4,FALSE),"")</f>
        <v/>
      </c>
      <c r="F26" s="13">
        <f>IF(AND(ISNUMBER($D26),ISNUMBER(VLOOKUP($C26,$A$5:$F$11,2,FALSE)),ISNUMBER(VLOOKUP($C26,$A$5:$F$11,5,FALSE))),$D26*VLOOKUP($C26,$A$5:$F$11,2,FALSE)*VLOOKUP($C26,$A$5:$F$11,5,FALSE),"")</f>
        <v/>
      </c>
      <c r="G26" s="13">
        <f>IF(AND(ISNUMBER($E26),ISNUMBER(VLOOKUP($C26,$A$5:$F$11,3,FALSE)),VLOOKUP($C26,$A$5:$F$11,3,FALSE)&gt;0,ISNUMBER(VLOOKUP($C26,$A$5:$F$11,6,FALSE))),$E26*VLOOKUP($C26,$A$5:$F$11,3,FALSE)*VLOOKUP($C26,$A$5:$F$11,6,FALSE),"")</f>
        <v/>
      </c>
    </row>
    <row r="27">
      <c r="A27" t="inlineStr">
        <is>
          <t>TTS.PC.001.IPE140.39</t>
        </is>
      </c>
      <c r="B27" t="inlineStr">
        <is>
          <t>Pilastro cuscinetto trave IPE 140 mt.3,90</t>
        </is>
      </c>
      <c r="C27" s="14" t="inlineStr">
        <is>
          <t>IPE 140</t>
        </is>
      </c>
      <c r="D27" s="21" t="n">
        <v>3.9</v>
      </c>
      <c r="E27" s="22">
        <f>IF(AND(ISNUMBER($D27),ISNUMBER(VLOOKUP($C27,$A$5:$F$11,4,FALSE))),$D27*VLOOKUP($C27,$A$5:$F$11,4,FALSE),"")</f>
        <v/>
      </c>
      <c r="F27" s="13">
        <f>IF(AND(ISNUMBER($D27),ISNUMBER(VLOOKUP($C27,$A$5:$F$11,2,FALSE)),ISNUMBER(VLOOKUP($C27,$A$5:$F$11,5,FALSE))),$D27*VLOOKUP($C27,$A$5:$F$11,2,FALSE)*VLOOKUP($C27,$A$5:$F$11,5,FALSE),"")</f>
        <v/>
      </c>
      <c r="G27" s="13">
        <f>IF(AND(ISNUMBER($E27),ISNUMBER(VLOOKUP($C27,$A$5:$F$11,3,FALSE)),VLOOKUP($C27,$A$5:$F$11,3,FALSE)&gt;0,ISNUMBER(VLOOKUP($C27,$A$5:$F$11,6,FALSE))),$E27*VLOOKUP($C27,$A$5:$F$11,3,FALSE)*VLOOKUP($C27,$A$5:$F$11,6,FALSE),"")</f>
        <v/>
      </c>
    </row>
    <row r="28">
      <c r="A28" t="inlineStr">
        <is>
          <t>TTS.PC.001.IPE140.40</t>
        </is>
      </c>
      <c r="B28" t="inlineStr">
        <is>
          <t>Pilastro cuscinetto trave IPE 140 mt.4,00</t>
        </is>
      </c>
      <c r="C28" s="14" t="inlineStr">
        <is>
          <t>IPE 140</t>
        </is>
      </c>
      <c r="D28" s="21" t="n">
        <v>4</v>
      </c>
      <c r="E28" s="22">
        <f>IF(AND(ISNUMBER($D28),ISNUMBER(VLOOKUP($C28,$A$5:$F$11,4,FALSE))),$D28*VLOOKUP($C28,$A$5:$F$11,4,FALSE),"")</f>
        <v/>
      </c>
      <c r="F28" s="13">
        <f>IF(AND(ISNUMBER($D28),ISNUMBER(VLOOKUP($C28,$A$5:$F$11,2,FALSE)),ISNUMBER(VLOOKUP($C28,$A$5:$F$11,5,FALSE))),$D28*VLOOKUP($C28,$A$5:$F$11,2,FALSE)*VLOOKUP($C28,$A$5:$F$11,5,FALSE),"")</f>
        <v/>
      </c>
      <c r="G28" s="13">
        <f>IF(AND(ISNUMBER($E28),ISNUMBER(VLOOKUP($C28,$A$5:$F$11,3,FALSE)),VLOOKUP($C28,$A$5:$F$11,3,FALSE)&gt;0,ISNUMBER(VLOOKUP($C28,$A$5:$F$11,6,FALSE))),$E28*VLOOKUP($C28,$A$5:$F$11,3,FALSE)*VLOOKUP($C28,$A$5:$F$11,6,FALSE),"")</f>
        <v/>
      </c>
    </row>
    <row r="29">
      <c r="A29" t="inlineStr">
        <is>
          <t>TTS.PC.001.IPE140.41</t>
        </is>
      </c>
      <c r="B29" t="inlineStr">
        <is>
          <t>Pilastro cuscinetto trave IPE 140 mt.4,10</t>
        </is>
      </c>
      <c r="C29" s="14" t="inlineStr">
        <is>
          <t>IPE 140</t>
        </is>
      </c>
      <c r="D29" s="21" t="n">
        <v>4.1</v>
      </c>
      <c r="E29" s="22">
        <f>IF(AND(ISNUMBER($D29),ISNUMBER(VLOOKUP($C29,$A$5:$F$11,4,FALSE))),$D29*VLOOKUP($C29,$A$5:$F$11,4,FALSE),"")</f>
        <v/>
      </c>
      <c r="F29" s="13">
        <f>IF(AND(ISNUMBER($D29),ISNUMBER(VLOOKUP($C29,$A$5:$F$11,2,FALSE)),ISNUMBER(VLOOKUP($C29,$A$5:$F$11,5,FALSE))),$D29*VLOOKUP($C29,$A$5:$F$11,2,FALSE)*VLOOKUP($C29,$A$5:$F$11,5,FALSE),"")</f>
        <v/>
      </c>
      <c r="G29" s="13">
        <f>IF(AND(ISNUMBER($E29),ISNUMBER(VLOOKUP($C29,$A$5:$F$11,3,FALSE)),VLOOKUP($C29,$A$5:$F$11,3,FALSE)&gt;0,ISNUMBER(VLOOKUP($C29,$A$5:$F$11,6,FALSE))),$E29*VLOOKUP($C29,$A$5:$F$11,3,FALSE)*VLOOKUP($C29,$A$5:$F$11,6,FALSE),"")</f>
        <v/>
      </c>
    </row>
    <row r="30">
      <c r="A30" t="inlineStr">
        <is>
          <t>TTS.PC.001.IPE140.42</t>
        </is>
      </c>
      <c r="B30" t="inlineStr">
        <is>
          <t>Pilastro cuscinetto trave IPE 140 mt.4,20</t>
        </is>
      </c>
      <c r="C30" s="14" t="inlineStr">
        <is>
          <t>IPE 140</t>
        </is>
      </c>
      <c r="D30" s="21" t="n">
        <v>4.2</v>
      </c>
      <c r="E30" s="22">
        <f>IF(AND(ISNUMBER($D30),ISNUMBER(VLOOKUP($C30,$A$5:$F$11,4,FALSE))),$D30*VLOOKUP($C30,$A$5:$F$11,4,FALSE),"")</f>
        <v/>
      </c>
      <c r="F30" s="13">
        <f>IF(AND(ISNUMBER($D30),ISNUMBER(VLOOKUP($C30,$A$5:$F$11,2,FALSE)),ISNUMBER(VLOOKUP($C30,$A$5:$F$11,5,FALSE))),$D30*VLOOKUP($C30,$A$5:$F$11,2,FALSE)*VLOOKUP($C30,$A$5:$F$11,5,FALSE),"")</f>
        <v/>
      </c>
      <c r="G30" s="13">
        <f>IF(AND(ISNUMBER($E30),ISNUMBER(VLOOKUP($C30,$A$5:$F$11,3,FALSE)),VLOOKUP($C30,$A$5:$F$11,3,FALSE)&gt;0,ISNUMBER(VLOOKUP($C30,$A$5:$F$11,6,FALSE))),$E30*VLOOKUP($C30,$A$5:$F$11,3,FALSE)*VLOOKUP($C30,$A$5:$F$11,6,FALSE),"")</f>
        <v/>
      </c>
    </row>
    <row r="31">
      <c r="A31" t="inlineStr">
        <is>
          <t>TTS.PC.001.IPE140.43</t>
        </is>
      </c>
      <c r="B31" t="inlineStr">
        <is>
          <t>Pilastro cuscinetto trave IPE 140 mt.4,30</t>
        </is>
      </c>
      <c r="C31" s="14" t="inlineStr">
        <is>
          <t>IPE 140</t>
        </is>
      </c>
      <c r="D31" s="21" t="n">
        <v>4.3</v>
      </c>
      <c r="E31" s="22">
        <f>IF(AND(ISNUMBER($D31),ISNUMBER(VLOOKUP($C31,$A$5:$F$11,4,FALSE))),$D31*VLOOKUP($C31,$A$5:$F$11,4,FALSE),"")</f>
        <v/>
      </c>
      <c r="F31" s="13">
        <f>IF(AND(ISNUMBER($D31),ISNUMBER(VLOOKUP($C31,$A$5:$F$11,2,FALSE)),ISNUMBER(VLOOKUP($C31,$A$5:$F$11,5,FALSE))),$D31*VLOOKUP($C31,$A$5:$F$11,2,FALSE)*VLOOKUP($C31,$A$5:$F$11,5,FALSE),"")</f>
        <v/>
      </c>
      <c r="G31" s="13">
        <f>IF(AND(ISNUMBER($E31),ISNUMBER(VLOOKUP($C31,$A$5:$F$11,3,FALSE)),VLOOKUP($C31,$A$5:$F$11,3,FALSE)&gt;0,ISNUMBER(VLOOKUP($C31,$A$5:$F$11,6,FALSE))),$E31*VLOOKUP($C31,$A$5:$F$11,3,FALSE)*VLOOKUP($C31,$A$5:$F$11,6,FALSE),"")</f>
        <v/>
      </c>
    </row>
    <row r="32">
      <c r="A32" t="inlineStr">
        <is>
          <t>TTS.PC.001.IPE140.44</t>
        </is>
      </c>
      <c r="B32" t="inlineStr">
        <is>
          <t>Pilastro cuscinetto trave IPE 140 mt.4,40</t>
        </is>
      </c>
      <c r="C32" s="14" t="inlineStr">
        <is>
          <t>IPE 140</t>
        </is>
      </c>
      <c r="D32" s="21" t="n">
        <v>4.4</v>
      </c>
      <c r="E32" s="22">
        <f>IF(AND(ISNUMBER($D32),ISNUMBER(VLOOKUP($C32,$A$5:$F$11,4,FALSE))),$D32*VLOOKUP($C32,$A$5:$F$11,4,FALSE),"")</f>
        <v/>
      </c>
      <c r="F32" s="13">
        <f>IF(AND(ISNUMBER($D32),ISNUMBER(VLOOKUP($C32,$A$5:$F$11,2,FALSE)),ISNUMBER(VLOOKUP($C32,$A$5:$F$11,5,FALSE))),$D32*VLOOKUP($C32,$A$5:$F$11,2,FALSE)*VLOOKUP($C32,$A$5:$F$11,5,FALSE),"")</f>
        <v/>
      </c>
      <c r="G32" s="13">
        <f>IF(AND(ISNUMBER($E32),ISNUMBER(VLOOKUP($C32,$A$5:$F$11,3,FALSE)),VLOOKUP($C32,$A$5:$F$11,3,FALSE)&gt;0,ISNUMBER(VLOOKUP($C32,$A$5:$F$11,6,FALSE))),$E32*VLOOKUP($C32,$A$5:$F$11,3,FALSE)*VLOOKUP($C32,$A$5:$F$11,6,FALSE),"")</f>
        <v/>
      </c>
    </row>
    <row r="33">
      <c r="A33" t="inlineStr">
        <is>
          <t>TTS.PC.001.IPE140.45</t>
        </is>
      </c>
      <c r="B33" t="inlineStr">
        <is>
          <t>Pilastro cuscinetto trave IPE 140 mt.4,50</t>
        </is>
      </c>
      <c r="C33" s="14" t="inlineStr">
        <is>
          <t>IPE 140</t>
        </is>
      </c>
      <c r="D33" s="21" t="n">
        <v>4.5</v>
      </c>
      <c r="E33" s="22">
        <f>IF(AND(ISNUMBER($D33),ISNUMBER(VLOOKUP($C33,$A$5:$F$11,4,FALSE))),$D33*VLOOKUP($C33,$A$5:$F$11,4,FALSE),"")</f>
        <v/>
      </c>
      <c r="F33" s="13">
        <f>IF(AND(ISNUMBER($D33),ISNUMBER(VLOOKUP($C33,$A$5:$F$11,2,FALSE)),ISNUMBER(VLOOKUP($C33,$A$5:$F$11,5,FALSE))),$D33*VLOOKUP($C33,$A$5:$F$11,2,FALSE)*VLOOKUP($C33,$A$5:$F$11,5,FALSE),"")</f>
        <v/>
      </c>
      <c r="G33" s="13">
        <f>IF(AND(ISNUMBER($E33),ISNUMBER(VLOOKUP($C33,$A$5:$F$11,3,FALSE)),VLOOKUP($C33,$A$5:$F$11,3,FALSE)&gt;0,ISNUMBER(VLOOKUP($C33,$A$5:$F$11,6,FALSE))),$E33*VLOOKUP($C33,$A$5:$F$11,3,FALSE)*VLOOKUP($C33,$A$5:$F$11,6,FALSE),"")</f>
        <v/>
      </c>
    </row>
    <row r="34">
      <c r="A34" t="inlineStr">
        <is>
          <t>TTS.PC.001.IPEA140.23</t>
        </is>
      </c>
      <c r="B34" t="inlineStr">
        <is>
          <t>Pilastro cuscinetto trave IPEA 140 mt.2,30 (alleggerita)</t>
        </is>
      </c>
      <c r="C34" s="14" t="inlineStr">
        <is>
          <t>IPEA 140</t>
        </is>
      </c>
      <c r="D34" s="21" t="n">
        <v>2.3</v>
      </c>
      <c r="E34" s="22">
        <f>IF(AND(ISNUMBER($D34),ISNUMBER(VLOOKUP($C34,$A$5:$F$11,4,FALSE))),$D34*VLOOKUP($C34,$A$5:$F$11,4,FALSE),"")</f>
        <v/>
      </c>
      <c r="F34" s="13">
        <f>IF(AND(ISNUMBER($D34),ISNUMBER(VLOOKUP($C34,$A$5:$F$11,2,FALSE)),ISNUMBER(VLOOKUP($C34,$A$5:$F$11,5,FALSE))),$D34*VLOOKUP($C34,$A$5:$F$11,2,FALSE)*VLOOKUP($C34,$A$5:$F$11,5,FALSE),"")</f>
        <v/>
      </c>
      <c r="G34" s="13">
        <f>IF(AND(ISNUMBER($E34),ISNUMBER(VLOOKUP($C34,$A$5:$F$11,3,FALSE)),VLOOKUP($C34,$A$5:$F$11,3,FALSE)&gt;0,ISNUMBER(VLOOKUP($C34,$A$5:$F$11,6,FALSE))),$E34*VLOOKUP($C34,$A$5:$F$11,3,FALSE)*VLOOKUP($C34,$A$5:$F$11,6,FALSE),"")</f>
        <v/>
      </c>
    </row>
    <row r="35">
      <c r="A35" t="inlineStr">
        <is>
          <t>TTS.PC.001.IPEA140.23.FI</t>
        </is>
      </c>
      <c r="B35" t="inlineStr">
        <is>
          <t>Pilastro cuscinetto trave ipea140 x mt. 2,30 con foratura alloggiamento inverter (alleggerita)</t>
        </is>
      </c>
      <c r="C35" s="14" t="inlineStr">
        <is>
          <t>IPEA 140</t>
        </is>
      </c>
      <c r="D35" s="21" t="n">
        <v>2.3</v>
      </c>
      <c r="E35" s="22">
        <f>IF(AND(ISNUMBER($D35),ISNUMBER(VLOOKUP($C35,$A$5:$F$11,4,FALSE))),$D35*VLOOKUP($C35,$A$5:$F$11,4,FALSE),"")</f>
        <v/>
      </c>
      <c r="F35" s="13">
        <f>IF(AND(ISNUMBER($D35),ISNUMBER(VLOOKUP($C35,$A$5:$F$11,2,FALSE)),ISNUMBER(VLOOKUP($C35,$A$5:$F$11,5,FALSE))),$D35*VLOOKUP($C35,$A$5:$F$11,2,FALSE)*VLOOKUP($C35,$A$5:$F$11,5,FALSE),"")</f>
        <v/>
      </c>
      <c r="G35" s="13">
        <f>IF(AND(ISNUMBER($E35),ISNUMBER(VLOOKUP($C35,$A$5:$F$11,3,FALSE)),VLOOKUP($C35,$A$5:$F$11,3,FALSE)&gt;0,ISNUMBER(VLOOKUP($C35,$A$5:$F$11,6,FALSE))),$E35*VLOOKUP($C35,$A$5:$F$11,3,FALSE)*VLOOKUP($C35,$A$5:$F$11,6,FALSE),"")</f>
        <v/>
      </c>
    </row>
    <row r="36">
      <c r="A36" t="inlineStr">
        <is>
          <t>TTS.PC.001.IPEA140.23.FQA</t>
        </is>
      </c>
      <c r="B36" t="inlineStr">
        <is>
          <t>Pilastro cuscinetto trave ipea140 x mt. 2,30 con foratura alloggiamento quadro area (alleggerita)</t>
        </is>
      </c>
      <c r="C36" s="14" t="inlineStr">
        <is>
          <t>IPEA 140</t>
        </is>
      </c>
      <c r="D36" s="21" t="n">
        <v>2.3</v>
      </c>
      <c r="E36" s="22">
        <f>IF(AND(ISNUMBER($D36),ISNUMBER(VLOOKUP($C36,$A$5:$F$11,4,FALSE))),$D36*VLOOKUP($C36,$A$5:$F$11,4,FALSE),"")</f>
        <v/>
      </c>
      <c r="F36" s="13">
        <f>IF(AND(ISNUMBER($D36),ISNUMBER(VLOOKUP($C36,$A$5:$F$11,2,FALSE)),ISNUMBER(VLOOKUP($C36,$A$5:$F$11,5,FALSE))),$D36*VLOOKUP($C36,$A$5:$F$11,2,FALSE)*VLOOKUP($C36,$A$5:$F$11,5,FALSE),"")</f>
        <v/>
      </c>
      <c r="G36" s="13">
        <f>IF(AND(ISNUMBER($E36),ISNUMBER(VLOOKUP($C36,$A$5:$F$11,3,FALSE)),VLOOKUP($C36,$A$5:$F$11,3,FALSE)&gt;0,ISNUMBER(VLOOKUP($C36,$A$5:$F$11,6,FALSE))),$E36*VLOOKUP($C36,$A$5:$F$11,3,FALSE)*VLOOKUP($C36,$A$5:$F$11,6,FALSE),"")</f>
        <v/>
      </c>
    </row>
    <row r="37">
      <c r="A37" t="inlineStr">
        <is>
          <t>TTS.PC.001.IPEA140.28</t>
        </is>
      </c>
      <c r="B37" t="inlineStr">
        <is>
          <t>Pilastro cuscinetto trave IPEA 140 mt.2,80 (alleggerita)</t>
        </is>
      </c>
      <c r="C37" s="14" t="inlineStr">
        <is>
          <t>IPEA 140</t>
        </is>
      </c>
      <c r="D37" s="21" t="n">
        <v>2.8</v>
      </c>
      <c r="E37" s="22">
        <f>IF(AND(ISNUMBER($D37),ISNUMBER(VLOOKUP($C37,$A$5:$F$11,4,FALSE))),$D37*VLOOKUP($C37,$A$5:$F$11,4,FALSE),"")</f>
        <v/>
      </c>
      <c r="F37" s="13">
        <f>IF(AND(ISNUMBER($D37),ISNUMBER(VLOOKUP($C37,$A$5:$F$11,2,FALSE)),ISNUMBER(VLOOKUP($C37,$A$5:$F$11,5,FALSE))),$D37*VLOOKUP($C37,$A$5:$F$11,2,FALSE)*VLOOKUP($C37,$A$5:$F$11,5,FALSE),"")</f>
        <v/>
      </c>
      <c r="G37" s="13">
        <f>IF(AND(ISNUMBER($E37),ISNUMBER(VLOOKUP($C37,$A$5:$F$11,3,FALSE)),VLOOKUP($C37,$A$5:$F$11,3,FALSE)&gt;0,ISNUMBER(VLOOKUP($C37,$A$5:$F$11,6,FALSE))),$E37*VLOOKUP($C37,$A$5:$F$11,3,FALSE)*VLOOKUP($C37,$A$5:$F$11,6,FALSE),"")</f>
        <v/>
      </c>
    </row>
    <row r="38">
      <c r="A38" t="inlineStr">
        <is>
          <t>TTS.PC.001.IPEA140.29</t>
        </is>
      </c>
      <c r="B38" t="inlineStr">
        <is>
          <t>Pilastro cuscinetto trave IPEA 140 mt.2,90 (alleggerita)</t>
        </is>
      </c>
      <c r="C38" s="14" t="inlineStr">
        <is>
          <t>IPEA 140</t>
        </is>
      </c>
      <c r="D38" s="21" t="n">
        <v>2.9</v>
      </c>
      <c r="E38" s="22">
        <f>IF(AND(ISNUMBER($D38),ISNUMBER(VLOOKUP($C38,$A$5:$F$11,4,FALSE))),$D38*VLOOKUP($C38,$A$5:$F$11,4,FALSE),"")</f>
        <v/>
      </c>
      <c r="F38" s="13">
        <f>IF(AND(ISNUMBER($D38),ISNUMBER(VLOOKUP($C38,$A$5:$F$11,2,FALSE)),ISNUMBER(VLOOKUP($C38,$A$5:$F$11,5,FALSE))),$D38*VLOOKUP($C38,$A$5:$F$11,2,FALSE)*VLOOKUP($C38,$A$5:$F$11,5,FALSE),"")</f>
        <v/>
      </c>
      <c r="G38" s="13">
        <f>IF(AND(ISNUMBER($E38),ISNUMBER(VLOOKUP($C38,$A$5:$F$11,3,FALSE)),VLOOKUP($C38,$A$5:$F$11,3,FALSE)&gt;0,ISNUMBER(VLOOKUP($C38,$A$5:$F$11,6,FALSE))),$E38*VLOOKUP($C38,$A$5:$F$11,3,FALSE)*VLOOKUP($C38,$A$5:$F$11,6,FALSE),"")</f>
        <v/>
      </c>
    </row>
    <row r="39">
      <c r="A39" t="inlineStr">
        <is>
          <t>TTS.PC.001.IPEA140.30</t>
        </is>
      </c>
      <c r="B39" t="inlineStr">
        <is>
          <t>Pilastro cuscinetto trave IPEA 140 mt.3,00 (alleggerita)</t>
        </is>
      </c>
      <c r="C39" s="14" t="inlineStr">
        <is>
          <t>IPEA 140</t>
        </is>
      </c>
      <c r="D39" s="21" t="n">
        <v>3</v>
      </c>
      <c r="E39" s="22">
        <f>IF(AND(ISNUMBER($D39),ISNUMBER(VLOOKUP($C39,$A$5:$F$11,4,FALSE))),$D39*VLOOKUP($C39,$A$5:$F$11,4,FALSE),"")</f>
        <v/>
      </c>
      <c r="F39" s="13">
        <f>IF(AND(ISNUMBER($D39),ISNUMBER(VLOOKUP($C39,$A$5:$F$11,2,FALSE)),ISNUMBER(VLOOKUP($C39,$A$5:$F$11,5,FALSE))),$D39*VLOOKUP($C39,$A$5:$F$11,2,FALSE)*VLOOKUP($C39,$A$5:$F$11,5,FALSE),"")</f>
        <v/>
      </c>
      <c r="G39" s="13">
        <f>IF(AND(ISNUMBER($E39),ISNUMBER(VLOOKUP($C39,$A$5:$F$11,3,FALSE)),VLOOKUP($C39,$A$5:$F$11,3,FALSE)&gt;0,ISNUMBER(VLOOKUP($C39,$A$5:$F$11,6,FALSE))),$E39*VLOOKUP($C39,$A$5:$F$11,3,FALSE)*VLOOKUP($C39,$A$5:$F$11,6,FALSE),"")</f>
        <v/>
      </c>
    </row>
    <row r="40">
      <c r="A40" t="inlineStr">
        <is>
          <t>TTS.PC.001.IPEA140.31</t>
        </is>
      </c>
      <c r="B40" t="inlineStr">
        <is>
          <t>Pilastro cuscinetto trave IPEA 140 mt.3,10 (alleggerita)</t>
        </is>
      </c>
      <c r="C40" s="14" t="inlineStr">
        <is>
          <t>IPEA 140</t>
        </is>
      </c>
      <c r="D40" s="21" t="n">
        <v>3.1</v>
      </c>
      <c r="E40" s="22">
        <f>IF(AND(ISNUMBER($D40),ISNUMBER(VLOOKUP($C40,$A$5:$F$11,4,FALSE))),$D40*VLOOKUP($C40,$A$5:$F$11,4,FALSE),"")</f>
        <v/>
      </c>
      <c r="F40" s="13">
        <f>IF(AND(ISNUMBER($D40),ISNUMBER(VLOOKUP($C40,$A$5:$F$11,2,FALSE)),ISNUMBER(VLOOKUP($C40,$A$5:$F$11,5,FALSE))),$D40*VLOOKUP($C40,$A$5:$F$11,2,FALSE)*VLOOKUP($C40,$A$5:$F$11,5,FALSE),"")</f>
        <v/>
      </c>
      <c r="G40" s="13">
        <f>IF(AND(ISNUMBER($E40),ISNUMBER(VLOOKUP($C40,$A$5:$F$11,3,FALSE)),VLOOKUP($C40,$A$5:$F$11,3,FALSE)&gt;0,ISNUMBER(VLOOKUP($C40,$A$5:$F$11,6,FALSE))),$E40*VLOOKUP($C40,$A$5:$F$11,3,FALSE)*VLOOKUP($C40,$A$5:$F$11,6,FALSE),"")</f>
        <v/>
      </c>
    </row>
    <row r="41">
      <c r="A41" t="inlineStr">
        <is>
          <t>TTS.PC.001.IPEA140.32</t>
        </is>
      </c>
      <c r="B41" t="inlineStr">
        <is>
          <t>Pilastro cuscinetto trave IPEA 140 mt.3,20 (alleggerita)</t>
        </is>
      </c>
      <c r="C41" s="14" t="inlineStr">
        <is>
          <t>IPEA 140</t>
        </is>
      </c>
      <c r="D41" s="21" t="n">
        <v>3.2</v>
      </c>
      <c r="E41" s="22">
        <f>IF(AND(ISNUMBER($D41),ISNUMBER(VLOOKUP($C41,$A$5:$F$11,4,FALSE))),$D41*VLOOKUP($C41,$A$5:$F$11,4,FALSE),"")</f>
        <v/>
      </c>
      <c r="F41" s="13">
        <f>IF(AND(ISNUMBER($D41),ISNUMBER(VLOOKUP($C41,$A$5:$F$11,2,FALSE)),ISNUMBER(VLOOKUP($C41,$A$5:$F$11,5,FALSE))),$D41*VLOOKUP($C41,$A$5:$F$11,2,FALSE)*VLOOKUP($C41,$A$5:$F$11,5,FALSE),"")</f>
        <v/>
      </c>
      <c r="G41" s="13">
        <f>IF(AND(ISNUMBER($E41),ISNUMBER(VLOOKUP($C41,$A$5:$F$11,3,FALSE)),VLOOKUP($C41,$A$5:$F$11,3,FALSE)&gt;0,ISNUMBER(VLOOKUP($C41,$A$5:$F$11,6,FALSE))),$E41*VLOOKUP($C41,$A$5:$F$11,3,FALSE)*VLOOKUP($C41,$A$5:$F$11,6,FALSE),"")</f>
        <v/>
      </c>
    </row>
    <row r="42">
      <c r="A42" t="inlineStr">
        <is>
          <t>TTS.PC.001.IPEA140.33</t>
        </is>
      </c>
      <c r="B42" t="inlineStr">
        <is>
          <t>Pilastro cuscinetto trave IPEA 140 mt.3,30 (alleggerita)</t>
        </is>
      </c>
      <c r="C42" s="14" t="inlineStr">
        <is>
          <t>IPEA 140</t>
        </is>
      </c>
      <c r="D42" s="21" t="n">
        <v>3.3</v>
      </c>
      <c r="E42" s="22">
        <f>IF(AND(ISNUMBER($D42),ISNUMBER(VLOOKUP($C42,$A$5:$F$11,4,FALSE))),$D42*VLOOKUP($C42,$A$5:$F$11,4,FALSE),"")</f>
        <v/>
      </c>
      <c r="F42" s="13">
        <f>IF(AND(ISNUMBER($D42),ISNUMBER(VLOOKUP($C42,$A$5:$F$11,2,FALSE)),ISNUMBER(VLOOKUP($C42,$A$5:$F$11,5,FALSE))),$D42*VLOOKUP($C42,$A$5:$F$11,2,FALSE)*VLOOKUP($C42,$A$5:$F$11,5,FALSE),"")</f>
        <v/>
      </c>
      <c r="G42" s="13">
        <f>IF(AND(ISNUMBER($E42),ISNUMBER(VLOOKUP($C42,$A$5:$F$11,3,FALSE)),VLOOKUP($C42,$A$5:$F$11,3,FALSE)&gt;0,ISNUMBER(VLOOKUP($C42,$A$5:$F$11,6,FALSE))),$E42*VLOOKUP($C42,$A$5:$F$11,3,FALSE)*VLOOKUP($C42,$A$5:$F$11,6,FALSE),"")</f>
        <v/>
      </c>
    </row>
    <row r="43">
      <c r="A43" t="inlineStr">
        <is>
          <t>TTS.PC.001.IPEA140.34</t>
        </is>
      </c>
      <c r="B43" t="inlineStr">
        <is>
          <t>Pilastro cuscinetto trave IPEA 140 mt.3,40 (alleggerita)</t>
        </is>
      </c>
      <c r="C43" s="14" t="inlineStr">
        <is>
          <t>IPEA 140</t>
        </is>
      </c>
      <c r="D43" s="21" t="n">
        <v>3.4</v>
      </c>
      <c r="E43" s="22">
        <f>IF(AND(ISNUMBER($D43),ISNUMBER(VLOOKUP($C43,$A$5:$F$11,4,FALSE))),$D43*VLOOKUP($C43,$A$5:$F$11,4,FALSE),"")</f>
        <v/>
      </c>
      <c r="F43" s="13">
        <f>IF(AND(ISNUMBER($D43),ISNUMBER(VLOOKUP($C43,$A$5:$F$11,2,FALSE)),ISNUMBER(VLOOKUP($C43,$A$5:$F$11,5,FALSE))),$D43*VLOOKUP($C43,$A$5:$F$11,2,FALSE)*VLOOKUP($C43,$A$5:$F$11,5,FALSE),"")</f>
        <v/>
      </c>
      <c r="G43" s="13">
        <f>IF(AND(ISNUMBER($E43),ISNUMBER(VLOOKUP($C43,$A$5:$F$11,3,FALSE)),VLOOKUP($C43,$A$5:$F$11,3,FALSE)&gt;0,ISNUMBER(VLOOKUP($C43,$A$5:$F$11,6,FALSE))),$E43*VLOOKUP($C43,$A$5:$F$11,3,FALSE)*VLOOKUP($C43,$A$5:$F$11,6,FALSE),"")</f>
        <v/>
      </c>
    </row>
    <row r="44">
      <c r="A44" t="inlineStr">
        <is>
          <t>TTS.PC.001.IPEA140.35</t>
        </is>
      </c>
      <c r="B44" t="inlineStr">
        <is>
          <t>Pilastro cuscinetto trave IPEA 140 mt.3,50 (alleggerita)</t>
        </is>
      </c>
      <c r="C44" s="14" t="inlineStr">
        <is>
          <t>IPEA 140</t>
        </is>
      </c>
      <c r="D44" s="21" t="n">
        <v>3.5</v>
      </c>
      <c r="E44" s="22">
        <f>IF(AND(ISNUMBER($D44),ISNUMBER(VLOOKUP($C44,$A$5:$F$11,4,FALSE))),$D44*VLOOKUP($C44,$A$5:$F$11,4,FALSE),"")</f>
        <v/>
      </c>
      <c r="F44" s="13">
        <f>IF(AND(ISNUMBER($D44),ISNUMBER(VLOOKUP($C44,$A$5:$F$11,2,FALSE)),ISNUMBER(VLOOKUP($C44,$A$5:$F$11,5,FALSE))),$D44*VLOOKUP($C44,$A$5:$F$11,2,FALSE)*VLOOKUP($C44,$A$5:$F$11,5,FALSE),"")</f>
        <v/>
      </c>
      <c r="G44" s="13">
        <f>IF(AND(ISNUMBER($E44),ISNUMBER(VLOOKUP($C44,$A$5:$F$11,3,FALSE)),VLOOKUP($C44,$A$5:$F$11,3,FALSE)&gt;0,ISNUMBER(VLOOKUP($C44,$A$5:$F$11,6,FALSE))),$E44*VLOOKUP($C44,$A$5:$F$11,3,FALSE)*VLOOKUP($C44,$A$5:$F$11,6,FALSE),"")</f>
        <v/>
      </c>
    </row>
    <row r="45">
      <c r="A45" t="inlineStr">
        <is>
          <t>TTS.PC.001.IPEA140.36</t>
        </is>
      </c>
      <c r="B45" t="inlineStr">
        <is>
          <t>Pilastro cuscinetto trave IPEA 140 mt.3,60 (alleggerita)</t>
        </is>
      </c>
      <c r="C45" s="14" t="inlineStr">
        <is>
          <t>IPEA 140</t>
        </is>
      </c>
      <c r="D45" s="21" t="n">
        <v>3.6</v>
      </c>
      <c r="E45" s="22">
        <f>IF(AND(ISNUMBER($D45),ISNUMBER(VLOOKUP($C45,$A$5:$F$11,4,FALSE))),$D45*VLOOKUP($C45,$A$5:$F$11,4,FALSE),"")</f>
        <v/>
      </c>
      <c r="F45" s="13">
        <f>IF(AND(ISNUMBER($D45),ISNUMBER(VLOOKUP($C45,$A$5:$F$11,2,FALSE)),ISNUMBER(VLOOKUP($C45,$A$5:$F$11,5,FALSE))),$D45*VLOOKUP($C45,$A$5:$F$11,2,FALSE)*VLOOKUP($C45,$A$5:$F$11,5,FALSE),"")</f>
        <v/>
      </c>
      <c r="G45" s="13">
        <f>IF(AND(ISNUMBER($E45),ISNUMBER(VLOOKUP($C45,$A$5:$F$11,3,FALSE)),VLOOKUP($C45,$A$5:$F$11,3,FALSE)&gt;0,ISNUMBER(VLOOKUP($C45,$A$5:$F$11,6,FALSE))),$E45*VLOOKUP($C45,$A$5:$F$11,3,FALSE)*VLOOKUP($C45,$A$5:$F$11,6,FALSE),"")</f>
        <v/>
      </c>
    </row>
    <row r="46">
      <c r="A46" t="inlineStr">
        <is>
          <t>TTS.PC.001.IPEA140.37</t>
        </is>
      </c>
      <c r="B46" t="inlineStr">
        <is>
          <t>Pilastro cuscinetto trave IPEA 140 mt.3,70 (alleggerita)</t>
        </is>
      </c>
      <c r="C46" s="14" t="inlineStr">
        <is>
          <t>IPEA 140</t>
        </is>
      </c>
      <c r="D46" s="21" t="n">
        <v>3.7</v>
      </c>
      <c r="E46" s="22">
        <f>IF(AND(ISNUMBER($D46),ISNUMBER(VLOOKUP($C46,$A$5:$F$11,4,FALSE))),$D46*VLOOKUP($C46,$A$5:$F$11,4,FALSE),"")</f>
        <v/>
      </c>
      <c r="F46" s="13">
        <f>IF(AND(ISNUMBER($D46),ISNUMBER(VLOOKUP($C46,$A$5:$F$11,2,FALSE)),ISNUMBER(VLOOKUP($C46,$A$5:$F$11,5,FALSE))),$D46*VLOOKUP($C46,$A$5:$F$11,2,FALSE)*VLOOKUP($C46,$A$5:$F$11,5,FALSE),"")</f>
        <v/>
      </c>
      <c r="G46" s="13">
        <f>IF(AND(ISNUMBER($E46),ISNUMBER(VLOOKUP($C46,$A$5:$F$11,3,FALSE)),VLOOKUP($C46,$A$5:$F$11,3,FALSE)&gt;0,ISNUMBER(VLOOKUP($C46,$A$5:$F$11,6,FALSE))),$E46*VLOOKUP($C46,$A$5:$F$11,3,FALSE)*VLOOKUP($C46,$A$5:$F$11,6,FALSE),"")</f>
        <v/>
      </c>
    </row>
    <row r="47">
      <c r="A47" t="inlineStr">
        <is>
          <t>TTS.PC.001.IPEA140.38</t>
        </is>
      </c>
      <c r="B47" t="inlineStr">
        <is>
          <t>Pilastro cuscinetto trave IPEA 140 mt.3,80 (alleggerita)</t>
        </is>
      </c>
      <c r="C47" s="14" t="inlineStr">
        <is>
          <t>IPEA 140</t>
        </is>
      </c>
      <c r="D47" s="21" t="n">
        <v>3.8</v>
      </c>
      <c r="E47" s="22">
        <f>IF(AND(ISNUMBER($D47),ISNUMBER(VLOOKUP($C47,$A$5:$F$11,4,FALSE))),$D47*VLOOKUP($C47,$A$5:$F$11,4,FALSE),"")</f>
        <v/>
      </c>
      <c r="F47" s="13">
        <f>IF(AND(ISNUMBER($D47),ISNUMBER(VLOOKUP($C47,$A$5:$F$11,2,FALSE)),ISNUMBER(VLOOKUP($C47,$A$5:$F$11,5,FALSE))),$D47*VLOOKUP($C47,$A$5:$F$11,2,FALSE)*VLOOKUP($C47,$A$5:$F$11,5,FALSE),"")</f>
        <v/>
      </c>
      <c r="G47" s="13">
        <f>IF(AND(ISNUMBER($E47),ISNUMBER(VLOOKUP($C47,$A$5:$F$11,3,FALSE)),VLOOKUP($C47,$A$5:$F$11,3,FALSE)&gt;0,ISNUMBER(VLOOKUP($C47,$A$5:$F$11,6,FALSE))),$E47*VLOOKUP($C47,$A$5:$F$11,3,FALSE)*VLOOKUP($C47,$A$5:$F$11,6,FALSE),"")</f>
        <v/>
      </c>
    </row>
    <row r="48">
      <c r="A48" t="inlineStr">
        <is>
          <t>TTS.PC.001.IPEA140.39</t>
        </is>
      </c>
      <c r="B48" t="inlineStr">
        <is>
          <t>Pilastro cuscinetto trave IPEA 140 mt.3,90 (alleggerita)</t>
        </is>
      </c>
      <c r="C48" s="14" t="inlineStr">
        <is>
          <t>IPEA 140</t>
        </is>
      </c>
      <c r="D48" s="21" t="n">
        <v>3.9</v>
      </c>
      <c r="E48" s="22">
        <f>IF(AND(ISNUMBER($D48),ISNUMBER(VLOOKUP($C48,$A$5:$F$11,4,FALSE))),$D48*VLOOKUP($C48,$A$5:$F$11,4,FALSE),"")</f>
        <v/>
      </c>
      <c r="F48" s="13">
        <f>IF(AND(ISNUMBER($D48),ISNUMBER(VLOOKUP($C48,$A$5:$F$11,2,FALSE)),ISNUMBER(VLOOKUP($C48,$A$5:$F$11,5,FALSE))),$D48*VLOOKUP($C48,$A$5:$F$11,2,FALSE)*VLOOKUP($C48,$A$5:$F$11,5,FALSE),"")</f>
        <v/>
      </c>
      <c r="G48" s="13">
        <f>IF(AND(ISNUMBER($E48),ISNUMBER(VLOOKUP($C48,$A$5:$F$11,3,FALSE)),VLOOKUP($C48,$A$5:$F$11,3,FALSE)&gt;0,ISNUMBER(VLOOKUP($C48,$A$5:$F$11,6,FALSE))),$E48*VLOOKUP($C48,$A$5:$F$11,3,FALSE)*VLOOKUP($C48,$A$5:$F$11,6,FALSE),"")</f>
        <v/>
      </c>
    </row>
    <row r="49">
      <c r="A49" t="inlineStr">
        <is>
          <t>TTS.PC.001.IPEA140.40</t>
        </is>
      </c>
      <c r="B49" t="inlineStr">
        <is>
          <t>Pilastro cuscinetto trave IPEA 140 mt.4,00 (alleggerita)</t>
        </is>
      </c>
      <c r="C49" s="14" t="inlineStr">
        <is>
          <t>IPEA 140</t>
        </is>
      </c>
      <c r="D49" s="21" t="n">
        <v>4</v>
      </c>
      <c r="E49" s="22">
        <f>IF(AND(ISNUMBER($D49),ISNUMBER(VLOOKUP($C49,$A$5:$F$11,4,FALSE))),$D49*VLOOKUP($C49,$A$5:$F$11,4,FALSE),"")</f>
        <v/>
      </c>
      <c r="F49" s="13">
        <f>IF(AND(ISNUMBER($D49),ISNUMBER(VLOOKUP($C49,$A$5:$F$11,2,FALSE)),ISNUMBER(VLOOKUP($C49,$A$5:$F$11,5,FALSE))),$D49*VLOOKUP($C49,$A$5:$F$11,2,FALSE)*VLOOKUP($C49,$A$5:$F$11,5,FALSE),"")</f>
        <v/>
      </c>
      <c r="G49" s="13">
        <f>IF(AND(ISNUMBER($E49),ISNUMBER(VLOOKUP($C49,$A$5:$F$11,3,FALSE)),VLOOKUP($C49,$A$5:$F$11,3,FALSE)&gt;0,ISNUMBER(VLOOKUP($C49,$A$5:$F$11,6,FALSE))),$E49*VLOOKUP($C49,$A$5:$F$11,3,FALSE)*VLOOKUP($C49,$A$5:$F$11,6,FALSE),"")</f>
        <v/>
      </c>
    </row>
    <row r="50">
      <c r="A50" t="inlineStr">
        <is>
          <t>TTS.PC.001.IPEA140.41</t>
        </is>
      </c>
      <c r="B50" t="inlineStr">
        <is>
          <t>Pilastro cuscinetto trave IPEA 140 mt.4,10 (alleggerita)</t>
        </is>
      </c>
      <c r="C50" s="14" t="inlineStr">
        <is>
          <t>IPEA 140</t>
        </is>
      </c>
      <c r="D50" s="21" t="n">
        <v>4.1</v>
      </c>
      <c r="E50" s="22">
        <f>IF(AND(ISNUMBER($D50),ISNUMBER(VLOOKUP($C50,$A$5:$F$11,4,FALSE))),$D50*VLOOKUP($C50,$A$5:$F$11,4,FALSE),"")</f>
        <v/>
      </c>
      <c r="F50" s="13">
        <f>IF(AND(ISNUMBER($D50),ISNUMBER(VLOOKUP($C50,$A$5:$F$11,2,FALSE)),ISNUMBER(VLOOKUP($C50,$A$5:$F$11,5,FALSE))),$D50*VLOOKUP($C50,$A$5:$F$11,2,FALSE)*VLOOKUP($C50,$A$5:$F$11,5,FALSE),"")</f>
        <v/>
      </c>
      <c r="G50" s="13">
        <f>IF(AND(ISNUMBER($E50),ISNUMBER(VLOOKUP($C50,$A$5:$F$11,3,FALSE)),VLOOKUP($C50,$A$5:$F$11,3,FALSE)&gt;0,ISNUMBER(VLOOKUP($C50,$A$5:$F$11,6,FALSE))),$E50*VLOOKUP($C50,$A$5:$F$11,3,FALSE)*VLOOKUP($C50,$A$5:$F$11,6,FALSE),"")</f>
        <v/>
      </c>
    </row>
    <row r="51">
      <c r="A51" t="inlineStr">
        <is>
          <t>TTS.PC.001.IPEA140.42</t>
        </is>
      </c>
      <c r="B51" t="inlineStr">
        <is>
          <t>Pilastro cuscinetto trave IPEA 140 mt.4,20 (alleggerita)</t>
        </is>
      </c>
      <c r="C51" s="14" t="inlineStr">
        <is>
          <t>IPEA 140</t>
        </is>
      </c>
      <c r="D51" s="21" t="n">
        <v>4.2</v>
      </c>
      <c r="E51" s="22">
        <f>IF(AND(ISNUMBER($D51),ISNUMBER(VLOOKUP($C51,$A$5:$F$11,4,FALSE))),$D51*VLOOKUP($C51,$A$5:$F$11,4,FALSE),"")</f>
        <v/>
      </c>
      <c r="F51" s="13">
        <f>IF(AND(ISNUMBER($D51),ISNUMBER(VLOOKUP($C51,$A$5:$F$11,2,FALSE)),ISNUMBER(VLOOKUP($C51,$A$5:$F$11,5,FALSE))),$D51*VLOOKUP($C51,$A$5:$F$11,2,FALSE)*VLOOKUP($C51,$A$5:$F$11,5,FALSE),"")</f>
        <v/>
      </c>
      <c r="G51" s="13">
        <f>IF(AND(ISNUMBER($E51),ISNUMBER(VLOOKUP($C51,$A$5:$F$11,3,FALSE)),VLOOKUP($C51,$A$5:$F$11,3,FALSE)&gt;0,ISNUMBER(VLOOKUP($C51,$A$5:$F$11,6,FALSE))),$E51*VLOOKUP($C51,$A$5:$F$11,3,FALSE)*VLOOKUP($C51,$A$5:$F$11,6,FALSE),"")</f>
        <v/>
      </c>
    </row>
    <row r="52">
      <c r="A52" t="inlineStr">
        <is>
          <t>TTS.PC.001.IPEA140.43</t>
        </is>
      </c>
      <c r="B52" t="inlineStr">
        <is>
          <t>Pilastro cuscinetto trave IPEA 140 mt.4,30 (alleggerita)</t>
        </is>
      </c>
      <c r="C52" s="14" t="inlineStr">
        <is>
          <t>IPEA 140</t>
        </is>
      </c>
      <c r="D52" s="21" t="n">
        <v>4.3</v>
      </c>
      <c r="E52" s="22">
        <f>IF(AND(ISNUMBER($D52),ISNUMBER(VLOOKUP($C52,$A$5:$F$11,4,FALSE))),$D52*VLOOKUP($C52,$A$5:$F$11,4,FALSE),"")</f>
        <v/>
      </c>
      <c r="F52" s="13">
        <f>IF(AND(ISNUMBER($D52),ISNUMBER(VLOOKUP($C52,$A$5:$F$11,2,FALSE)),ISNUMBER(VLOOKUP($C52,$A$5:$F$11,5,FALSE))),$D52*VLOOKUP($C52,$A$5:$F$11,2,FALSE)*VLOOKUP($C52,$A$5:$F$11,5,FALSE),"")</f>
        <v/>
      </c>
      <c r="G52" s="13">
        <f>IF(AND(ISNUMBER($E52),ISNUMBER(VLOOKUP($C52,$A$5:$F$11,3,FALSE)),VLOOKUP($C52,$A$5:$F$11,3,FALSE)&gt;0,ISNUMBER(VLOOKUP($C52,$A$5:$F$11,6,FALSE))),$E52*VLOOKUP($C52,$A$5:$F$11,3,FALSE)*VLOOKUP($C52,$A$5:$F$11,6,FALSE),"")</f>
        <v/>
      </c>
    </row>
    <row r="53">
      <c r="A53" t="inlineStr">
        <is>
          <t>TTS.PC.001.IPEA140.44</t>
        </is>
      </c>
      <c r="B53" t="inlineStr">
        <is>
          <t>Pilastro cuscinetto trave IPEA 140 mt.4,40 (alleggerita)</t>
        </is>
      </c>
      <c r="C53" s="14" t="inlineStr">
        <is>
          <t>IPEA 140</t>
        </is>
      </c>
      <c r="D53" s="21" t="n">
        <v>4.4</v>
      </c>
      <c r="E53" s="22">
        <f>IF(AND(ISNUMBER($D53),ISNUMBER(VLOOKUP($C53,$A$5:$F$11,4,FALSE))),$D53*VLOOKUP($C53,$A$5:$F$11,4,FALSE),"")</f>
        <v/>
      </c>
      <c r="F53" s="13">
        <f>IF(AND(ISNUMBER($D53),ISNUMBER(VLOOKUP($C53,$A$5:$F$11,2,FALSE)),ISNUMBER(VLOOKUP($C53,$A$5:$F$11,5,FALSE))),$D53*VLOOKUP($C53,$A$5:$F$11,2,FALSE)*VLOOKUP($C53,$A$5:$F$11,5,FALSE),"")</f>
        <v/>
      </c>
      <c r="G53" s="13">
        <f>IF(AND(ISNUMBER($E53),ISNUMBER(VLOOKUP($C53,$A$5:$F$11,3,FALSE)),VLOOKUP($C53,$A$5:$F$11,3,FALSE)&gt;0,ISNUMBER(VLOOKUP($C53,$A$5:$F$11,6,FALSE))),$E53*VLOOKUP($C53,$A$5:$F$11,3,FALSE)*VLOOKUP($C53,$A$5:$F$11,6,FALSE),"")</f>
        <v/>
      </c>
    </row>
    <row r="54">
      <c r="A54" t="inlineStr">
        <is>
          <t>TTS.PC.001.IPEA140.45</t>
        </is>
      </c>
      <c r="B54" t="inlineStr">
        <is>
          <t>Pilastro cuscinetto trave IPEA 140 mt.4,50 (alleggerita)</t>
        </is>
      </c>
      <c r="C54" s="14" t="inlineStr">
        <is>
          <t>IPEA 140</t>
        </is>
      </c>
      <c r="D54" s="21" t="n">
        <v>4.5</v>
      </c>
      <c r="E54" s="22">
        <f>IF(AND(ISNUMBER($D54),ISNUMBER(VLOOKUP($C54,$A$5:$F$11,4,FALSE))),$D54*VLOOKUP($C54,$A$5:$F$11,4,FALSE),"")</f>
        <v/>
      </c>
      <c r="F54" s="13">
        <f>IF(AND(ISNUMBER($D54),ISNUMBER(VLOOKUP($C54,$A$5:$F$11,2,FALSE)),ISNUMBER(VLOOKUP($C54,$A$5:$F$11,5,FALSE))),$D54*VLOOKUP($C54,$A$5:$F$11,2,FALSE)*VLOOKUP($C54,$A$5:$F$11,5,FALSE),"")</f>
        <v/>
      </c>
      <c r="G54" s="13">
        <f>IF(AND(ISNUMBER($E54),ISNUMBER(VLOOKUP($C54,$A$5:$F$11,3,FALSE)),VLOOKUP($C54,$A$5:$F$11,3,FALSE)&gt;0,ISNUMBER(VLOOKUP($C54,$A$5:$F$11,6,FALSE))),$E54*VLOOKUP($C54,$A$5:$F$11,3,FALSE)*VLOOKUP($C54,$A$5:$F$11,6,FALSE),"")</f>
        <v/>
      </c>
    </row>
    <row r="55">
      <c r="A55" t="inlineStr">
        <is>
          <t>TTS.PF.001.IPE140.26</t>
        </is>
      </c>
      <c r="B55" t="inlineStr">
        <is>
          <t>Pilastro fondazione trave IPE140 mt.2,60</t>
        </is>
      </c>
      <c r="C55" s="14" t="inlineStr">
        <is>
          <t>IPE 140</t>
        </is>
      </c>
      <c r="D55" s="21" t="n">
        <v>2.6</v>
      </c>
      <c r="E55" s="22">
        <f>IF(AND(ISNUMBER($D55),ISNUMBER(VLOOKUP($C55,$A$5:$F$11,4,FALSE))),$D55*VLOOKUP($C55,$A$5:$F$11,4,FALSE),"")</f>
        <v/>
      </c>
      <c r="F55" s="13">
        <f>IF(AND(ISNUMBER($D55),ISNUMBER(VLOOKUP($C55,$A$5:$F$11,2,FALSE)),ISNUMBER(VLOOKUP($C55,$A$5:$F$11,5,FALSE))),$D55*VLOOKUP($C55,$A$5:$F$11,2,FALSE)*VLOOKUP($C55,$A$5:$F$11,5,FALSE),"")</f>
        <v/>
      </c>
      <c r="G55" s="13">
        <f>IF(AND(ISNUMBER($E55),ISNUMBER(VLOOKUP($C55,$A$5:$F$11,3,FALSE)),VLOOKUP($C55,$A$5:$F$11,3,FALSE)&gt;0,ISNUMBER(VLOOKUP($C55,$A$5:$F$11,6,FALSE))),$E55*VLOOKUP($C55,$A$5:$F$11,3,FALSE)*VLOOKUP($C55,$A$5:$F$11,6,FALSE),"")</f>
        <v/>
      </c>
    </row>
    <row r="56">
      <c r="A56" t="inlineStr">
        <is>
          <t>TTS.PF.001.IPE140.27</t>
        </is>
      </c>
      <c r="B56" t="inlineStr">
        <is>
          <t>Pilastro fondazione trave IPE140 mt.2,70</t>
        </is>
      </c>
      <c r="C56" s="14" t="inlineStr">
        <is>
          <t>IPE 140</t>
        </is>
      </c>
      <c r="D56" s="21" t="n">
        <v>2.7</v>
      </c>
      <c r="E56" s="22">
        <f>IF(AND(ISNUMBER($D56),ISNUMBER(VLOOKUP($C56,$A$5:$F$11,4,FALSE))),$D56*VLOOKUP($C56,$A$5:$F$11,4,FALSE),"")</f>
        <v/>
      </c>
      <c r="F56" s="13">
        <f>IF(AND(ISNUMBER($D56),ISNUMBER(VLOOKUP($C56,$A$5:$F$11,2,FALSE)),ISNUMBER(VLOOKUP($C56,$A$5:$F$11,5,FALSE))),$D56*VLOOKUP($C56,$A$5:$F$11,2,FALSE)*VLOOKUP($C56,$A$5:$F$11,5,FALSE),"")</f>
        <v/>
      </c>
      <c r="G56" s="13">
        <f>IF(AND(ISNUMBER($E56),ISNUMBER(VLOOKUP($C56,$A$5:$F$11,3,FALSE)),VLOOKUP($C56,$A$5:$F$11,3,FALSE)&gt;0,ISNUMBER(VLOOKUP($C56,$A$5:$F$11,6,FALSE))),$E56*VLOOKUP($C56,$A$5:$F$11,3,FALSE)*VLOOKUP($C56,$A$5:$F$11,6,FALSE),"")</f>
        <v/>
      </c>
    </row>
    <row r="57">
      <c r="A57" t="inlineStr">
        <is>
          <t>TTS.PF.001.IPE140.28</t>
        </is>
      </c>
      <c r="B57" t="inlineStr">
        <is>
          <t>Pilastro fondazione trave IPE140 mt.2,80</t>
        </is>
      </c>
      <c r="C57" s="14" t="inlineStr">
        <is>
          <t>IPE 140</t>
        </is>
      </c>
      <c r="D57" s="21" t="n">
        <v>2.8</v>
      </c>
      <c r="E57" s="22">
        <f>IF(AND(ISNUMBER($D57),ISNUMBER(VLOOKUP($C57,$A$5:$F$11,4,FALSE))),$D57*VLOOKUP($C57,$A$5:$F$11,4,FALSE),"")</f>
        <v/>
      </c>
      <c r="F57" s="13">
        <f>IF(AND(ISNUMBER($D57),ISNUMBER(VLOOKUP($C57,$A$5:$F$11,2,FALSE)),ISNUMBER(VLOOKUP($C57,$A$5:$F$11,5,FALSE))),$D57*VLOOKUP($C57,$A$5:$F$11,2,FALSE)*VLOOKUP($C57,$A$5:$F$11,5,FALSE),"")</f>
        <v/>
      </c>
      <c r="G57" s="13">
        <f>IF(AND(ISNUMBER($E57),ISNUMBER(VLOOKUP($C57,$A$5:$F$11,3,FALSE)),VLOOKUP($C57,$A$5:$F$11,3,FALSE)&gt;0,ISNUMBER(VLOOKUP($C57,$A$5:$F$11,6,FALSE))),$E57*VLOOKUP($C57,$A$5:$F$11,3,FALSE)*VLOOKUP($C57,$A$5:$F$11,6,FALSE),"")</f>
        <v/>
      </c>
    </row>
    <row r="58">
      <c r="A58" t="inlineStr">
        <is>
          <t>TTS.PF.001.IPE140.29</t>
        </is>
      </c>
      <c r="B58" t="inlineStr">
        <is>
          <t>Pilastro fondazione trave IPE140 mt.2,90</t>
        </is>
      </c>
      <c r="C58" s="14" t="inlineStr">
        <is>
          <t>IPE 140</t>
        </is>
      </c>
      <c r="D58" s="21" t="n">
        <v>2.9</v>
      </c>
      <c r="E58" s="22">
        <f>IF(AND(ISNUMBER($D58),ISNUMBER(VLOOKUP($C58,$A$5:$F$11,4,FALSE))),$D58*VLOOKUP($C58,$A$5:$F$11,4,FALSE),"")</f>
        <v/>
      </c>
      <c r="F58" s="13">
        <f>IF(AND(ISNUMBER($D58),ISNUMBER(VLOOKUP($C58,$A$5:$F$11,2,FALSE)),ISNUMBER(VLOOKUP($C58,$A$5:$F$11,5,FALSE))),$D58*VLOOKUP($C58,$A$5:$F$11,2,FALSE)*VLOOKUP($C58,$A$5:$F$11,5,FALSE),"")</f>
        <v/>
      </c>
      <c r="G58" s="13">
        <f>IF(AND(ISNUMBER($E58),ISNUMBER(VLOOKUP($C58,$A$5:$F$11,3,FALSE)),VLOOKUP($C58,$A$5:$F$11,3,FALSE)&gt;0,ISNUMBER(VLOOKUP($C58,$A$5:$F$11,6,FALSE))),$E58*VLOOKUP($C58,$A$5:$F$11,3,FALSE)*VLOOKUP($C58,$A$5:$F$11,6,FALSE),"")</f>
        <v/>
      </c>
    </row>
    <row r="59">
      <c r="A59" t="inlineStr">
        <is>
          <t>TTS.PF.001.IPE140.30</t>
        </is>
      </c>
      <c r="B59" t="inlineStr">
        <is>
          <t>Pilastro fondazione trave IPE140 mt.3,00</t>
        </is>
      </c>
      <c r="C59" s="14" t="inlineStr">
        <is>
          <t>IPE 140</t>
        </is>
      </c>
      <c r="D59" s="21" t="n">
        <v>3</v>
      </c>
      <c r="E59" s="22">
        <f>IF(AND(ISNUMBER($D59),ISNUMBER(VLOOKUP($C59,$A$5:$F$11,4,FALSE))),$D59*VLOOKUP($C59,$A$5:$F$11,4,FALSE),"")</f>
        <v/>
      </c>
      <c r="F59" s="13">
        <f>IF(AND(ISNUMBER($D59),ISNUMBER(VLOOKUP($C59,$A$5:$F$11,2,FALSE)),ISNUMBER(VLOOKUP($C59,$A$5:$F$11,5,FALSE))),$D59*VLOOKUP($C59,$A$5:$F$11,2,FALSE)*VLOOKUP($C59,$A$5:$F$11,5,FALSE),"")</f>
        <v/>
      </c>
      <c r="G59" s="13">
        <f>IF(AND(ISNUMBER($E59),ISNUMBER(VLOOKUP($C59,$A$5:$F$11,3,FALSE)),VLOOKUP($C59,$A$5:$F$11,3,FALSE)&gt;0,ISNUMBER(VLOOKUP($C59,$A$5:$F$11,6,FALSE))),$E59*VLOOKUP($C59,$A$5:$F$11,3,FALSE)*VLOOKUP($C59,$A$5:$F$11,6,FALSE),"")</f>
        <v/>
      </c>
    </row>
    <row r="60">
      <c r="A60" t="inlineStr">
        <is>
          <t>TTS.PF.001.IPE140.31</t>
        </is>
      </c>
      <c r="B60" t="inlineStr">
        <is>
          <t>Pilastro fondazione trave IPE140 mt.3,10</t>
        </is>
      </c>
      <c r="C60" s="14" t="inlineStr">
        <is>
          <t>IPE 140</t>
        </is>
      </c>
      <c r="D60" s="21" t="n">
        <v>3.1</v>
      </c>
      <c r="E60" s="22">
        <f>IF(AND(ISNUMBER($D60),ISNUMBER(VLOOKUP($C60,$A$5:$F$11,4,FALSE))),$D60*VLOOKUP($C60,$A$5:$F$11,4,FALSE),"")</f>
        <v/>
      </c>
      <c r="F60" s="13">
        <f>IF(AND(ISNUMBER($D60),ISNUMBER(VLOOKUP($C60,$A$5:$F$11,2,FALSE)),ISNUMBER(VLOOKUP($C60,$A$5:$F$11,5,FALSE))),$D60*VLOOKUP($C60,$A$5:$F$11,2,FALSE)*VLOOKUP($C60,$A$5:$F$11,5,FALSE),"")</f>
        <v/>
      </c>
      <c r="G60" s="13">
        <f>IF(AND(ISNUMBER($E60),ISNUMBER(VLOOKUP($C60,$A$5:$F$11,3,FALSE)),VLOOKUP($C60,$A$5:$F$11,3,FALSE)&gt;0,ISNUMBER(VLOOKUP($C60,$A$5:$F$11,6,FALSE))),$E60*VLOOKUP($C60,$A$5:$F$11,3,FALSE)*VLOOKUP($C60,$A$5:$F$11,6,FALSE),"")</f>
        <v/>
      </c>
    </row>
    <row r="61">
      <c r="A61" t="inlineStr">
        <is>
          <t>TTS.PF.001.IPE140.32</t>
        </is>
      </c>
      <c r="B61" t="inlineStr">
        <is>
          <t>Pilastro fondazione trave IPE140 mt.3,20</t>
        </is>
      </c>
      <c r="C61" s="14" t="inlineStr">
        <is>
          <t>IPE 140</t>
        </is>
      </c>
      <c r="D61" s="21" t="n">
        <v>3.2</v>
      </c>
      <c r="E61" s="22">
        <f>IF(AND(ISNUMBER($D61),ISNUMBER(VLOOKUP($C61,$A$5:$F$11,4,FALSE))),$D61*VLOOKUP($C61,$A$5:$F$11,4,FALSE),"")</f>
        <v/>
      </c>
      <c r="F61" s="13">
        <f>IF(AND(ISNUMBER($D61),ISNUMBER(VLOOKUP($C61,$A$5:$F$11,2,FALSE)),ISNUMBER(VLOOKUP($C61,$A$5:$F$11,5,FALSE))),$D61*VLOOKUP($C61,$A$5:$F$11,2,FALSE)*VLOOKUP($C61,$A$5:$F$11,5,FALSE),"")</f>
        <v/>
      </c>
      <c r="G61" s="13">
        <f>IF(AND(ISNUMBER($E61),ISNUMBER(VLOOKUP($C61,$A$5:$F$11,3,FALSE)),VLOOKUP($C61,$A$5:$F$11,3,FALSE)&gt;0,ISNUMBER(VLOOKUP($C61,$A$5:$F$11,6,FALSE))),$E61*VLOOKUP($C61,$A$5:$F$11,3,FALSE)*VLOOKUP($C61,$A$5:$F$11,6,FALSE),"")</f>
        <v/>
      </c>
    </row>
    <row r="62">
      <c r="A62" t="inlineStr">
        <is>
          <t>TTS.PF.001.IPE140.33</t>
        </is>
      </c>
      <c r="B62" t="inlineStr">
        <is>
          <t>Pilastro fondazione trave IPE140 mt.3,30</t>
        </is>
      </c>
      <c r="C62" s="14" t="inlineStr">
        <is>
          <t>IPE 140</t>
        </is>
      </c>
      <c r="D62" s="21" t="n">
        <v>3.3</v>
      </c>
      <c r="E62" s="22">
        <f>IF(AND(ISNUMBER($D62),ISNUMBER(VLOOKUP($C62,$A$5:$F$11,4,FALSE))),$D62*VLOOKUP($C62,$A$5:$F$11,4,FALSE),"")</f>
        <v/>
      </c>
      <c r="F62" s="13">
        <f>IF(AND(ISNUMBER($D62),ISNUMBER(VLOOKUP($C62,$A$5:$F$11,2,FALSE)),ISNUMBER(VLOOKUP($C62,$A$5:$F$11,5,FALSE))),$D62*VLOOKUP($C62,$A$5:$F$11,2,FALSE)*VLOOKUP($C62,$A$5:$F$11,5,FALSE),"")</f>
        <v/>
      </c>
      <c r="G62" s="13">
        <f>IF(AND(ISNUMBER($E62),ISNUMBER(VLOOKUP($C62,$A$5:$F$11,3,FALSE)),VLOOKUP($C62,$A$5:$F$11,3,FALSE)&gt;0,ISNUMBER(VLOOKUP($C62,$A$5:$F$11,6,FALSE))),$E62*VLOOKUP($C62,$A$5:$F$11,3,FALSE)*VLOOKUP($C62,$A$5:$F$11,6,FALSE),"")</f>
        <v/>
      </c>
    </row>
    <row r="63">
      <c r="A63" t="inlineStr">
        <is>
          <t>TTS.PF.001.IPE140.34</t>
        </is>
      </c>
      <c r="B63" t="inlineStr">
        <is>
          <t>Pilastro fondazione trave IPE140 mt.3,40</t>
        </is>
      </c>
      <c r="C63" s="14" t="inlineStr">
        <is>
          <t>IPE 140</t>
        </is>
      </c>
      <c r="D63" s="21" t="n">
        <v>3.4</v>
      </c>
      <c r="E63" s="22">
        <f>IF(AND(ISNUMBER($D63),ISNUMBER(VLOOKUP($C63,$A$5:$F$11,4,FALSE))),$D63*VLOOKUP($C63,$A$5:$F$11,4,FALSE),"")</f>
        <v/>
      </c>
      <c r="F63" s="13">
        <f>IF(AND(ISNUMBER($D63),ISNUMBER(VLOOKUP($C63,$A$5:$F$11,2,FALSE)),ISNUMBER(VLOOKUP($C63,$A$5:$F$11,5,FALSE))),$D63*VLOOKUP($C63,$A$5:$F$11,2,FALSE)*VLOOKUP($C63,$A$5:$F$11,5,FALSE),"")</f>
        <v/>
      </c>
      <c r="G63" s="13">
        <f>IF(AND(ISNUMBER($E63),ISNUMBER(VLOOKUP($C63,$A$5:$F$11,3,FALSE)),VLOOKUP($C63,$A$5:$F$11,3,FALSE)&gt;0,ISNUMBER(VLOOKUP($C63,$A$5:$F$11,6,FALSE))),$E63*VLOOKUP($C63,$A$5:$F$11,3,FALSE)*VLOOKUP($C63,$A$5:$F$11,6,FALSE),"")</f>
        <v/>
      </c>
    </row>
    <row r="64">
      <c r="A64" t="inlineStr">
        <is>
          <t>TTS.PF.001.IPE140.35</t>
        </is>
      </c>
      <c r="B64" t="inlineStr">
        <is>
          <t>Pilastro fondazione trave IPE140 mt.3,50</t>
        </is>
      </c>
      <c r="C64" s="14" t="inlineStr">
        <is>
          <t>IPE 140</t>
        </is>
      </c>
      <c r="D64" s="21" t="n">
        <v>3.5</v>
      </c>
      <c r="E64" s="22">
        <f>IF(AND(ISNUMBER($D64),ISNUMBER(VLOOKUP($C64,$A$5:$F$11,4,FALSE))),$D64*VLOOKUP($C64,$A$5:$F$11,4,FALSE),"")</f>
        <v/>
      </c>
      <c r="F64" s="13">
        <f>IF(AND(ISNUMBER($D64),ISNUMBER(VLOOKUP($C64,$A$5:$F$11,2,FALSE)),ISNUMBER(VLOOKUP($C64,$A$5:$F$11,5,FALSE))),$D64*VLOOKUP($C64,$A$5:$F$11,2,FALSE)*VLOOKUP($C64,$A$5:$F$11,5,FALSE),"")</f>
        <v/>
      </c>
      <c r="G64" s="13">
        <f>IF(AND(ISNUMBER($E64),ISNUMBER(VLOOKUP($C64,$A$5:$F$11,3,FALSE)),VLOOKUP($C64,$A$5:$F$11,3,FALSE)&gt;0,ISNUMBER(VLOOKUP($C64,$A$5:$F$11,6,FALSE))),$E64*VLOOKUP($C64,$A$5:$F$11,3,FALSE)*VLOOKUP($C64,$A$5:$F$11,6,FALSE),"")</f>
        <v/>
      </c>
    </row>
    <row r="65">
      <c r="A65" t="inlineStr">
        <is>
          <t>TTS.PF.001.IPE140.36</t>
        </is>
      </c>
      <c r="B65" t="inlineStr">
        <is>
          <t>Pilastro fondazione trave IPE140 mt.3,60</t>
        </is>
      </c>
      <c r="C65" s="14" t="inlineStr">
        <is>
          <t>IPE 140</t>
        </is>
      </c>
      <c r="D65" s="21" t="n">
        <v>3.6</v>
      </c>
      <c r="E65" s="22">
        <f>IF(AND(ISNUMBER($D65),ISNUMBER(VLOOKUP($C65,$A$5:$F$11,4,FALSE))),$D65*VLOOKUP($C65,$A$5:$F$11,4,FALSE),"")</f>
        <v/>
      </c>
      <c r="F65" s="13">
        <f>IF(AND(ISNUMBER($D65),ISNUMBER(VLOOKUP($C65,$A$5:$F$11,2,FALSE)),ISNUMBER(VLOOKUP($C65,$A$5:$F$11,5,FALSE))),$D65*VLOOKUP($C65,$A$5:$F$11,2,FALSE)*VLOOKUP($C65,$A$5:$F$11,5,FALSE),"")</f>
        <v/>
      </c>
      <c r="G65" s="13">
        <f>IF(AND(ISNUMBER($E65),ISNUMBER(VLOOKUP($C65,$A$5:$F$11,3,FALSE)),VLOOKUP($C65,$A$5:$F$11,3,FALSE)&gt;0,ISNUMBER(VLOOKUP($C65,$A$5:$F$11,6,FALSE))),$E65*VLOOKUP($C65,$A$5:$F$11,3,FALSE)*VLOOKUP($C65,$A$5:$F$11,6,FALSE),"")</f>
        <v/>
      </c>
    </row>
    <row r="66">
      <c r="A66" t="inlineStr">
        <is>
          <t>TTS.PF.001.IPEA140.26</t>
        </is>
      </c>
      <c r="B66" t="inlineStr">
        <is>
          <t>Pilastro fondazione trave IPEA140 mt.2,60 (alleggerita)</t>
        </is>
      </c>
      <c r="C66" s="14" t="inlineStr">
        <is>
          <t>IPEA 140</t>
        </is>
      </c>
      <c r="D66" s="21" t="n">
        <v>2.6</v>
      </c>
      <c r="E66" s="22">
        <f>IF(AND(ISNUMBER($D66),ISNUMBER(VLOOKUP($C66,$A$5:$F$11,4,FALSE))),$D66*VLOOKUP($C66,$A$5:$F$11,4,FALSE),"")</f>
        <v/>
      </c>
      <c r="F66" s="13">
        <f>IF(AND(ISNUMBER($D66),ISNUMBER(VLOOKUP($C66,$A$5:$F$11,2,FALSE)),ISNUMBER(VLOOKUP($C66,$A$5:$F$11,5,FALSE))),$D66*VLOOKUP($C66,$A$5:$F$11,2,FALSE)*VLOOKUP($C66,$A$5:$F$11,5,FALSE),"")</f>
        <v/>
      </c>
      <c r="G66" s="13">
        <f>IF(AND(ISNUMBER($E66),ISNUMBER(VLOOKUP($C66,$A$5:$F$11,3,FALSE)),VLOOKUP($C66,$A$5:$F$11,3,FALSE)&gt;0,ISNUMBER(VLOOKUP($C66,$A$5:$F$11,6,FALSE))),$E66*VLOOKUP($C66,$A$5:$F$11,3,FALSE)*VLOOKUP($C66,$A$5:$F$11,6,FALSE),"")</f>
        <v/>
      </c>
    </row>
    <row r="67">
      <c r="A67" t="inlineStr">
        <is>
          <t>TTS.PF.001.IPEA140.27</t>
        </is>
      </c>
      <c r="B67" t="inlineStr">
        <is>
          <t>Pilastro fondazione trave IPEA140 mt.2,70 (alleggerita)</t>
        </is>
      </c>
      <c r="C67" s="14" t="inlineStr">
        <is>
          <t>IPEA 140</t>
        </is>
      </c>
      <c r="D67" s="21" t="n">
        <v>2.7</v>
      </c>
      <c r="E67" s="22">
        <f>IF(AND(ISNUMBER($D67),ISNUMBER(VLOOKUP($C67,$A$5:$F$11,4,FALSE))),$D67*VLOOKUP($C67,$A$5:$F$11,4,FALSE),"")</f>
        <v/>
      </c>
      <c r="F67" s="13">
        <f>IF(AND(ISNUMBER($D67),ISNUMBER(VLOOKUP($C67,$A$5:$F$11,2,FALSE)),ISNUMBER(VLOOKUP($C67,$A$5:$F$11,5,FALSE))),$D67*VLOOKUP($C67,$A$5:$F$11,2,FALSE)*VLOOKUP($C67,$A$5:$F$11,5,FALSE),"")</f>
        <v/>
      </c>
      <c r="G67" s="13">
        <f>IF(AND(ISNUMBER($E67),ISNUMBER(VLOOKUP($C67,$A$5:$F$11,3,FALSE)),VLOOKUP($C67,$A$5:$F$11,3,FALSE)&gt;0,ISNUMBER(VLOOKUP($C67,$A$5:$F$11,6,FALSE))),$E67*VLOOKUP($C67,$A$5:$F$11,3,FALSE)*VLOOKUP($C67,$A$5:$F$11,6,FALSE),"")</f>
        <v/>
      </c>
    </row>
    <row r="68">
      <c r="A68" t="inlineStr">
        <is>
          <t>TTS.PF.001.IPEA140.28</t>
        </is>
      </c>
      <c r="B68" t="inlineStr">
        <is>
          <t>Pilastro fondazione trave IPEA140 mt.2,80 (alleggerita)</t>
        </is>
      </c>
      <c r="C68" s="14" t="inlineStr">
        <is>
          <t>IPEA 140</t>
        </is>
      </c>
      <c r="D68" s="21" t="n">
        <v>2.8</v>
      </c>
      <c r="E68" s="22">
        <f>IF(AND(ISNUMBER($D68),ISNUMBER(VLOOKUP($C68,$A$5:$F$11,4,FALSE))),$D68*VLOOKUP($C68,$A$5:$F$11,4,FALSE),"")</f>
        <v/>
      </c>
      <c r="F68" s="13">
        <f>IF(AND(ISNUMBER($D68),ISNUMBER(VLOOKUP($C68,$A$5:$F$11,2,FALSE)),ISNUMBER(VLOOKUP($C68,$A$5:$F$11,5,FALSE))),$D68*VLOOKUP($C68,$A$5:$F$11,2,FALSE)*VLOOKUP($C68,$A$5:$F$11,5,FALSE),"")</f>
        <v/>
      </c>
      <c r="G68" s="13">
        <f>IF(AND(ISNUMBER($E68),ISNUMBER(VLOOKUP($C68,$A$5:$F$11,3,FALSE)),VLOOKUP($C68,$A$5:$F$11,3,FALSE)&gt;0,ISNUMBER(VLOOKUP($C68,$A$5:$F$11,6,FALSE))),$E68*VLOOKUP($C68,$A$5:$F$11,3,FALSE)*VLOOKUP($C68,$A$5:$F$11,6,FALSE),"")</f>
        <v/>
      </c>
    </row>
    <row r="69">
      <c r="A69" t="inlineStr">
        <is>
          <t>TTS.PF.001.IPEA140.29</t>
        </is>
      </c>
      <c r="B69" t="inlineStr">
        <is>
          <t>Pilastro fondazione trave IPEA140 mt.2,90 (alleggerita)</t>
        </is>
      </c>
      <c r="C69" s="14" t="inlineStr">
        <is>
          <t>IPEA 140</t>
        </is>
      </c>
      <c r="D69" s="21" t="n">
        <v>2.9</v>
      </c>
      <c r="E69" s="22">
        <f>IF(AND(ISNUMBER($D69),ISNUMBER(VLOOKUP($C69,$A$5:$F$11,4,FALSE))),$D69*VLOOKUP($C69,$A$5:$F$11,4,FALSE),"")</f>
        <v/>
      </c>
      <c r="F69" s="13">
        <f>IF(AND(ISNUMBER($D69),ISNUMBER(VLOOKUP($C69,$A$5:$F$11,2,FALSE)),ISNUMBER(VLOOKUP($C69,$A$5:$F$11,5,FALSE))),$D69*VLOOKUP($C69,$A$5:$F$11,2,FALSE)*VLOOKUP($C69,$A$5:$F$11,5,FALSE),"")</f>
        <v/>
      </c>
      <c r="G69" s="13">
        <f>IF(AND(ISNUMBER($E69),ISNUMBER(VLOOKUP($C69,$A$5:$F$11,3,FALSE)),VLOOKUP($C69,$A$5:$F$11,3,FALSE)&gt;0,ISNUMBER(VLOOKUP($C69,$A$5:$F$11,6,FALSE))),$E69*VLOOKUP($C69,$A$5:$F$11,3,FALSE)*VLOOKUP($C69,$A$5:$F$11,6,FALSE),"")</f>
        <v/>
      </c>
    </row>
    <row r="70">
      <c r="A70" t="inlineStr">
        <is>
          <t>TTS.PF.001.IPEA140.30</t>
        </is>
      </c>
      <c r="B70" t="inlineStr">
        <is>
          <t>Pilastro fondazione trave IPEA140 mt.3,00 (alleggerita)</t>
        </is>
      </c>
      <c r="C70" s="14" t="inlineStr">
        <is>
          <t>IPEA 140</t>
        </is>
      </c>
      <c r="D70" s="21" t="n">
        <v>3</v>
      </c>
      <c r="E70" s="22">
        <f>IF(AND(ISNUMBER($D70),ISNUMBER(VLOOKUP($C70,$A$5:$F$11,4,FALSE))),$D70*VLOOKUP($C70,$A$5:$F$11,4,FALSE),"")</f>
        <v/>
      </c>
      <c r="F70" s="13">
        <f>IF(AND(ISNUMBER($D70),ISNUMBER(VLOOKUP($C70,$A$5:$F$11,2,FALSE)),ISNUMBER(VLOOKUP($C70,$A$5:$F$11,5,FALSE))),$D70*VLOOKUP($C70,$A$5:$F$11,2,FALSE)*VLOOKUP($C70,$A$5:$F$11,5,FALSE),"")</f>
        <v/>
      </c>
      <c r="G70" s="13">
        <f>IF(AND(ISNUMBER($E70),ISNUMBER(VLOOKUP($C70,$A$5:$F$11,3,FALSE)),VLOOKUP($C70,$A$5:$F$11,3,FALSE)&gt;0,ISNUMBER(VLOOKUP($C70,$A$5:$F$11,6,FALSE))),$E70*VLOOKUP($C70,$A$5:$F$11,3,FALSE)*VLOOKUP($C70,$A$5:$F$11,6,FALSE),"")</f>
        <v/>
      </c>
    </row>
    <row r="71">
      <c r="A71" t="inlineStr">
        <is>
          <t>TTS.PF.001.IPEA140.31</t>
        </is>
      </c>
      <c r="B71" t="inlineStr">
        <is>
          <t>Pilastro fondazione trave IPEA140 mt.3,10 (alleggerita)</t>
        </is>
      </c>
      <c r="C71" s="14" t="inlineStr">
        <is>
          <t>IPEA 140</t>
        </is>
      </c>
      <c r="D71" s="21" t="n">
        <v>3.1</v>
      </c>
      <c r="E71" s="22">
        <f>IF(AND(ISNUMBER($D71),ISNUMBER(VLOOKUP($C71,$A$5:$F$11,4,FALSE))),$D71*VLOOKUP($C71,$A$5:$F$11,4,FALSE),"")</f>
        <v/>
      </c>
      <c r="F71" s="13">
        <f>IF(AND(ISNUMBER($D71),ISNUMBER(VLOOKUP($C71,$A$5:$F$11,2,FALSE)),ISNUMBER(VLOOKUP($C71,$A$5:$F$11,5,FALSE))),$D71*VLOOKUP($C71,$A$5:$F$11,2,FALSE)*VLOOKUP($C71,$A$5:$F$11,5,FALSE),"")</f>
        <v/>
      </c>
      <c r="G71" s="13">
        <f>IF(AND(ISNUMBER($E71),ISNUMBER(VLOOKUP($C71,$A$5:$F$11,3,FALSE)),VLOOKUP($C71,$A$5:$F$11,3,FALSE)&gt;0,ISNUMBER(VLOOKUP($C71,$A$5:$F$11,6,FALSE))),$E71*VLOOKUP($C71,$A$5:$F$11,3,FALSE)*VLOOKUP($C71,$A$5:$F$11,6,FALSE),"")</f>
        <v/>
      </c>
    </row>
    <row r="72">
      <c r="A72" t="inlineStr">
        <is>
          <t>TTS.PF.001.IPEA140.32</t>
        </is>
      </c>
      <c r="B72" t="inlineStr">
        <is>
          <t>Pilastro fondazione trave IPEA140 mt.3,20 (alleggerita)</t>
        </is>
      </c>
      <c r="C72" s="14" t="inlineStr">
        <is>
          <t>IPEA 140</t>
        </is>
      </c>
      <c r="D72" s="21" t="n">
        <v>3.2</v>
      </c>
      <c r="E72" s="22">
        <f>IF(AND(ISNUMBER($D72),ISNUMBER(VLOOKUP($C72,$A$5:$F$11,4,FALSE))),$D72*VLOOKUP($C72,$A$5:$F$11,4,FALSE),"")</f>
        <v/>
      </c>
      <c r="F72" s="13">
        <f>IF(AND(ISNUMBER($D72),ISNUMBER(VLOOKUP($C72,$A$5:$F$11,2,FALSE)),ISNUMBER(VLOOKUP($C72,$A$5:$F$11,5,FALSE))),$D72*VLOOKUP($C72,$A$5:$F$11,2,FALSE)*VLOOKUP($C72,$A$5:$F$11,5,FALSE),"")</f>
        <v/>
      </c>
      <c r="G72" s="13">
        <f>IF(AND(ISNUMBER($E72),ISNUMBER(VLOOKUP($C72,$A$5:$F$11,3,FALSE)),VLOOKUP($C72,$A$5:$F$11,3,FALSE)&gt;0,ISNUMBER(VLOOKUP($C72,$A$5:$F$11,6,FALSE))),$E72*VLOOKUP($C72,$A$5:$F$11,3,FALSE)*VLOOKUP($C72,$A$5:$F$11,6,FALSE),"")</f>
        <v/>
      </c>
    </row>
    <row r="73">
      <c r="A73" t="inlineStr">
        <is>
          <t>TTS.PF.001.IPEA140.33</t>
        </is>
      </c>
      <c r="B73" t="inlineStr">
        <is>
          <t>Pilastro fondazione trave IPEA140 mt.3,30 (alleggerita)</t>
        </is>
      </c>
      <c r="C73" s="14" t="inlineStr">
        <is>
          <t>IPEA 140</t>
        </is>
      </c>
      <c r="D73" s="21" t="n">
        <v>3.3</v>
      </c>
      <c r="E73" s="22">
        <f>IF(AND(ISNUMBER($D73),ISNUMBER(VLOOKUP($C73,$A$5:$F$11,4,FALSE))),$D73*VLOOKUP($C73,$A$5:$F$11,4,FALSE),"")</f>
        <v/>
      </c>
      <c r="F73" s="13">
        <f>IF(AND(ISNUMBER($D73),ISNUMBER(VLOOKUP($C73,$A$5:$F$11,2,FALSE)),ISNUMBER(VLOOKUP($C73,$A$5:$F$11,5,FALSE))),$D73*VLOOKUP($C73,$A$5:$F$11,2,FALSE)*VLOOKUP($C73,$A$5:$F$11,5,FALSE),"")</f>
        <v/>
      </c>
      <c r="G73" s="13">
        <f>IF(AND(ISNUMBER($E73),ISNUMBER(VLOOKUP($C73,$A$5:$F$11,3,FALSE)),VLOOKUP($C73,$A$5:$F$11,3,FALSE)&gt;0,ISNUMBER(VLOOKUP($C73,$A$5:$F$11,6,FALSE))),$E73*VLOOKUP($C73,$A$5:$F$11,3,FALSE)*VLOOKUP($C73,$A$5:$F$11,6,FALSE),"")</f>
        <v/>
      </c>
    </row>
    <row r="74">
      <c r="A74" t="inlineStr">
        <is>
          <t>TTS.PF.001.IPEA140.34</t>
        </is>
      </c>
      <c r="B74" t="inlineStr">
        <is>
          <t>Pilastro fondazione trave IPEA140 mt.3,40 (alleggerita)</t>
        </is>
      </c>
      <c r="C74" s="14" t="inlineStr">
        <is>
          <t>IPEA 140</t>
        </is>
      </c>
      <c r="D74" s="21" t="n">
        <v>3.4</v>
      </c>
      <c r="E74" s="22">
        <f>IF(AND(ISNUMBER($D74),ISNUMBER(VLOOKUP($C74,$A$5:$F$11,4,FALSE))),$D74*VLOOKUP($C74,$A$5:$F$11,4,FALSE),"")</f>
        <v/>
      </c>
      <c r="F74" s="13">
        <f>IF(AND(ISNUMBER($D74),ISNUMBER(VLOOKUP($C74,$A$5:$F$11,2,FALSE)),ISNUMBER(VLOOKUP($C74,$A$5:$F$11,5,FALSE))),$D74*VLOOKUP($C74,$A$5:$F$11,2,FALSE)*VLOOKUP($C74,$A$5:$F$11,5,FALSE),"")</f>
        <v/>
      </c>
      <c r="G74" s="13">
        <f>IF(AND(ISNUMBER($E74),ISNUMBER(VLOOKUP($C74,$A$5:$F$11,3,FALSE)),VLOOKUP($C74,$A$5:$F$11,3,FALSE)&gt;0,ISNUMBER(VLOOKUP($C74,$A$5:$F$11,6,FALSE))),$E74*VLOOKUP($C74,$A$5:$F$11,3,FALSE)*VLOOKUP($C74,$A$5:$F$11,6,FALSE),"")</f>
        <v/>
      </c>
    </row>
    <row r="75">
      <c r="A75" t="inlineStr">
        <is>
          <t>TTS.PF.001.IPEA140.35</t>
        </is>
      </c>
      <c r="B75" t="inlineStr">
        <is>
          <t>Pilastro fondazione trave IPEA140 mt.3,50 (alleggerita)</t>
        </is>
      </c>
      <c r="C75" s="14" t="inlineStr">
        <is>
          <t>IPEA 140</t>
        </is>
      </c>
      <c r="D75" s="21" t="n">
        <v>3.5</v>
      </c>
      <c r="E75" s="22">
        <f>IF(AND(ISNUMBER($D75),ISNUMBER(VLOOKUP($C75,$A$5:$F$11,4,FALSE))),$D75*VLOOKUP($C75,$A$5:$F$11,4,FALSE),"")</f>
        <v/>
      </c>
      <c r="F75" s="13">
        <f>IF(AND(ISNUMBER($D75),ISNUMBER(VLOOKUP($C75,$A$5:$F$11,2,FALSE)),ISNUMBER(VLOOKUP($C75,$A$5:$F$11,5,FALSE))),$D75*VLOOKUP($C75,$A$5:$F$11,2,FALSE)*VLOOKUP($C75,$A$5:$F$11,5,FALSE),"")</f>
        <v/>
      </c>
      <c r="G75" s="13">
        <f>IF(AND(ISNUMBER($E75),ISNUMBER(VLOOKUP($C75,$A$5:$F$11,3,FALSE)),VLOOKUP($C75,$A$5:$F$11,3,FALSE)&gt;0,ISNUMBER(VLOOKUP($C75,$A$5:$F$11,6,FALSE))),$E75*VLOOKUP($C75,$A$5:$F$11,3,FALSE)*VLOOKUP($C75,$A$5:$F$11,6,FALSE),"")</f>
        <v/>
      </c>
    </row>
    <row r="76">
      <c r="A76" t="inlineStr">
        <is>
          <t>TTS.PF.001.IPEA140.36</t>
        </is>
      </c>
      <c r="B76" t="inlineStr">
        <is>
          <t>Pilastro fondazione trave IPEA140 mt.3,60 (alleggerita)</t>
        </is>
      </c>
      <c r="C76" s="14" t="inlineStr">
        <is>
          <t>IPEA 140</t>
        </is>
      </c>
      <c r="D76" s="21" t="n">
        <v>3.6</v>
      </c>
      <c r="E76" s="22">
        <f>IF(AND(ISNUMBER($D76),ISNUMBER(VLOOKUP($C76,$A$5:$F$11,4,FALSE))),$D76*VLOOKUP($C76,$A$5:$F$11,4,FALSE),"")</f>
        <v/>
      </c>
      <c r="F76" s="13">
        <f>IF(AND(ISNUMBER($D76),ISNUMBER(VLOOKUP($C76,$A$5:$F$11,2,FALSE)),ISNUMBER(VLOOKUP($C76,$A$5:$F$11,5,FALSE))),$D76*VLOOKUP($C76,$A$5:$F$11,2,FALSE)*VLOOKUP($C76,$A$5:$F$11,5,FALSE),"")</f>
        <v/>
      </c>
      <c r="G76" s="13">
        <f>IF(AND(ISNUMBER($E76),ISNUMBER(VLOOKUP($C76,$A$5:$F$11,3,FALSE)),VLOOKUP($C76,$A$5:$F$11,3,FALSE)&gt;0,ISNUMBER(VLOOKUP($C76,$A$5:$F$11,6,FALSE))),$E76*VLOOKUP($C76,$A$5:$F$11,3,FALSE)*VLOOKUP($C76,$A$5:$F$11,6,FALSE),"")</f>
        <v/>
      </c>
    </row>
    <row r="77">
      <c r="A77" t="inlineStr">
        <is>
          <t>TTS.PM.001.IPE140.22</t>
        </is>
      </c>
      <c r="B77" t="inlineStr">
        <is>
          <t>Pilastro motore trave ipe140 x 2220 con foratura alloggiamento quadro motore (standard)</t>
        </is>
      </c>
      <c r="C77" s="14" t="inlineStr">
        <is>
          <t>IPE 140</t>
        </is>
      </c>
      <c r="D77" s="21" t="n">
        <v>2.22</v>
      </c>
      <c r="E77" s="22">
        <f>IF(AND(ISNUMBER($D77),ISNUMBER(VLOOKUP($C77,$A$5:$F$11,4,FALSE))),$D77*VLOOKUP($C77,$A$5:$F$11,4,FALSE),"")</f>
        <v/>
      </c>
      <c r="F77" s="13">
        <f>IF(AND(ISNUMBER($D77),ISNUMBER(VLOOKUP($C77,$A$5:$F$11,2,FALSE)),ISNUMBER(VLOOKUP($C77,$A$5:$F$11,5,FALSE))),$D77*VLOOKUP($C77,$A$5:$F$11,2,FALSE)*VLOOKUP($C77,$A$5:$F$11,5,FALSE),"")</f>
        <v/>
      </c>
      <c r="G77" s="13">
        <f>IF(AND(ISNUMBER($E77),ISNUMBER(VLOOKUP($C77,$A$5:$F$11,3,FALSE)),VLOOKUP($C77,$A$5:$F$11,3,FALSE)&gt;0,ISNUMBER(VLOOKUP($C77,$A$5:$F$11,6,FALSE))),$E77*VLOOKUP($C77,$A$5:$F$11,3,FALSE)*VLOOKUP($C77,$A$5:$F$11,6,FALSE),"")</f>
        <v/>
      </c>
    </row>
    <row r="78">
      <c r="A78" t="inlineStr">
        <is>
          <t>TTS.PM.001.IPE140.22.QC</t>
        </is>
      </c>
      <c r="B78" t="inlineStr">
        <is>
          <t>Pilastro motore trave ipe140 x 2220 con foratura alloggiamento quadro motore + quadro centralina meteo + quadro alimentazione centralina meteo</t>
        </is>
      </c>
      <c r="C78" s="14" t="inlineStr">
        <is>
          <t>IPE 140</t>
        </is>
      </c>
      <c r="D78" s="21" t="n">
        <v>2.22</v>
      </c>
      <c r="E78" s="22">
        <f>IF(AND(ISNUMBER($D78),ISNUMBER(VLOOKUP($C78,$A$5:$F$11,4,FALSE))),$D78*VLOOKUP($C78,$A$5:$F$11,4,FALSE),"")</f>
        <v/>
      </c>
      <c r="F78" s="13">
        <f>IF(AND(ISNUMBER($D78),ISNUMBER(VLOOKUP($C78,$A$5:$F$11,2,FALSE)),ISNUMBER(VLOOKUP($C78,$A$5:$F$11,5,FALSE))),$D78*VLOOKUP($C78,$A$5:$F$11,2,FALSE)*VLOOKUP($C78,$A$5:$F$11,5,FALSE),"")</f>
        <v/>
      </c>
      <c r="G78" s="13">
        <f>IF(AND(ISNUMBER($E78),ISNUMBER(VLOOKUP($C78,$A$5:$F$11,3,FALSE)),VLOOKUP($C78,$A$5:$F$11,3,FALSE)&gt;0,ISNUMBER(VLOOKUP($C78,$A$5:$F$11,6,FALSE))),$E78*VLOOKUP($C78,$A$5:$F$11,3,FALSE)*VLOOKUP($C78,$A$5:$F$11,6,FALSE),"")</f>
        <v/>
      </c>
    </row>
    <row r="79">
      <c r="A79" t="inlineStr">
        <is>
          <t>TTS.PM.001.IPE140.27</t>
        </is>
      </c>
      <c r="B79" t="inlineStr">
        <is>
          <t>Pilastro motore trave ipe140 x 2720 con foratura alloggiamento quadro motore (standard)</t>
        </is>
      </c>
      <c r="C79" s="14" t="inlineStr">
        <is>
          <t>IPE 140</t>
        </is>
      </c>
      <c r="D79" s="21" t="n">
        <v>2.72</v>
      </c>
      <c r="E79" s="22">
        <f>IF(AND(ISNUMBER($D79),ISNUMBER(VLOOKUP($C79,$A$5:$F$11,4,FALSE))),$D79*VLOOKUP($C79,$A$5:$F$11,4,FALSE),"")</f>
        <v/>
      </c>
      <c r="F79" s="13">
        <f>IF(AND(ISNUMBER($D79),ISNUMBER(VLOOKUP($C79,$A$5:$F$11,2,FALSE)),ISNUMBER(VLOOKUP($C79,$A$5:$F$11,5,FALSE))),$D79*VLOOKUP($C79,$A$5:$F$11,2,FALSE)*VLOOKUP($C79,$A$5:$F$11,5,FALSE),"")</f>
        <v/>
      </c>
      <c r="G79" s="13">
        <f>IF(AND(ISNUMBER($E79),ISNUMBER(VLOOKUP($C79,$A$5:$F$11,3,FALSE)),VLOOKUP($C79,$A$5:$F$11,3,FALSE)&gt;0,ISNUMBER(VLOOKUP($C79,$A$5:$F$11,6,FALSE))),$E79*VLOOKUP($C79,$A$5:$F$11,3,FALSE)*VLOOKUP($C79,$A$5:$F$11,6,FALSE),"")</f>
        <v/>
      </c>
    </row>
    <row r="80">
      <c r="A80" t="inlineStr">
        <is>
          <t>TTS.PM.001.IPE140.28</t>
        </is>
      </c>
      <c r="B80" t="inlineStr">
        <is>
          <t>Pilastro motore trave ipe140 x 2820 con foratura alloggiamento quadro motore (standard)</t>
        </is>
      </c>
      <c r="C80" s="14" t="inlineStr">
        <is>
          <t>IPE 140</t>
        </is>
      </c>
      <c r="D80" s="21" t="n">
        <v>2.82</v>
      </c>
      <c r="E80" s="22">
        <f>IF(AND(ISNUMBER($D80),ISNUMBER(VLOOKUP($C80,$A$5:$F$11,4,FALSE))),$D80*VLOOKUP($C80,$A$5:$F$11,4,FALSE),"")</f>
        <v/>
      </c>
      <c r="F80" s="13">
        <f>IF(AND(ISNUMBER($D80),ISNUMBER(VLOOKUP($C80,$A$5:$F$11,2,FALSE)),ISNUMBER(VLOOKUP($C80,$A$5:$F$11,5,FALSE))),$D80*VLOOKUP($C80,$A$5:$F$11,2,FALSE)*VLOOKUP($C80,$A$5:$F$11,5,FALSE),"")</f>
        <v/>
      </c>
      <c r="G80" s="13">
        <f>IF(AND(ISNUMBER($E80),ISNUMBER(VLOOKUP($C80,$A$5:$F$11,3,FALSE)),VLOOKUP($C80,$A$5:$F$11,3,FALSE)&gt;0,ISNUMBER(VLOOKUP($C80,$A$5:$F$11,6,FALSE))),$E80*VLOOKUP($C80,$A$5:$F$11,3,FALSE)*VLOOKUP($C80,$A$5:$F$11,6,FALSE),"")</f>
        <v/>
      </c>
    </row>
    <row r="81">
      <c r="A81" t="inlineStr">
        <is>
          <t>TTS.PM.001.IPE140.29</t>
        </is>
      </c>
      <c r="B81" t="inlineStr">
        <is>
          <t>Pilastro motore trave ipe140 x 2920 con foratura alloggiamento quadro motore (standard)</t>
        </is>
      </c>
      <c r="C81" s="14" t="inlineStr">
        <is>
          <t>IPE 140</t>
        </is>
      </c>
      <c r="D81" s="21" t="n">
        <v>2.92</v>
      </c>
      <c r="E81" s="22">
        <f>IF(AND(ISNUMBER($D81),ISNUMBER(VLOOKUP($C81,$A$5:$F$11,4,FALSE))),$D81*VLOOKUP($C81,$A$5:$F$11,4,FALSE),"")</f>
        <v/>
      </c>
      <c r="F81" s="13">
        <f>IF(AND(ISNUMBER($D81),ISNUMBER(VLOOKUP($C81,$A$5:$F$11,2,FALSE)),ISNUMBER(VLOOKUP($C81,$A$5:$F$11,5,FALSE))),$D81*VLOOKUP($C81,$A$5:$F$11,2,FALSE)*VLOOKUP($C81,$A$5:$F$11,5,FALSE),"")</f>
        <v/>
      </c>
      <c r="G81" s="13">
        <f>IF(AND(ISNUMBER($E81),ISNUMBER(VLOOKUP($C81,$A$5:$F$11,3,FALSE)),VLOOKUP($C81,$A$5:$F$11,3,FALSE)&gt;0,ISNUMBER(VLOOKUP($C81,$A$5:$F$11,6,FALSE))),$E81*VLOOKUP($C81,$A$5:$F$11,3,FALSE)*VLOOKUP($C81,$A$5:$F$11,6,FALSE),"")</f>
        <v/>
      </c>
    </row>
    <row r="82">
      <c r="A82" t="inlineStr">
        <is>
          <t>TTS.PM.001.IPE140.30</t>
        </is>
      </c>
      <c r="B82" t="inlineStr">
        <is>
          <t>Pilastro motore trave ipe140 x 3020 con foratura alloggiamento quadro motore (standard)</t>
        </is>
      </c>
      <c r="C82" s="14" t="inlineStr">
        <is>
          <t>IPE 140</t>
        </is>
      </c>
      <c r="D82" s="21" t="n">
        <v>3.02</v>
      </c>
      <c r="E82" s="22">
        <f>IF(AND(ISNUMBER($D82),ISNUMBER(VLOOKUP($C82,$A$5:$F$11,4,FALSE))),$D82*VLOOKUP($C82,$A$5:$F$11,4,FALSE),"")</f>
        <v/>
      </c>
      <c r="F82" s="13">
        <f>IF(AND(ISNUMBER($D82),ISNUMBER(VLOOKUP($C82,$A$5:$F$11,2,FALSE)),ISNUMBER(VLOOKUP($C82,$A$5:$F$11,5,FALSE))),$D82*VLOOKUP($C82,$A$5:$F$11,2,FALSE)*VLOOKUP($C82,$A$5:$F$11,5,FALSE),"")</f>
        <v/>
      </c>
      <c r="G82" s="13">
        <f>IF(AND(ISNUMBER($E82),ISNUMBER(VLOOKUP($C82,$A$5:$F$11,3,FALSE)),VLOOKUP($C82,$A$5:$F$11,3,FALSE)&gt;0,ISNUMBER(VLOOKUP($C82,$A$5:$F$11,6,FALSE))),$E82*VLOOKUP($C82,$A$5:$F$11,3,FALSE)*VLOOKUP($C82,$A$5:$F$11,6,FALSE),"")</f>
        <v/>
      </c>
    </row>
    <row r="83">
      <c r="A83" t="inlineStr">
        <is>
          <t>TTS.PM.001.IPE140.31</t>
        </is>
      </c>
      <c r="B83" t="inlineStr">
        <is>
          <t>Pilastro motore trave ipe140 x 3120 con foratura alloggiamento quadro motore (standard)</t>
        </is>
      </c>
      <c r="C83" s="14" t="inlineStr">
        <is>
          <t>IPE 140</t>
        </is>
      </c>
      <c r="D83" s="21" t="n">
        <v>3.12</v>
      </c>
      <c r="E83" s="22">
        <f>IF(AND(ISNUMBER($D83),ISNUMBER(VLOOKUP($C83,$A$5:$F$11,4,FALSE))),$D83*VLOOKUP($C83,$A$5:$F$11,4,FALSE),"")</f>
        <v/>
      </c>
      <c r="F83" s="13">
        <f>IF(AND(ISNUMBER($D83),ISNUMBER(VLOOKUP($C83,$A$5:$F$11,2,FALSE)),ISNUMBER(VLOOKUP($C83,$A$5:$F$11,5,FALSE))),$D83*VLOOKUP($C83,$A$5:$F$11,2,FALSE)*VLOOKUP($C83,$A$5:$F$11,5,FALSE),"")</f>
        <v/>
      </c>
      <c r="G83" s="13">
        <f>IF(AND(ISNUMBER($E83),ISNUMBER(VLOOKUP($C83,$A$5:$F$11,3,FALSE)),VLOOKUP($C83,$A$5:$F$11,3,FALSE)&gt;0,ISNUMBER(VLOOKUP($C83,$A$5:$F$11,6,FALSE))),$E83*VLOOKUP($C83,$A$5:$F$11,3,FALSE)*VLOOKUP($C83,$A$5:$F$11,6,FALSE),"")</f>
        <v/>
      </c>
    </row>
    <row r="84">
      <c r="A84" t="inlineStr">
        <is>
          <t>TTS.PM.001.IPE140.32</t>
        </is>
      </c>
      <c r="B84" t="inlineStr">
        <is>
          <t>Pilastro motore trave ipe140 x 3220 con foratura alloggiamento quadro motore (standard)</t>
        </is>
      </c>
      <c r="C84" s="14" t="inlineStr">
        <is>
          <t>IPE 140</t>
        </is>
      </c>
      <c r="D84" s="21" t="n">
        <v>3.22</v>
      </c>
      <c r="E84" s="22">
        <f>IF(AND(ISNUMBER($D84),ISNUMBER(VLOOKUP($C84,$A$5:$F$11,4,FALSE))),$D84*VLOOKUP($C84,$A$5:$F$11,4,FALSE),"")</f>
        <v/>
      </c>
      <c r="F84" s="13">
        <f>IF(AND(ISNUMBER($D84),ISNUMBER(VLOOKUP($C84,$A$5:$F$11,2,FALSE)),ISNUMBER(VLOOKUP($C84,$A$5:$F$11,5,FALSE))),$D84*VLOOKUP($C84,$A$5:$F$11,2,FALSE)*VLOOKUP($C84,$A$5:$F$11,5,FALSE),"")</f>
        <v/>
      </c>
      <c r="G84" s="13">
        <f>IF(AND(ISNUMBER($E84),ISNUMBER(VLOOKUP($C84,$A$5:$F$11,3,FALSE)),VLOOKUP($C84,$A$5:$F$11,3,FALSE)&gt;0,ISNUMBER(VLOOKUP($C84,$A$5:$F$11,6,FALSE))),$E84*VLOOKUP($C84,$A$5:$F$11,3,FALSE)*VLOOKUP($C84,$A$5:$F$11,6,FALSE),"")</f>
        <v/>
      </c>
    </row>
    <row r="85">
      <c r="A85" t="inlineStr">
        <is>
          <t>TTS.PM.001.IPE140.33</t>
        </is>
      </c>
      <c r="B85" t="inlineStr">
        <is>
          <t>Pilastro motore trave ipe140 x 3320 con foratura alloggiamento quadro motore (standard)</t>
        </is>
      </c>
      <c r="C85" s="14" t="inlineStr">
        <is>
          <t>IPE 140</t>
        </is>
      </c>
      <c r="D85" s="21" t="n">
        <v>3.32</v>
      </c>
      <c r="E85" s="22">
        <f>IF(AND(ISNUMBER($D85),ISNUMBER(VLOOKUP($C85,$A$5:$F$11,4,FALSE))),$D85*VLOOKUP($C85,$A$5:$F$11,4,FALSE),"")</f>
        <v/>
      </c>
      <c r="F85" s="13">
        <f>IF(AND(ISNUMBER($D85),ISNUMBER(VLOOKUP($C85,$A$5:$F$11,2,FALSE)),ISNUMBER(VLOOKUP($C85,$A$5:$F$11,5,FALSE))),$D85*VLOOKUP($C85,$A$5:$F$11,2,FALSE)*VLOOKUP($C85,$A$5:$F$11,5,FALSE),"")</f>
        <v/>
      </c>
      <c r="G85" s="13">
        <f>IF(AND(ISNUMBER($E85),ISNUMBER(VLOOKUP($C85,$A$5:$F$11,3,FALSE)),VLOOKUP($C85,$A$5:$F$11,3,FALSE)&gt;0,ISNUMBER(VLOOKUP($C85,$A$5:$F$11,6,FALSE))),$E85*VLOOKUP($C85,$A$5:$F$11,3,FALSE)*VLOOKUP($C85,$A$5:$F$11,6,FALSE),"")</f>
        <v/>
      </c>
    </row>
    <row r="86">
      <c r="A86" t="inlineStr">
        <is>
          <t>TTS.PM.001.IPE140.34</t>
        </is>
      </c>
      <c r="B86" t="inlineStr">
        <is>
          <t>Pilastro motore trave ipe140 x 3420 con foratura alloggiamento quadro motore (standard)</t>
        </is>
      </c>
      <c r="C86" s="14" t="inlineStr">
        <is>
          <t>IPE 140</t>
        </is>
      </c>
      <c r="D86" s="21" t="n">
        <v>3.42</v>
      </c>
      <c r="E86" s="22">
        <f>IF(AND(ISNUMBER($D86),ISNUMBER(VLOOKUP($C86,$A$5:$F$11,4,FALSE))),$D86*VLOOKUP($C86,$A$5:$F$11,4,FALSE),"")</f>
        <v/>
      </c>
      <c r="F86" s="13">
        <f>IF(AND(ISNUMBER($D86),ISNUMBER(VLOOKUP($C86,$A$5:$F$11,2,FALSE)),ISNUMBER(VLOOKUP($C86,$A$5:$F$11,5,FALSE))),$D86*VLOOKUP($C86,$A$5:$F$11,2,FALSE)*VLOOKUP($C86,$A$5:$F$11,5,FALSE),"")</f>
        <v/>
      </c>
      <c r="G86" s="13">
        <f>IF(AND(ISNUMBER($E86),ISNUMBER(VLOOKUP($C86,$A$5:$F$11,3,FALSE)),VLOOKUP($C86,$A$5:$F$11,3,FALSE)&gt;0,ISNUMBER(VLOOKUP($C86,$A$5:$F$11,6,FALSE))),$E86*VLOOKUP($C86,$A$5:$F$11,3,FALSE)*VLOOKUP($C86,$A$5:$F$11,6,FALSE),"")</f>
        <v/>
      </c>
    </row>
    <row r="87">
      <c r="A87" t="inlineStr">
        <is>
          <t>TTS.PM.001.IPE140.35</t>
        </is>
      </c>
      <c r="B87" t="inlineStr">
        <is>
          <t>Pilastro motore trave ipe140 x 3520 con foratura alloggiamento quadro motore (standard)</t>
        </is>
      </c>
      <c r="C87" s="14" t="inlineStr">
        <is>
          <t>IPE 140</t>
        </is>
      </c>
      <c r="D87" s="21" t="n">
        <v>3.52</v>
      </c>
      <c r="E87" s="22">
        <f>IF(AND(ISNUMBER($D87),ISNUMBER(VLOOKUP($C87,$A$5:$F$11,4,FALSE))),$D87*VLOOKUP($C87,$A$5:$F$11,4,FALSE),"")</f>
        <v/>
      </c>
      <c r="F87" s="13">
        <f>IF(AND(ISNUMBER($D87),ISNUMBER(VLOOKUP($C87,$A$5:$F$11,2,FALSE)),ISNUMBER(VLOOKUP($C87,$A$5:$F$11,5,FALSE))),$D87*VLOOKUP($C87,$A$5:$F$11,2,FALSE)*VLOOKUP($C87,$A$5:$F$11,5,FALSE),"")</f>
        <v/>
      </c>
      <c r="G87" s="13">
        <f>IF(AND(ISNUMBER($E87),ISNUMBER(VLOOKUP($C87,$A$5:$F$11,3,FALSE)),VLOOKUP($C87,$A$5:$F$11,3,FALSE)&gt;0,ISNUMBER(VLOOKUP($C87,$A$5:$F$11,6,FALSE))),$E87*VLOOKUP($C87,$A$5:$F$11,3,FALSE)*VLOOKUP($C87,$A$5:$F$11,6,FALSE),"")</f>
        <v/>
      </c>
    </row>
    <row r="88">
      <c r="A88" t="inlineStr">
        <is>
          <t>TTS.PM.001.IPE140.36</t>
        </is>
      </c>
      <c r="B88" t="inlineStr">
        <is>
          <t>Pilastro motore trave ipe140 x 3620 con foratura alloggiamento quadro motore (standard)</t>
        </is>
      </c>
      <c r="C88" s="14" t="inlineStr">
        <is>
          <t>IPE 140</t>
        </is>
      </c>
      <c r="D88" s="21" t="n">
        <v>3.62</v>
      </c>
      <c r="E88" s="22">
        <f>IF(AND(ISNUMBER($D88),ISNUMBER(VLOOKUP($C88,$A$5:$F$11,4,FALSE))),$D88*VLOOKUP($C88,$A$5:$F$11,4,FALSE),"")</f>
        <v/>
      </c>
      <c r="F88" s="13">
        <f>IF(AND(ISNUMBER($D88),ISNUMBER(VLOOKUP($C88,$A$5:$F$11,2,FALSE)),ISNUMBER(VLOOKUP($C88,$A$5:$F$11,5,FALSE))),$D88*VLOOKUP($C88,$A$5:$F$11,2,FALSE)*VLOOKUP($C88,$A$5:$F$11,5,FALSE),"")</f>
        <v/>
      </c>
      <c r="G88" s="13">
        <f>IF(AND(ISNUMBER($E88),ISNUMBER(VLOOKUP($C88,$A$5:$F$11,3,FALSE)),VLOOKUP($C88,$A$5:$F$11,3,FALSE)&gt;0,ISNUMBER(VLOOKUP($C88,$A$5:$F$11,6,FALSE))),$E88*VLOOKUP($C88,$A$5:$F$11,3,FALSE)*VLOOKUP($C88,$A$5:$F$11,6,FALSE),"")</f>
        <v/>
      </c>
    </row>
    <row r="89">
      <c r="A89" t="inlineStr">
        <is>
          <t>TTS.PM.001.IPE140.37</t>
        </is>
      </c>
      <c r="B89" t="inlineStr">
        <is>
          <t>Pilastro motore trave ipe140 x 3720 con foratura alloggiamento quadro motore (standard)</t>
        </is>
      </c>
      <c r="C89" s="14" t="inlineStr">
        <is>
          <t>IPE 140</t>
        </is>
      </c>
      <c r="D89" s="21" t="n">
        <v>3.72</v>
      </c>
      <c r="E89" s="22">
        <f>IF(AND(ISNUMBER($D89),ISNUMBER(VLOOKUP($C89,$A$5:$F$11,4,FALSE))),$D89*VLOOKUP($C89,$A$5:$F$11,4,FALSE),"")</f>
        <v/>
      </c>
      <c r="F89" s="13">
        <f>IF(AND(ISNUMBER($D89),ISNUMBER(VLOOKUP($C89,$A$5:$F$11,2,FALSE)),ISNUMBER(VLOOKUP($C89,$A$5:$F$11,5,FALSE))),$D89*VLOOKUP($C89,$A$5:$F$11,2,FALSE)*VLOOKUP($C89,$A$5:$F$11,5,FALSE),"")</f>
        <v/>
      </c>
      <c r="G89" s="13">
        <f>IF(AND(ISNUMBER($E89),ISNUMBER(VLOOKUP($C89,$A$5:$F$11,3,FALSE)),VLOOKUP($C89,$A$5:$F$11,3,FALSE)&gt;0,ISNUMBER(VLOOKUP($C89,$A$5:$F$11,6,FALSE))),$E89*VLOOKUP($C89,$A$5:$F$11,3,FALSE)*VLOOKUP($C89,$A$5:$F$11,6,FALSE),"")</f>
        <v/>
      </c>
    </row>
    <row r="90">
      <c r="A90" t="inlineStr">
        <is>
          <t>TTS.PM.001.IPE140.38</t>
        </is>
      </c>
      <c r="B90" t="inlineStr">
        <is>
          <t>Pilastro motore trave ipe140 x 3820 con foratura alloggiamento quadro motore (standard)</t>
        </is>
      </c>
      <c r="C90" s="14" t="inlineStr">
        <is>
          <t>IPE 140</t>
        </is>
      </c>
      <c r="D90" s="21" t="n">
        <v>3.82</v>
      </c>
      <c r="E90" s="22">
        <f>IF(AND(ISNUMBER($D90),ISNUMBER(VLOOKUP($C90,$A$5:$F$11,4,FALSE))),$D90*VLOOKUP($C90,$A$5:$F$11,4,FALSE),"")</f>
        <v/>
      </c>
      <c r="F90" s="13">
        <f>IF(AND(ISNUMBER($D90),ISNUMBER(VLOOKUP($C90,$A$5:$F$11,2,FALSE)),ISNUMBER(VLOOKUP($C90,$A$5:$F$11,5,FALSE))),$D90*VLOOKUP($C90,$A$5:$F$11,2,FALSE)*VLOOKUP($C90,$A$5:$F$11,5,FALSE),"")</f>
        <v/>
      </c>
      <c r="G90" s="13">
        <f>IF(AND(ISNUMBER($E90),ISNUMBER(VLOOKUP($C90,$A$5:$F$11,3,FALSE)),VLOOKUP($C90,$A$5:$F$11,3,FALSE)&gt;0,ISNUMBER(VLOOKUP($C90,$A$5:$F$11,6,FALSE))),$E90*VLOOKUP($C90,$A$5:$F$11,3,FALSE)*VLOOKUP($C90,$A$5:$F$11,6,FALSE),"")</f>
        <v/>
      </c>
    </row>
    <row r="91">
      <c r="A91" t="inlineStr">
        <is>
          <t>TTS.PM.001.IPE140.39</t>
        </is>
      </c>
      <c r="B91" t="inlineStr">
        <is>
          <t>Pilastro motore trave ipe140 x 3920 con foratura alloggiamento quadro motore (standard)</t>
        </is>
      </c>
      <c r="C91" s="14" t="inlineStr">
        <is>
          <t>IPE 140</t>
        </is>
      </c>
      <c r="D91" s="21" t="n">
        <v>3.92</v>
      </c>
      <c r="E91" s="22">
        <f>IF(AND(ISNUMBER($D91),ISNUMBER(VLOOKUP($C91,$A$5:$F$11,4,FALSE))),$D91*VLOOKUP($C91,$A$5:$F$11,4,FALSE),"")</f>
        <v/>
      </c>
      <c r="F91" s="13">
        <f>IF(AND(ISNUMBER($D91),ISNUMBER(VLOOKUP($C91,$A$5:$F$11,2,FALSE)),ISNUMBER(VLOOKUP($C91,$A$5:$F$11,5,FALSE))),$D91*VLOOKUP($C91,$A$5:$F$11,2,FALSE)*VLOOKUP($C91,$A$5:$F$11,5,FALSE),"")</f>
        <v/>
      </c>
      <c r="G91" s="13">
        <f>IF(AND(ISNUMBER($E91),ISNUMBER(VLOOKUP($C91,$A$5:$F$11,3,FALSE)),VLOOKUP($C91,$A$5:$F$11,3,FALSE)&gt;0,ISNUMBER(VLOOKUP($C91,$A$5:$F$11,6,FALSE))),$E91*VLOOKUP($C91,$A$5:$F$11,3,FALSE)*VLOOKUP($C91,$A$5:$F$11,6,FALSE),"")</f>
        <v/>
      </c>
    </row>
    <row r="92">
      <c r="A92" t="inlineStr">
        <is>
          <t>TTS.PM.001.IPE140.40</t>
        </is>
      </c>
      <c r="B92" t="inlineStr">
        <is>
          <t>Pilastro motore trave ipe140 x 4020 con foratura alloggiamento quadro motore (standard)</t>
        </is>
      </c>
      <c r="C92" s="14" t="inlineStr">
        <is>
          <t>IPE 140</t>
        </is>
      </c>
      <c r="D92" s="21" t="n">
        <v>4.02</v>
      </c>
      <c r="E92" s="22">
        <f>IF(AND(ISNUMBER($D92),ISNUMBER(VLOOKUP($C92,$A$5:$F$11,4,FALSE))),$D92*VLOOKUP($C92,$A$5:$F$11,4,FALSE),"")</f>
        <v/>
      </c>
      <c r="F92" s="13">
        <f>IF(AND(ISNUMBER($D92),ISNUMBER(VLOOKUP($C92,$A$5:$F$11,2,FALSE)),ISNUMBER(VLOOKUP($C92,$A$5:$F$11,5,FALSE))),$D92*VLOOKUP($C92,$A$5:$F$11,2,FALSE)*VLOOKUP($C92,$A$5:$F$11,5,FALSE),"")</f>
        <v/>
      </c>
      <c r="G92" s="13">
        <f>IF(AND(ISNUMBER($E92),ISNUMBER(VLOOKUP($C92,$A$5:$F$11,3,FALSE)),VLOOKUP($C92,$A$5:$F$11,3,FALSE)&gt;0,ISNUMBER(VLOOKUP($C92,$A$5:$F$11,6,FALSE))),$E92*VLOOKUP($C92,$A$5:$F$11,3,FALSE)*VLOOKUP($C92,$A$5:$F$11,6,FALSE),"")</f>
        <v/>
      </c>
    </row>
    <row r="93">
      <c r="A93" t="inlineStr">
        <is>
          <t>TTS.PM.001.IPE140.41</t>
        </is>
      </c>
      <c r="B93" t="inlineStr">
        <is>
          <t>Pilastro motore trave ipe140 x 4120 con foratura alloggiamento quadro motore (standard)</t>
        </is>
      </c>
      <c r="C93" s="14" t="inlineStr">
        <is>
          <t>IPE 140</t>
        </is>
      </c>
      <c r="D93" s="21" t="n">
        <v>4.12</v>
      </c>
      <c r="E93" s="22">
        <f>IF(AND(ISNUMBER($D93),ISNUMBER(VLOOKUP($C93,$A$5:$F$11,4,FALSE))),$D93*VLOOKUP($C93,$A$5:$F$11,4,FALSE),"")</f>
        <v/>
      </c>
      <c r="F93" s="13">
        <f>IF(AND(ISNUMBER($D93),ISNUMBER(VLOOKUP($C93,$A$5:$F$11,2,FALSE)),ISNUMBER(VLOOKUP($C93,$A$5:$F$11,5,FALSE))),$D93*VLOOKUP($C93,$A$5:$F$11,2,FALSE)*VLOOKUP($C93,$A$5:$F$11,5,FALSE),"")</f>
        <v/>
      </c>
      <c r="G93" s="13">
        <f>IF(AND(ISNUMBER($E93),ISNUMBER(VLOOKUP($C93,$A$5:$F$11,3,FALSE)),VLOOKUP($C93,$A$5:$F$11,3,FALSE)&gt;0,ISNUMBER(VLOOKUP($C93,$A$5:$F$11,6,FALSE))),$E93*VLOOKUP($C93,$A$5:$F$11,3,FALSE)*VLOOKUP($C93,$A$5:$F$11,6,FALSE),"")</f>
        <v/>
      </c>
    </row>
    <row r="94">
      <c r="A94" t="inlineStr">
        <is>
          <t>TTS.PM.001.IPE140.42</t>
        </is>
      </c>
      <c r="B94" t="inlineStr">
        <is>
          <t>Pilastro motore trave ipe140 x 4220 con foratura alloggiamento quadro motore (standard)</t>
        </is>
      </c>
      <c r="C94" s="14" t="inlineStr">
        <is>
          <t>IPE 140</t>
        </is>
      </c>
      <c r="D94" s="21" t="n">
        <v>4.22</v>
      </c>
      <c r="E94" s="22">
        <f>IF(AND(ISNUMBER($D94),ISNUMBER(VLOOKUP($C94,$A$5:$F$11,4,FALSE))),$D94*VLOOKUP($C94,$A$5:$F$11,4,FALSE),"")</f>
        <v/>
      </c>
      <c r="F94" s="13">
        <f>IF(AND(ISNUMBER($D94),ISNUMBER(VLOOKUP($C94,$A$5:$F$11,2,FALSE)),ISNUMBER(VLOOKUP($C94,$A$5:$F$11,5,FALSE))),$D94*VLOOKUP($C94,$A$5:$F$11,2,FALSE)*VLOOKUP($C94,$A$5:$F$11,5,FALSE),"")</f>
        <v/>
      </c>
      <c r="G94" s="13">
        <f>IF(AND(ISNUMBER($E94),ISNUMBER(VLOOKUP($C94,$A$5:$F$11,3,FALSE)),VLOOKUP($C94,$A$5:$F$11,3,FALSE)&gt;0,ISNUMBER(VLOOKUP($C94,$A$5:$F$11,6,FALSE))),$E94*VLOOKUP($C94,$A$5:$F$11,3,FALSE)*VLOOKUP($C94,$A$5:$F$11,6,FALSE),"")</f>
        <v/>
      </c>
    </row>
    <row r="95">
      <c r="A95" t="inlineStr">
        <is>
          <t>TTS.PM.001.IPE140.43</t>
        </is>
      </c>
      <c r="B95" t="inlineStr">
        <is>
          <t>Pilastro motore trave ipe140 x 4320 con foratura alloggiamento quadro motore (standard)</t>
        </is>
      </c>
      <c r="C95" s="14" t="inlineStr">
        <is>
          <t>IPE 140</t>
        </is>
      </c>
      <c r="D95" s="21" t="n">
        <v>4.32</v>
      </c>
      <c r="E95" s="22">
        <f>IF(AND(ISNUMBER($D95),ISNUMBER(VLOOKUP($C95,$A$5:$F$11,4,FALSE))),$D95*VLOOKUP($C95,$A$5:$F$11,4,FALSE),"")</f>
        <v/>
      </c>
      <c r="F95" s="13">
        <f>IF(AND(ISNUMBER($D95),ISNUMBER(VLOOKUP($C95,$A$5:$F$11,2,FALSE)),ISNUMBER(VLOOKUP($C95,$A$5:$F$11,5,FALSE))),$D95*VLOOKUP($C95,$A$5:$F$11,2,FALSE)*VLOOKUP($C95,$A$5:$F$11,5,FALSE),"")</f>
        <v/>
      </c>
      <c r="G95" s="13">
        <f>IF(AND(ISNUMBER($E95),ISNUMBER(VLOOKUP($C95,$A$5:$F$11,3,FALSE)),VLOOKUP($C95,$A$5:$F$11,3,FALSE)&gt;0,ISNUMBER(VLOOKUP($C95,$A$5:$F$11,6,FALSE))),$E95*VLOOKUP($C95,$A$5:$F$11,3,FALSE)*VLOOKUP($C95,$A$5:$F$11,6,FALSE),"")</f>
        <v/>
      </c>
    </row>
    <row r="96">
      <c r="A96" t="inlineStr">
        <is>
          <t>TTS.PM.001.IPE140.44</t>
        </is>
      </c>
      <c r="B96" t="inlineStr">
        <is>
          <t>Pilastro motore trave ipe140 x 4420 con foratura alloggiamento quadro motore (standard)</t>
        </is>
      </c>
      <c r="C96" s="14" t="inlineStr">
        <is>
          <t>IPE 140</t>
        </is>
      </c>
      <c r="D96" s="21" t="n">
        <v>4.42</v>
      </c>
      <c r="E96" s="22">
        <f>IF(AND(ISNUMBER($D96),ISNUMBER(VLOOKUP($C96,$A$5:$F$11,4,FALSE))),$D96*VLOOKUP($C96,$A$5:$F$11,4,FALSE),"")</f>
        <v/>
      </c>
      <c r="F96" s="13">
        <f>IF(AND(ISNUMBER($D96),ISNUMBER(VLOOKUP($C96,$A$5:$F$11,2,FALSE)),ISNUMBER(VLOOKUP($C96,$A$5:$F$11,5,FALSE))),$D96*VLOOKUP($C96,$A$5:$F$11,2,FALSE)*VLOOKUP($C96,$A$5:$F$11,5,FALSE),"")</f>
        <v/>
      </c>
      <c r="G96" s="13">
        <f>IF(AND(ISNUMBER($E96),ISNUMBER(VLOOKUP($C96,$A$5:$F$11,3,FALSE)),VLOOKUP($C96,$A$5:$F$11,3,FALSE)&gt;0,ISNUMBER(VLOOKUP($C96,$A$5:$F$11,6,FALSE))),$E96*VLOOKUP($C96,$A$5:$F$11,3,FALSE)*VLOOKUP($C96,$A$5:$F$11,6,FALSE),"")</f>
        <v/>
      </c>
    </row>
    <row r="97">
      <c r="A97" t="inlineStr">
        <is>
          <t>TTS.PM.001.IPEA140.22</t>
        </is>
      </c>
      <c r="B97" t="inlineStr">
        <is>
          <t>Pilastro motore trave ipea140 x 2220 con foratura alloggiamento quadro motore (alleggerita)</t>
        </is>
      </c>
      <c r="C97" s="14" t="inlineStr">
        <is>
          <t>IPEA 140</t>
        </is>
      </c>
      <c r="D97" s="21" t="n">
        <v>2.22</v>
      </c>
      <c r="E97" s="22">
        <f>IF(AND(ISNUMBER($D97),ISNUMBER(VLOOKUP($C97,$A$5:$F$11,4,FALSE))),$D97*VLOOKUP($C97,$A$5:$F$11,4,FALSE),"")</f>
        <v/>
      </c>
      <c r="F97" s="13">
        <f>IF(AND(ISNUMBER($D97),ISNUMBER(VLOOKUP($C97,$A$5:$F$11,2,FALSE)),ISNUMBER(VLOOKUP($C97,$A$5:$F$11,5,FALSE))),$D97*VLOOKUP($C97,$A$5:$F$11,2,FALSE)*VLOOKUP($C97,$A$5:$F$11,5,FALSE),"")</f>
        <v/>
      </c>
      <c r="G97" s="13">
        <f>IF(AND(ISNUMBER($E97),ISNUMBER(VLOOKUP($C97,$A$5:$F$11,3,FALSE)),VLOOKUP($C97,$A$5:$F$11,3,FALSE)&gt;0,ISNUMBER(VLOOKUP($C97,$A$5:$F$11,6,FALSE))),$E97*VLOOKUP($C97,$A$5:$F$11,3,FALSE)*VLOOKUP($C97,$A$5:$F$11,6,FALSE),"")</f>
        <v/>
      </c>
    </row>
    <row r="98">
      <c r="A98" t="inlineStr">
        <is>
          <t>TTS.PM.001.IPEA140.22.QC</t>
        </is>
      </c>
      <c r="B98" t="inlineStr">
        <is>
          <t>Pilastro motore trave ipea140 x 2220 con foratura alloggiamento quadro motore + quadro centralina meteo + quadro alimentazione centralina meteo (alleggerita)</t>
        </is>
      </c>
      <c r="C98" s="14" t="inlineStr">
        <is>
          <t>IPEA 140</t>
        </is>
      </c>
      <c r="D98" s="21" t="n">
        <v>2.22</v>
      </c>
      <c r="E98" s="22">
        <f>IF(AND(ISNUMBER($D98),ISNUMBER(VLOOKUP($C98,$A$5:$F$11,4,FALSE))),$D98*VLOOKUP($C98,$A$5:$F$11,4,FALSE),"")</f>
        <v/>
      </c>
      <c r="F98" s="13">
        <f>IF(AND(ISNUMBER($D98),ISNUMBER(VLOOKUP($C98,$A$5:$F$11,2,FALSE)),ISNUMBER(VLOOKUP($C98,$A$5:$F$11,5,FALSE))),$D98*VLOOKUP($C98,$A$5:$F$11,2,FALSE)*VLOOKUP($C98,$A$5:$F$11,5,FALSE),"")</f>
        <v/>
      </c>
      <c r="G98" s="13">
        <f>IF(AND(ISNUMBER($E98),ISNUMBER(VLOOKUP($C98,$A$5:$F$11,3,FALSE)),VLOOKUP($C98,$A$5:$F$11,3,FALSE)&gt;0,ISNUMBER(VLOOKUP($C98,$A$5:$F$11,6,FALSE))),$E98*VLOOKUP($C98,$A$5:$F$11,3,FALSE)*VLOOKUP($C98,$A$5:$F$11,6,FALSE),"")</f>
        <v/>
      </c>
    </row>
    <row r="99">
      <c r="A99" t="inlineStr">
        <is>
          <t>TTS.PM.001.IPEA140.27</t>
        </is>
      </c>
      <c r="B99" t="inlineStr">
        <is>
          <t>Pilastro motore trave ipea140 x 2720 con foratura alloggiamento quadro motore (alleggerita)</t>
        </is>
      </c>
      <c r="C99" s="14" t="inlineStr">
        <is>
          <t>IPEA 140</t>
        </is>
      </c>
      <c r="D99" s="21" t="n">
        <v>2.72</v>
      </c>
      <c r="E99" s="22">
        <f>IF(AND(ISNUMBER($D99),ISNUMBER(VLOOKUP($C99,$A$5:$F$11,4,FALSE))),$D99*VLOOKUP($C99,$A$5:$F$11,4,FALSE),"")</f>
        <v/>
      </c>
      <c r="F99" s="13">
        <f>IF(AND(ISNUMBER($D99),ISNUMBER(VLOOKUP($C99,$A$5:$F$11,2,FALSE)),ISNUMBER(VLOOKUP($C99,$A$5:$F$11,5,FALSE))),$D99*VLOOKUP($C99,$A$5:$F$11,2,FALSE)*VLOOKUP($C99,$A$5:$F$11,5,FALSE),"")</f>
        <v/>
      </c>
      <c r="G99" s="13">
        <f>IF(AND(ISNUMBER($E99),ISNUMBER(VLOOKUP($C99,$A$5:$F$11,3,FALSE)),VLOOKUP($C99,$A$5:$F$11,3,FALSE)&gt;0,ISNUMBER(VLOOKUP($C99,$A$5:$F$11,6,FALSE))),$E99*VLOOKUP($C99,$A$5:$F$11,3,FALSE)*VLOOKUP($C99,$A$5:$F$11,6,FALSE),"")</f>
        <v/>
      </c>
    </row>
    <row r="100">
      <c r="A100" t="inlineStr">
        <is>
          <t>TTS.PM.001.IPEA140.28</t>
        </is>
      </c>
      <c r="B100" t="inlineStr">
        <is>
          <t>Pilastro motore trave ipea140 x 2820 con foratura alloggiamento quadro motore (alleggerita)</t>
        </is>
      </c>
      <c r="C100" s="14" t="inlineStr">
        <is>
          <t>IPEA 140</t>
        </is>
      </c>
      <c r="D100" s="21" t="n">
        <v>2.82</v>
      </c>
      <c r="E100" s="22">
        <f>IF(AND(ISNUMBER($D100),ISNUMBER(VLOOKUP($C100,$A$5:$F$11,4,FALSE))),$D100*VLOOKUP($C100,$A$5:$F$11,4,FALSE),"")</f>
        <v/>
      </c>
      <c r="F100" s="13">
        <f>IF(AND(ISNUMBER($D100),ISNUMBER(VLOOKUP($C100,$A$5:$F$11,2,FALSE)),ISNUMBER(VLOOKUP($C100,$A$5:$F$11,5,FALSE))),$D100*VLOOKUP($C100,$A$5:$F$11,2,FALSE)*VLOOKUP($C100,$A$5:$F$11,5,FALSE),"")</f>
        <v/>
      </c>
      <c r="G100" s="13">
        <f>IF(AND(ISNUMBER($E100),ISNUMBER(VLOOKUP($C100,$A$5:$F$11,3,FALSE)),VLOOKUP($C100,$A$5:$F$11,3,FALSE)&gt;0,ISNUMBER(VLOOKUP($C100,$A$5:$F$11,6,FALSE))),$E100*VLOOKUP($C100,$A$5:$F$11,3,FALSE)*VLOOKUP($C100,$A$5:$F$11,6,FALSE),"")</f>
        <v/>
      </c>
    </row>
    <row r="101">
      <c r="A101" t="inlineStr">
        <is>
          <t>TTS.PM.001.IPEA140.29</t>
        </is>
      </c>
      <c r="B101" t="inlineStr">
        <is>
          <t>Pilastro motore trave ipea140 x 2920 con foratura alloggiamento quadro motore (alleggerita)</t>
        </is>
      </c>
      <c r="C101" s="14" t="inlineStr">
        <is>
          <t>IPEA 140</t>
        </is>
      </c>
      <c r="D101" s="21" t="n">
        <v>2.92</v>
      </c>
      <c r="E101" s="22">
        <f>IF(AND(ISNUMBER($D101),ISNUMBER(VLOOKUP($C101,$A$5:$F$11,4,FALSE))),$D101*VLOOKUP($C101,$A$5:$F$11,4,FALSE),"")</f>
        <v/>
      </c>
      <c r="F101" s="13">
        <f>IF(AND(ISNUMBER($D101),ISNUMBER(VLOOKUP($C101,$A$5:$F$11,2,FALSE)),ISNUMBER(VLOOKUP($C101,$A$5:$F$11,5,FALSE))),$D101*VLOOKUP($C101,$A$5:$F$11,2,FALSE)*VLOOKUP($C101,$A$5:$F$11,5,FALSE),"")</f>
        <v/>
      </c>
      <c r="G101" s="13">
        <f>IF(AND(ISNUMBER($E101),ISNUMBER(VLOOKUP($C101,$A$5:$F$11,3,FALSE)),VLOOKUP($C101,$A$5:$F$11,3,FALSE)&gt;0,ISNUMBER(VLOOKUP($C101,$A$5:$F$11,6,FALSE))),$E101*VLOOKUP($C101,$A$5:$F$11,3,FALSE)*VLOOKUP($C101,$A$5:$F$11,6,FALSE),"")</f>
        <v/>
      </c>
    </row>
    <row r="102">
      <c r="A102" t="inlineStr">
        <is>
          <t>TTS.PM.001.IPEA140.30</t>
        </is>
      </c>
      <c r="B102" t="inlineStr">
        <is>
          <t>Pilastro motore trave ipea140 x 3020 con foratura alloggiamento quadro motore (alleggerita)</t>
        </is>
      </c>
      <c r="C102" s="14" t="inlineStr">
        <is>
          <t>IPEA 140</t>
        </is>
      </c>
      <c r="D102" s="21" t="n">
        <v>3.02</v>
      </c>
      <c r="E102" s="22">
        <f>IF(AND(ISNUMBER($D102),ISNUMBER(VLOOKUP($C102,$A$5:$F$11,4,FALSE))),$D102*VLOOKUP($C102,$A$5:$F$11,4,FALSE),"")</f>
        <v/>
      </c>
      <c r="F102" s="13">
        <f>IF(AND(ISNUMBER($D102),ISNUMBER(VLOOKUP($C102,$A$5:$F$11,2,FALSE)),ISNUMBER(VLOOKUP($C102,$A$5:$F$11,5,FALSE))),$D102*VLOOKUP($C102,$A$5:$F$11,2,FALSE)*VLOOKUP($C102,$A$5:$F$11,5,FALSE),"")</f>
        <v/>
      </c>
      <c r="G102" s="13">
        <f>IF(AND(ISNUMBER($E102),ISNUMBER(VLOOKUP($C102,$A$5:$F$11,3,FALSE)),VLOOKUP($C102,$A$5:$F$11,3,FALSE)&gt;0,ISNUMBER(VLOOKUP($C102,$A$5:$F$11,6,FALSE))),$E102*VLOOKUP($C102,$A$5:$F$11,3,FALSE)*VLOOKUP($C102,$A$5:$F$11,6,FALSE),"")</f>
        <v/>
      </c>
    </row>
    <row r="103">
      <c r="A103" t="inlineStr">
        <is>
          <t>TTS.PM.001.IPEA140.31</t>
        </is>
      </c>
      <c r="B103" t="inlineStr">
        <is>
          <t>Pilastro motore trave ipea140 x 3120 con foratura alloggiamento quadro motore (alleggerita)</t>
        </is>
      </c>
      <c r="C103" s="14" t="inlineStr">
        <is>
          <t>IPEA 140</t>
        </is>
      </c>
      <c r="D103" s="21" t="n">
        <v>3.12</v>
      </c>
      <c r="E103" s="22">
        <f>IF(AND(ISNUMBER($D103),ISNUMBER(VLOOKUP($C103,$A$5:$F$11,4,FALSE))),$D103*VLOOKUP($C103,$A$5:$F$11,4,FALSE),"")</f>
        <v/>
      </c>
      <c r="F103" s="13">
        <f>IF(AND(ISNUMBER($D103),ISNUMBER(VLOOKUP($C103,$A$5:$F$11,2,FALSE)),ISNUMBER(VLOOKUP($C103,$A$5:$F$11,5,FALSE))),$D103*VLOOKUP($C103,$A$5:$F$11,2,FALSE)*VLOOKUP($C103,$A$5:$F$11,5,FALSE),"")</f>
        <v/>
      </c>
      <c r="G103" s="13">
        <f>IF(AND(ISNUMBER($E103),ISNUMBER(VLOOKUP($C103,$A$5:$F$11,3,FALSE)),VLOOKUP($C103,$A$5:$F$11,3,FALSE)&gt;0,ISNUMBER(VLOOKUP($C103,$A$5:$F$11,6,FALSE))),$E103*VLOOKUP($C103,$A$5:$F$11,3,FALSE)*VLOOKUP($C103,$A$5:$F$11,6,FALSE),"")</f>
        <v/>
      </c>
    </row>
    <row r="104">
      <c r="A104" t="inlineStr">
        <is>
          <t>TTS.PM.001.IPEA140.32</t>
        </is>
      </c>
      <c r="B104" t="inlineStr">
        <is>
          <t>Pilastro motore trave ipea140 x 3220 con foratura alloggiamento quadro motore (alleggerita)</t>
        </is>
      </c>
      <c r="C104" s="14" t="inlineStr">
        <is>
          <t>IPEA 140</t>
        </is>
      </c>
      <c r="D104" s="21" t="n">
        <v>3.22</v>
      </c>
      <c r="E104" s="22">
        <f>IF(AND(ISNUMBER($D104),ISNUMBER(VLOOKUP($C104,$A$5:$F$11,4,FALSE))),$D104*VLOOKUP($C104,$A$5:$F$11,4,FALSE),"")</f>
        <v/>
      </c>
      <c r="F104" s="13">
        <f>IF(AND(ISNUMBER($D104),ISNUMBER(VLOOKUP($C104,$A$5:$F$11,2,FALSE)),ISNUMBER(VLOOKUP($C104,$A$5:$F$11,5,FALSE))),$D104*VLOOKUP($C104,$A$5:$F$11,2,FALSE)*VLOOKUP($C104,$A$5:$F$11,5,FALSE),"")</f>
        <v/>
      </c>
      <c r="G104" s="13">
        <f>IF(AND(ISNUMBER($E104),ISNUMBER(VLOOKUP($C104,$A$5:$F$11,3,FALSE)),VLOOKUP($C104,$A$5:$F$11,3,FALSE)&gt;0,ISNUMBER(VLOOKUP($C104,$A$5:$F$11,6,FALSE))),$E104*VLOOKUP($C104,$A$5:$F$11,3,FALSE)*VLOOKUP($C104,$A$5:$F$11,6,FALSE),"")</f>
        <v/>
      </c>
    </row>
    <row r="105">
      <c r="A105" t="inlineStr">
        <is>
          <t>TTS.PM.001.IPEA140.33</t>
        </is>
      </c>
      <c r="B105" t="inlineStr">
        <is>
          <t>Pilastro motore trave ipea140 x 3320 con foratura alloggiamento quadro motore (alleggerita)</t>
        </is>
      </c>
      <c r="C105" s="14" t="inlineStr">
        <is>
          <t>IPEA 140</t>
        </is>
      </c>
      <c r="D105" s="21" t="n">
        <v>3.32</v>
      </c>
      <c r="E105" s="22">
        <f>IF(AND(ISNUMBER($D105),ISNUMBER(VLOOKUP($C105,$A$5:$F$11,4,FALSE))),$D105*VLOOKUP($C105,$A$5:$F$11,4,FALSE),"")</f>
        <v/>
      </c>
      <c r="F105" s="13">
        <f>IF(AND(ISNUMBER($D105),ISNUMBER(VLOOKUP($C105,$A$5:$F$11,2,FALSE)),ISNUMBER(VLOOKUP($C105,$A$5:$F$11,5,FALSE))),$D105*VLOOKUP($C105,$A$5:$F$11,2,FALSE)*VLOOKUP($C105,$A$5:$F$11,5,FALSE),"")</f>
        <v/>
      </c>
      <c r="G105" s="13">
        <f>IF(AND(ISNUMBER($E105),ISNUMBER(VLOOKUP($C105,$A$5:$F$11,3,FALSE)),VLOOKUP($C105,$A$5:$F$11,3,FALSE)&gt;0,ISNUMBER(VLOOKUP($C105,$A$5:$F$11,6,FALSE))),$E105*VLOOKUP($C105,$A$5:$F$11,3,FALSE)*VLOOKUP($C105,$A$5:$F$11,6,FALSE),"")</f>
        <v/>
      </c>
    </row>
    <row r="106">
      <c r="A106" t="inlineStr">
        <is>
          <t>TTS.PM.001.IPEA140.34</t>
        </is>
      </c>
      <c r="B106" t="inlineStr">
        <is>
          <t>Pilastro motore trave ipea140 x 3420 con foratura alloggiamento quadro motore (alleggerita)</t>
        </is>
      </c>
      <c r="C106" s="14" t="inlineStr">
        <is>
          <t>IPEA 140</t>
        </is>
      </c>
      <c r="D106" s="21" t="n">
        <v>3.42</v>
      </c>
      <c r="E106" s="22">
        <f>IF(AND(ISNUMBER($D106),ISNUMBER(VLOOKUP($C106,$A$5:$F$11,4,FALSE))),$D106*VLOOKUP($C106,$A$5:$F$11,4,FALSE),"")</f>
        <v/>
      </c>
      <c r="F106" s="13">
        <f>IF(AND(ISNUMBER($D106),ISNUMBER(VLOOKUP($C106,$A$5:$F$11,2,FALSE)),ISNUMBER(VLOOKUP($C106,$A$5:$F$11,5,FALSE))),$D106*VLOOKUP($C106,$A$5:$F$11,2,FALSE)*VLOOKUP($C106,$A$5:$F$11,5,FALSE),"")</f>
        <v/>
      </c>
      <c r="G106" s="13">
        <f>IF(AND(ISNUMBER($E106),ISNUMBER(VLOOKUP($C106,$A$5:$F$11,3,FALSE)),VLOOKUP($C106,$A$5:$F$11,3,FALSE)&gt;0,ISNUMBER(VLOOKUP($C106,$A$5:$F$11,6,FALSE))),$E106*VLOOKUP($C106,$A$5:$F$11,3,FALSE)*VLOOKUP($C106,$A$5:$F$11,6,FALSE),"")</f>
        <v/>
      </c>
    </row>
    <row r="107">
      <c r="A107" t="inlineStr">
        <is>
          <t>TTS.PM.001.IPEA140.35</t>
        </is>
      </c>
      <c r="B107" t="inlineStr">
        <is>
          <t>Pilastro motore trave ipea140 x 3520 con foratura alloggiamento quadro motore (alleggerita)</t>
        </is>
      </c>
      <c r="C107" s="14" t="inlineStr">
        <is>
          <t>IPEA 140</t>
        </is>
      </c>
      <c r="D107" s="21" t="n">
        <v>3.52</v>
      </c>
      <c r="E107" s="22">
        <f>IF(AND(ISNUMBER($D107),ISNUMBER(VLOOKUP($C107,$A$5:$F$11,4,FALSE))),$D107*VLOOKUP($C107,$A$5:$F$11,4,FALSE),"")</f>
        <v/>
      </c>
      <c r="F107" s="13">
        <f>IF(AND(ISNUMBER($D107),ISNUMBER(VLOOKUP($C107,$A$5:$F$11,2,FALSE)),ISNUMBER(VLOOKUP($C107,$A$5:$F$11,5,FALSE))),$D107*VLOOKUP($C107,$A$5:$F$11,2,FALSE)*VLOOKUP($C107,$A$5:$F$11,5,FALSE),"")</f>
        <v/>
      </c>
      <c r="G107" s="13">
        <f>IF(AND(ISNUMBER($E107),ISNUMBER(VLOOKUP($C107,$A$5:$F$11,3,FALSE)),VLOOKUP($C107,$A$5:$F$11,3,FALSE)&gt;0,ISNUMBER(VLOOKUP($C107,$A$5:$F$11,6,FALSE))),$E107*VLOOKUP($C107,$A$5:$F$11,3,FALSE)*VLOOKUP($C107,$A$5:$F$11,6,FALSE),"")</f>
        <v/>
      </c>
    </row>
    <row r="108">
      <c r="A108" t="inlineStr">
        <is>
          <t>TTS.PM.001.IPEA140.36</t>
        </is>
      </c>
      <c r="B108" t="inlineStr">
        <is>
          <t>Pilastro motore trave ipea140 x 3620 con foratura alloggiamento quadro motore (alleggerita)</t>
        </is>
      </c>
      <c r="C108" s="14" t="inlineStr">
        <is>
          <t>IPEA 140</t>
        </is>
      </c>
      <c r="D108" s="21" t="n">
        <v>3.62</v>
      </c>
      <c r="E108" s="22">
        <f>IF(AND(ISNUMBER($D108),ISNUMBER(VLOOKUP($C108,$A$5:$F$11,4,FALSE))),$D108*VLOOKUP($C108,$A$5:$F$11,4,FALSE),"")</f>
        <v/>
      </c>
      <c r="F108" s="13">
        <f>IF(AND(ISNUMBER($D108),ISNUMBER(VLOOKUP($C108,$A$5:$F$11,2,FALSE)),ISNUMBER(VLOOKUP($C108,$A$5:$F$11,5,FALSE))),$D108*VLOOKUP($C108,$A$5:$F$11,2,FALSE)*VLOOKUP($C108,$A$5:$F$11,5,FALSE),"")</f>
        <v/>
      </c>
      <c r="G108" s="13">
        <f>IF(AND(ISNUMBER($E108),ISNUMBER(VLOOKUP($C108,$A$5:$F$11,3,FALSE)),VLOOKUP($C108,$A$5:$F$11,3,FALSE)&gt;0,ISNUMBER(VLOOKUP($C108,$A$5:$F$11,6,FALSE))),$E108*VLOOKUP($C108,$A$5:$F$11,3,FALSE)*VLOOKUP($C108,$A$5:$F$11,6,FALSE),"")</f>
        <v/>
      </c>
    </row>
    <row r="109">
      <c r="A109" t="inlineStr">
        <is>
          <t>TTS.PM.001.IPEA140.37</t>
        </is>
      </c>
      <c r="B109" t="inlineStr">
        <is>
          <t>Pilastro motore trave ipea140 x 3720 con foratura alloggiamento quadro motore (alleggerita)</t>
        </is>
      </c>
      <c r="C109" s="14" t="inlineStr">
        <is>
          <t>IPEA 140</t>
        </is>
      </c>
      <c r="D109" s="21" t="n">
        <v>3.72</v>
      </c>
      <c r="E109" s="22">
        <f>IF(AND(ISNUMBER($D109),ISNUMBER(VLOOKUP($C109,$A$5:$F$11,4,FALSE))),$D109*VLOOKUP($C109,$A$5:$F$11,4,FALSE),"")</f>
        <v/>
      </c>
      <c r="F109" s="13">
        <f>IF(AND(ISNUMBER($D109),ISNUMBER(VLOOKUP($C109,$A$5:$F$11,2,FALSE)),ISNUMBER(VLOOKUP($C109,$A$5:$F$11,5,FALSE))),$D109*VLOOKUP($C109,$A$5:$F$11,2,FALSE)*VLOOKUP($C109,$A$5:$F$11,5,FALSE),"")</f>
        <v/>
      </c>
      <c r="G109" s="13">
        <f>IF(AND(ISNUMBER($E109),ISNUMBER(VLOOKUP($C109,$A$5:$F$11,3,FALSE)),VLOOKUP($C109,$A$5:$F$11,3,FALSE)&gt;0,ISNUMBER(VLOOKUP($C109,$A$5:$F$11,6,FALSE))),$E109*VLOOKUP($C109,$A$5:$F$11,3,FALSE)*VLOOKUP($C109,$A$5:$F$11,6,FALSE),"")</f>
        <v/>
      </c>
    </row>
    <row r="110">
      <c r="A110" t="inlineStr">
        <is>
          <t>TTS.PM.001.IPEA140.38</t>
        </is>
      </c>
      <c r="B110" t="inlineStr">
        <is>
          <t>Pilastro motore trave ipea140 x 3820 con foratura alloggiamento quadro motore (alleggerita)</t>
        </is>
      </c>
      <c r="C110" s="14" t="inlineStr">
        <is>
          <t>IPEA 140</t>
        </is>
      </c>
      <c r="D110" s="21" t="n">
        <v>3.82</v>
      </c>
      <c r="E110" s="22">
        <f>IF(AND(ISNUMBER($D110),ISNUMBER(VLOOKUP($C110,$A$5:$F$11,4,FALSE))),$D110*VLOOKUP($C110,$A$5:$F$11,4,FALSE),"")</f>
        <v/>
      </c>
      <c r="F110" s="13">
        <f>IF(AND(ISNUMBER($D110),ISNUMBER(VLOOKUP($C110,$A$5:$F$11,2,FALSE)),ISNUMBER(VLOOKUP($C110,$A$5:$F$11,5,FALSE))),$D110*VLOOKUP($C110,$A$5:$F$11,2,FALSE)*VLOOKUP($C110,$A$5:$F$11,5,FALSE),"")</f>
        <v/>
      </c>
      <c r="G110" s="13">
        <f>IF(AND(ISNUMBER($E110),ISNUMBER(VLOOKUP($C110,$A$5:$F$11,3,FALSE)),VLOOKUP($C110,$A$5:$F$11,3,FALSE)&gt;0,ISNUMBER(VLOOKUP($C110,$A$5:$F$11,6,FALSE))),$E110*VLOOKUP($C110,$A$5:$F$11,3,FALSE)*VLOOKUP($C110,$A$5:$F$11,6,FALSE),"")</f>
        <v/>
      </c>
    </row>
    <row r="111">
      <c r="A111" t="inlineStr">
        <is>
          <t>TTS.PM.001.IPEA140.39</t>
        </is>
      </c>
      <c r="B111" t="inlineStr">
        <is>
          <t>Pilastro motore trave ipea140 x 3920 con foratura alloggiamento quadro motore (alleggerita)</t>
        </is>
      </c>
      <c r="C111" s="14" t="inlineStr">
        <is>
          <t>IPEA 140</t>
        </is>
      </c>
      <c r="D111" s="21" t="n">
        <v>3.92</v>
      </c>
      <c r="E111" s="22">
        <f>IF(AND(ISNUMBER($D111),ISNUMBER(VLOOKUP($C111,$A$5:$F$11,4,FALSE))),$D111*VLOOKUP($C111,$A$5:$F$11,4,FALSE),"")</f>
        <v/>
      </c>
      <c r="F111" s="13">
        <f>IF(AND(ISNUMBER($D111),ISNUMBER(VLOOKUP($C111,$A$5:$F$11,2,FALSE)),ISNUMBER(VLOOKUP($C111,$A$5:$F$11,5,FALSE))),$D111*VLOOKUP($C111,$A$5:$F$11,2,FALSE)*VLOOKUP($C111,$A$5:$F$11,5,FALSE),"")</f>
        <v/>
      </c>
      <c r="G111" s="13">
        <f>IF(AND(ISNUMBER($E111),ISNUMBER(VLOOKUP($C111,$A$5:$F$11,3,FALSE)),VLOOKUP($C111,$A$5:$F$11,3,FALSE)&gt;0,ISNUMBER(VLOOKUP($C111,$A$5:$F$11,6,FALSE))),$E111*VLOOKUP($C111,$A$5:$F$11,3,FALSE)*VLOOKUP($C111,$A$5:$F$11,6,FALSE),"")</f>
        <v/>
      </c>
    </row>
    <row r="112">
      <c r="A112" t="inlineStr">
        <is>
          <t>TTS.PM.001.IPEA140.40</t>
        </is>
      </c>
      <c r="B112" t="inlineStr">
        <is>
          <t>Pilastro motore trave ipea140 x 4020 con foratura alloggiamento quadro motore (alleggerita)</t>
        </is>
      </c>
      <c r="C112" s="14" t="inlineStr">
        <is>
          <t>IPEA 140</t>
        </is>
      </c>
      <c r="D112" s="21" t="n">
        <v>4.02</v>
      </c>
      <c r="E112" s="22">
        <f>IF(AND(ISNUMBER($D112),ISNUMBER(VLOOKUP($C112,$A$5:$F$11,4,FALSE))),$D112*VLOOKUP($C112,$A$5:$F$11,4,FALSE),"")</f>
        <v/>
      </c>
      <c r="F112" s="13">
        <f>IF(AND(ISNUMBER($D112),ISNUMBER(VLOOKUP($C112,$A$5:$F$11,2,FALSE)),ISNUMBER(VLOOKUP($C112,$A$5:$F$11,5,FALSE))),$D112*VLOOKUP($C112,$A$5:$F$11,2,FALSE)*VLOOKUP($C112,$A$5:$F$11,5,FALSE),"")</f>
        <v/>
      </c>
      <c r="G112" s="13">
        <f>IF(AND(ISNUMBER($E112),ISNUMBER(VLOOKUP($C112,$A$5:$F$11,3,FALSE)),VLOOKUP($C112,$A$5:$F$11,3,FALSE)&gt;0,ISNUMBER(VLOOKUP($C112,$A$5:$F$11,6,FALSE))),$E112*VLOOKUP($C112,$A$5:$F$11,3,FALSE)*VLOOKUP($C112,$A$5:$F$11,6,FALSE),"")</f>
        <v/>
      </c>
    </row>
    <row r="113">
      <c r="A113" t="inlineStr">
        <is>
          <t>TTS.PM.001.IPEA140.41</t>
        </is>
      </c>
      <c r="B113" t="inlineStr">
        <is>
          <t>Pilastro motore trave ipea140 x 4120 con foratura alloggiamento quadro motore (alleggerita)</t>
        </is>
      </c>
      <c r="C113" s="14" t="inlineStr">
        <is>
          <t>IPEA 140</t>
        </is>
      </c>
      <c r="D113" s="21" t="n">
        <v>4.12</v>
      </c>
      <c r="E113" s="22">
        <f>IF(AND(ISNUMBER($D113),ISNUMBER(VLOOKUP($C113,$A$5:$F$11,4,FALSE))),$D113*VLOOKUP($C113,$A$5:$F$11,4,FALSE),"")</f>
        <v/>
      </c>
      <c r="F113" s="13">
        <f>IF(AND(ISNUMBER($D113),ISNUMBER(VLOOKUP($C113,$A$5:$F$11,2,FALSE)),ISNUMBER(VLOOKUP($C113,$A$5:$F$11,5,FALSE))),$D113*VLOOKUP($C113,$A$5:$F$11,2,FALSE)*VLOOKUP($C113,$A$5:$F$11,5,FALSE),"")</f>
        <v/>
      </c>
      <c r="G113" s="13">
        <f>IF(AND(ISNUMBER($E113),ISNUMBER(VLOOKUP($C113,$A$5:$F$11,3,FALSE)),VLOOKUP($C113,$A$5:$F$11,3,FALSE)&gt;0,ISNUMBER(VLOOKUP($C113,$A$5:$F$11,6,FALSE))),$E113*VLOOKUP($C113,$A$5:$F$11,3,FALSE)*VLOOKUP($C113,$A$5:$F$11,6,FALSE),"")</f>
        <v/>
      </c>
    </row>
    <row r="114">
      <c r="A114" t="inlineStr">
        <is>
          <t>TTS.PM.001.IPEA140.42</t>
        </is>
      </c>
      <c r="B114" t="inlineStr">
        <is>
          <t>Pilastro motore trave ipea140 x 4220 con foratura alloggiamento quadro motore (alleggerita)</t>
        </is>
      </c>
      <c r="C114" s="14" t="inlineStr">
        <is>
          <t>IPEA 140</t>
        </is>
      </c>
      <c r="D114" s="21" t="n">
        <v>4.22</v>
      </c>
      <c r="E114" s="22">
        <f>IF(AND(ISNUMBER($D114),ISNUMBER(VLOOKUP($C114,$A$5:$F$11,4,FALSE))),$D114*VLOOKUP($C114,$A$5:$F$11,4,FALSE),"")</f>
        <v/>
      </c>
      <c r="F114" s="13">
        <f>IF(AND(ISNUMBER($D114),ISNUMBER(VLOOKUP($C114,$A$5:$F$11,2,FALSE)),ISNUMBER(VLOOKUP($C114,$A$5:$F$11,5,FALSE))),$D114*VLOOKUP($C114,$A$5:$F$11,2,FALSE)*VLOOKUP($C114,$A$5:$F$11,5,FALSE),"")</f>
        <v/>
      </c>
      <c r="G114" s="13">
        <f>IF(AND(ISNUMBER($E114),ISNUMBER(VLOOKUP($C114,$A$5:$F$11,3,FALSE)),VLOOKUP($C114,$A$5:$F$11,3,FALSE)&gt;0,ISNUMBER(VLOOKUP($C114,$A$5:$F$11,6,FALSE))),$E114*VLOOKUP($C114,$A$5:$F$11,3,FALSE)*VLOOKUP($C114,$A$5:$F$11,6,FALSE),"")</f>
        <v/>
      </c>
    </row>
    <row r="115">
      <c r="A115" t="inlineStr">
        <is>
          <t>TTS.PM.001.IPEA140.43</t>
        </is>
      </c>
      <c r="B115" t="inlineStr">
        <is>
          <t>Pilastro motore trave ipea140 x 4320 con foratura alloggiamento quadro motore (alleggerita)</t>
        </is>
      </c>
      <c r="C115" s="14" t="inlineStr">
        <is>
          <t>IPEA 140</t>
        </is>
      </c>
      <c r="D115" s="21" t="n">
        <v>4.32</v>
      </c>
      <c r="E115" s="22">
        <f>IF(AND(ISNUMBER($D115),ISNUMBER(VLOOKUP($C115,$A$5:$F$11,4,FALSE))),$D115*VLOOKUP($C115,$A$5:$F$11,4,FALSE),"")</f>
        <v/>
      </c>
      <c r="F115" s="13">
        <f>IF(AND(ISNUMBER($D115),ISNUMBER(VLOOKUP($C115,$A$5:$F$11,2,FALSE)),ISNUMBER(VLOOKUP($C115,$A$5:$F$11,5,FALSE))),$D115*VLOOKUP($C115,$A$5:$F$11,2,FALSE)*VLOOKUP($C115,$A$5:$F$11,5,FALSE),"")</f>
        <v/>
      </c>
      <c r="G115" s="13">
        <f>IF(AND(ISNUMBER($E115),ISNUMBER(VLOOKUP($C115,$A$5:$F$11,3,FALSE)),VLOOKUP($C115,$A$5:$F$11,3,FALSE)&gt;0,ISNUMBER(VLOOKUP($C115,$A$5:$F$11,6,FALSE))),$E115*VLOOKUP($C115,$A$5:$F$11,3,FALSE)*VLOOKUP($C115,$A$5:$F$11,6,FALSE),"")</f>
        <v/>
      </c>
    </row>
    <row r="116">
      <c r="A116" t="inlineStr">
        <is>
          <t>TTS.PM.001.IPEA140.44</t>
        </is>
      </c>
      <c r="B116" t="inlineStr">
        <is>
          <t>Pilastro motore trave ipea140 x 4420 con foratura alloggiamento quadro motore (alleggerita)</t>
        </is>
      </c>
      <c r="C116" s="14" t="inlineStr">
        <is>
          <t>IPEA 140</t>
        </is>
      </c>
      <c r="D116" s="21" t="n">
        <v>4.42</v>
      </c>
      <c r="E116" s="22">
        <f>IF(AND(ISNUMBER($D116),ISNUMBER(VLOOKUP($C116,$A$5:$F$11,4,FALSE))),$D116*VLOOKUP($C116,$A$5:$F$11,4,FALSE),"")</f>
        <v/>
      </c>
      <c r="F116" s="13">
        <f>IF(AND(ISNUMBER($D116),ISNUMBER(VLOOKUP($C116,$A$5:$F$11,2,FALSE)),ISNUMBER(VLOOKUP($C116,$A$5:$F$11,5,FALSE))),$D116*VLOOKUP($C116,$A$5:$F$11,2,FALSE)*VLOOKUP($C116,$A$5:$F$11,5,FALSE),"")</f>
        <v/>
      </c>
      <c r="G116" s="13">
        <f>IF(AND(ISNUMBER($E116),ISNUMBER(VLOOKUP($C116,$A$5:$F$11,3,FALSE)),VLOOKUP($C116,$A$5:$F$11,3,FALSE)&gt;0,ISNUMBER(VLOOKUP($C116,$A$5:$F$11,6,FALSE))),$E116*VLOOKUP($C116,$A$5:$F$11,3,FALSE)*VLOOKUP($C116,$A$5:$F$11,6,FALSE),"")</f>
        <v/>
      </c>
    </row>
    <row r="117">
      <c r="A117" t="inlineStr">
        <is>
          <t>TTS.AR.001.7200</t>
        </is>
      </c>
      <c r="B117" t="inlineStr">
        <is>
          <t>Asse lato motore 120x120x3 mm. lunghezza mt.7,20</t>
        </is>
      </c>
      <c r="C117" s="14" t="inlineStr">
        <is>
          <t>ASSE 120x120x3</t>
        </is>
      </c>
      <c r="D117" s="21" t="n">
        <v>7.2</v>
      </c>
      <c r="E117" s="22">
        <f>IF(AND(ISNUMBER($D117),ISNUMBER(VLOOKUP($C117,$A$5:$F$11,4,FALSE))),$D117*VLOOKUP($C117,$A$5:$F$11,4,FALSE),"")</f>
        <v/>
      </c>
      <c r="F117" s="13">
        <f>IF(AND(ISNUMBER($D117),ISNUMBER(VLOOKUP($C117,$A$5:$F$11,2,FALSE)),ISNUMBER(VLOOKUP($C117,$A$5:$F$11,5,FALSE))),$D117*VLOOKUP($C117,$A$5:$F$11,2,FALSE)*VLOOKUP($C117,$A$5:$F$11,5,FALSE),"")</f>
        <v/>
      </c>
      <c r="G117" s="13">
        <f>IF(AND(ISNUMBER($E117),ISNUMBER(VLOOKUP($C117,$A$5:$F$11,3,FALSE)),VLOOKUP($C117,$A$5:$F$11,3,FALSE)&gt;0,ISNUMBER(VLOOKUP($C117,$A$5:$F$11,6,FALSE))),$E117*VLOOKUP($C117,$A$5:$F$11,3,FALSE)*VLOOKUP($C117,$A$5:$F$11,6,FALSE),"")</f>
        <v/>
      </c>
    </row>
    <row r="118">
      <c r="A118" t="inlineStr">
        <is>
          <t>TTS.AR.001.7200.25</t>
        </is>
      </c>
      <c r="B118" t="inlineStr">
        <is>
          <t>Asse lato motore 120x120x2,5 mm. lunghezza mt.7,20</t>
        </is>
      </c>
      <c r="C118" s="14" t="inlineStr">
        <is>
          <t>ASSE 120x120x2,5</t>
        </is>
      </c>
      <c r="D118" s="21" t="n">
        <v>7.2</v>
      </c>
      <c r="E118" s="22">
        <f>IF(AND(ISNUMBER($D118),ISNUMBER(VLOOKUP($C118,$A$5:$F$11,4,FALSE))),$D118*VLOOKUP($C118,$A$5:$F$11,4,FALSE),"")</f>
        <v/>
      </c>
      <c r="F118" s="13">
        <f>IF(AND(ISNUMBER($D118),ISNUMBER(VLOOKUP($C118,$A$5:$F$11,2,FALSE)),ISNUMBER(VLOOKUP($C118,$A$5:$F$11,5,FALSE))),$D118*VLOOKUP($C118,$A$5:$F$11,2,FALSE)*VLOOKUP($C118,$A$5:$F$11,5,FALSE),"")</f>
        <v/>
      </c>
      <c r="G118" s="13">
        <f>IF(AND(ISNUMBER($E118),ISNUMBER(VLOOKUP($C118,$A$5:$F$11,3,FALSE)),VLOOKUP($C118,$A$5:$F$11,3,FALSE)&gt;0,ISNUMBER(VLOOKUP($C118,$A$5:$F$11,6,FALSE))),$E118*VLOOKUP($C118,$A$5:$F$11,3,FALSE)*VLOOKUP($C118,$A$5:$F$11,6,FALSE),"")</f>
        <v/>
      </c>
    </row>
    <row r="119">
      <c r="A119" t="inlineStr">
        <is>
          <t>TTS.AR.001.8250</t>
        </is>
      </c>
      <c r="B119" t="inlineStr">
        <is>
          <t>Asse lato motore 120x120x3 mm. lunghezza mt.8,25</t>
        </is>
      </c>
      <c r="C119" s="14" t="inlineStr">
        <is>
          <t>ASSE 120x120x3</t>
        </is>
      </c>
      <c r="D119" s="21" t="n">
        <v>8.25</v>
      </c>
      <c r="E119" s="22">
        <f>IF(AND(ISNUMBER($D119),ISNUMBER(VLOOKUP($C119,$A$5:$F$11,4,FALSE))),$D119*VLOOKUP($C119,$A$5:$F$11,4,FALSE),"")</f>
        <v/>
      </c>
      <c r="F119" s="13">
        <f>IF(AND(ISNUMBER($D119),ISNUMBER(VLOOKUP($C119,$A$5:$F$11,2,FALSE)),ISNUMBER(VLOOKUP($C119,$A$5:$F$11,5,FALSE))),$D119*VLOOKUP($C119,$A$5:$F$11,2,FALSE)*VLOOKUP($C119,$A$5:$F$11,5,FALSE),"")</f>
        <v/>
      </c>
      <c r="G119" s="13">
        <f>IF(AND(ISNUMBER($E119),ISNUMBER(VLOOKUP($C119,$A$5:$F$11,3,FALSE)),VLOOKUP($C119,$A$5:$F$11,3,FALSE)&gt;0,ISNUMBER(VLOOKUP($C119,$A$5:$F$11,6,FALSE))),$E119*VLOOKUP($C119,$A$5:$F$11,3,FALSE)*VLOOKUP($C119,$A$5:$F$11,6,FALSE),"")</f>
        <v/>
      </c>
    </row>
    <row r="120">
      <c r="A120" t="inlineStr">
        <is>
          <t>TTS.AR.001.8250.25</t>
        </is>
      </c>
      <c r="B120" t="inlineStr">
        <is>
          <t>Asse lato motore 120x120x2,5 mm. lunghezza mt.8,25</t>
        </is>
      </c>
      <c r="C120" s="14" t="inlineStr">
        <is>
          <t>ASSE 120x120x2,5</t>
        </is>
      </c>
      <c r="D120" s="21" t="n">
        <v>8.25</v>
      </c>
      <c r="E120" s="22">
        <f>IF(AND(ISNUMBER($D120),ISNUMBER(VLOOKUP($C120,$A$5:$F$11,4,FALSE))),$D120*VLOOKUP($C120,$A$5:$F$11,4,FALSE),"")</f>
        <v/>
      </c>
      <c r="F120" s="13">
        <f>IF(AND(ISNUMBER($D120),ISNUMBER(VLOOKUP($C120,$A$5:$F$11,2,FALSE)),ISNUMBER(VLOOKUP($C120,$A$5:$F$11,5,FALSE))),$D120*VLOOKUP($C120,$A$5:$F$11,2,FALSE)*VLOOKUP($C120,$A$5:$F$11,5,FALSE),"")</f>
        <v/>
      </c>
      <c r="G120" s="13">
        <f>IF(AND(ISNUMBER($E120),ISNUMBER(VLOOKUP($C120,$A$5:$F$11,3,FALSE)),VLOOKUP($C120,$A$5:$F$11,3,FALSE)&gt;0,ISNUMBER(VLOOKUP($C120,$A$5:$F$11,6,FALSE))),$E120*VLOOKUP($C120,$A$5:$F$11,3,FALSE)*VLOOKUP($C120,$A$5:$F$11,6,FALSE),"")</f>
        <v/>
      </c>
    </row>
    <row r="121">
      <c r="A121" t="inlineStr">
        <is>
          <t>TTS.AR.001.8700</t>
        </is>
      </c>
      <c r="B121" t="inlineStr">
        <is>
          <t>Asse lato motore 120x120x3 mm. lunghezza mt.8,70</t>
        </is>
      </c>
      <c r="C121" s="14" t="inlineStr">
        <is>
          <t>ASSE 120x120x3</t>
        </is>
      </c>
      <c r="D121" s="21" t="n">
        <v>8.699999999999999</v>
      </c>
      <c r="E121" s="22">
        <f>IF(AND(ISNUMBER($D121),ISNUMBER(VLOOKUP($C121,$A$5:$F$11,4,FALSE))),$D121*VLOOKUP($C121,$A$5:$F$11,4,FALSE),"")</f>
        <v/>
      </c>
      <c r="F121" s="13">
        <f>IF(AND(ISNUMBER($D121),ISNUMBER(VLOOKUP($C121,$A$5:$F$11,2,FALSE)),ISNUMBER(VLOOKUP($C121,$A$5:$F$11,5,FALSE))),$D121*VLOOKUP($C121,$A$5:$F$11,2,FALSE)*VLOOKUP($C121,$A$5:$F$11,5,FALSE),"")</f>
        <v/>
      </c>
      <c r="G121" s="13">
        <f>IF(AND(ISNUMBER($E121),ISNUMBER(VLOOKUP($C121,$A$5:$F$11,3,FALSE)),VLOOKUP($C121,$A$5:$F$11,3,FALSE)&gt;0,ISNUMBER(VLOOKUP($C121,$A$5:$F$11,6,FALSE))),$E121*VLOOKUP($C121,$A$5:$F$11,3,FALSE)*VLOOKUP($C121,$A$5:$F$11,6,FALSE),"")</f>
        <v/>
      </c>
    </row>
    <row r="122">
      <c r="A122" t="inlineStr">
        <is>
          <t>TTS.AR.001.8700.25</t>
        </is>
      </c>
      <c r="B122" t="inlineStr">
        <is>
          <t>Asse lato motore 120x120x2,5 mm. lunghezza mt.8,70</t>
        </is>
      </c>
      <c r="C122" s="14" t="inlineStr">
        <is>
          <t>ASSE 120x120x2,5</t>
        </is>
      </c>
      <c r="D122" s="21" t="n">
        <v>8.699999999999999</v>
      </c>
      <c r="E122" s="22">
        <f>IF(AND(ISNUMBER($D122),ISNUMBER(VLOOKUP($C122,$A$5:$F$11,4,FALSE))),$D122*VLOOKUP($C122,$A$5:$F$11,4,FALSE),"")</f>
        <v/>
      </c>
      <c r="F122" s="13">
        <f>IF(AND(ISNUMBER($D122),ISNUMBER(VLOOKUP($C122,$A$5:$F$11,2,FALSE)),ISNUMBER(VLOOKUP($C122,$A$5:$F$11,5,FALSE))),$D122*VLOOKUP($C122,$A$5:$F$11,2,FALSE)*VLOOKUP($C122,$A$5:$F$11,5,FALSE),"")</f>
        <v/>
      </c>
      <c r="G122" s="13">
        <f>IF(AND(ISNUMBER($E122),ISNUMBER(VLOOKUP($C122,$A$5:$F$11,3,FALSE)),VLOOKUP($C122,$A$5:$F$11,3,FALSE)&gt;0,ISNUMBER(VLOOKUP($C122,$A$5:$F$11,6,FALSE))),$E122*VLOOKUP($C122,$A$5:$F$11,3,FALSE)*VLOOKUP($C122,$A$5:$F$11,6,FALSE),"")</f>
        <v/>
      </c>
    </row>
    <row r="123">
      <c r="A123" t="inlineStr">
        <is>
          <t>TTS.AR.002.5000</t>
        </is>
      </c>
      <c r="B123" t="inlineStr">
        <is>
          <t>Asse esterno 120x120x3 mm. lunghezza mt.5,00</t>
        </is>
      </c>
      <c r="C123" s="14" t="inlineStr">
        <is>
          <t>ASSE 120x120x3</t>
        </is>
      </c>
      <c r="D123" s="21" t="n">
        <v>5</v>
      </c>
      <c r="E123" s="22">
        <f>IF(AND(ISNUMBER($D123),ISNUMBER(VLOOKUP($C123,$A$5:$F$11,4,FALSE))),$D123*VLOOKUP($C123,$A$5:$F$11,4,FALSE),"")</f>
        <v/>
      </c>
      <c r="F123" s="13">
        <f>IF(AND(ISNUMBER($D123),ISNUMBER(VLOOKUP($C123,$A$5:$F$11,2,FALSE)),ISNUMBER(VLOOKUP($C123,$A$5:$F$11,5,FALSE))),$D123*VLOOKUP($C123,$A$5:$F$11,2,FALSE)*VLOOKUP($C123,$A$5:$F$11,5,FALSE),"")</f>
        <v/>
      </c>
      <c r="G123" s="13">
        <f>IF(AND(ISNUMBER($E123),ISNUMBER(VLOOKUP($C123,$A$5:$F$11,3,FALSE)),VLOOKUP($C123,$A$5:$F$11,3,FALSE)&gt;0,ISNUMBER(VLOOKUP($C123,$A$5:$F$11,6,FALSE))),$E123*VLOOKUP($C123,$A$5:$F$11,3,FALSE)*VLOOKUP($C123,$A$5:$F$11,6,FALSE),"")</f>
        <v/>
      </c>
    </row>
    <row r="124">
      <c r="A124" t="inlineStr">
        <is>
          <t>TTS.AR.002.5000.25</t>
        </is>
      </c>
      <c r="B124" t="inlineStr">
        <is>
          <t>Asse esterno 120x120x2,5 mm. lunghezza mt.5,00</t>
        </is>
      </c>
      <c r="C124" s="14" t="inlineStr">
        <is>
          <t>ASSE 120x120x2,5</t>
        </is>
      </c>
      <c r="D124" s="21" t="n">
        <v>5</v>
      </c>
      <c r="E124" s="22">
        <f>IF(AND(ISNUMBER($D124),ISNUMBER(VLOOKUP($C124,$A$5:$F$11,4,FALSE))),$D124*VLOOKUP($C124,$A$5:$F$11,4,FALSE),"")</f>
        <v/>
      </c>
      <c r="F124" s="13">
        <f>IF(AND(ISNUMBER($D124),ISNUMBER(VLOOKUP($C124,$A$5:$F$11,2,FALSE)),ISNUMBER(VLOOKUP($C124,$A$5:$F$11,5,FALSE))),$D124*VLOOKUP($C124,$A$5:$F$11,2,FALSE)*VLOOKUP($C124,$A$5:$F$11,5,FALSE),"")</f>
        <v/>
      </c>
      <c r="G124" s="13">
        <f>IF(AND(ISNUMBER($E124),ISNUMBER(VLOOKUP($C124,$A$5:$F$11,3,FALSE)),VLOOKUP($C124,$A$5:$F$11,3,FALSE)&gt;0,ISNUMBER(VLOOKUP($C124,$A$5:$F$11,6,FALSE))),$E124*VLOOKUP($C124,$A$5:$F$11,3,FALSE)*VLOOKUP($C124,$A$5:$F$11,6,FALSE),"")</f>
        <v/>
      </c>
    </row>
    <row r="125">
      <c r="A125" t="inlineStr">
        <is>
          <t>TTS.AR.002.6150</t>
        </is>
      </c>
      <c r="B125" t="inlineStr">
        <is>
          <t>Asse esterno 120x120x3 mm. lunghezza mt.6,15</t>
        </is>
      </c>
      <c r="C125" s="14" t="inlineStr">
        <is>
          <t>ASSE 120x120x3</t>
        </is>
      </c>
      <c r="D125" s="21" t="n">
        <v>6.15</v>
      </c>
      <c r="E125" s="22">
        <f>IF(AND(ISNUMBER($D125),ISNUMBER(VLOOKUP($C125,$A$5:$F$11,4,FALSE))),$D125*VLOOKUP($C125,$A$5:$F$11,4,FALSE),"")</f>
        <v/>
      </c>
      <c r="F125" s="13">
        <f>IF(AND(ISNUMBER($D125),ISNUMBER(VLOOKUP($C125,$A$5:$F$11,2,FALSE)),ISNUMBER(VLOOKUP($C125,$A$5:$F$11,5,FALSE))),$D125*VLOOKUP($C125,$A$5:$F$11,2,FALSE)*VLOOKUP($C125,$A$5:$F$11,5,FALSE),"")</f>
        <v/>
      </c>
      <c r="G125" s="13">
        <f>IF(AND(ISNUMBER($E125),ISNUMBER(VLOOKUP($C125,$A$5:$F$11,3,FALSE)),VLOOKUP($C125,$A$5:$F$11,3,FALSE)&gt;0,ISNUMBER(VLOOKUP($C125,$A$5:$F$11,6,FALSE))),$E125*VLOOKUP($C125,$A$5:$F$11,3,FALSE)*VLOOKUP($C125,$A$5:$F$11,6,FALSE),"")</f>
        <v/>
      </c>
    </row>
    <row r="126">
      <c r="A126" t="inlineStr">
        <is>
          <t>TTS.AR.002.6150.25</t>
        </is>
      </c>
      <c r="B126" t="inlineStr">
        <is>
          <t>Asse esterno 120x120x2,5 mm. lunghezza mt.6,15</t>
        </is>
      </c>
      <c r="C126" s="14" t="inlineStr">
        <is>
          <t>ASSE 120x120x2,5</t>
        </is>
      </c>
      <c r="D126" s="21" t="n">
        <v>6.15</v>
      </c>
      <c r="E126" s="22">
        <f>IF(AND(ISNUMBER($D126),ISNUMBER(VLOOKUP($C126,$A$5:$F$11,4,FALSE))),$D126*VLOOKUP($C126,$A$5:$F$11,4,FALSE),"")</f>
        <v/>
      </c>
      <c r="F126" s="13">
        <f>IF(AND(ISNUMBER($D126),ISNUMBER(VLOOKUP($C126,$A$5:$F$11,2,FALSE)),ISNUMBER(VLOOKUP($C126,$A$5:$F$11,5,FALSE))),$D126*VLOOKUP($C126,$A$5:$F$11,2,FALSE)*VLOOKUP($C126,$A$5:$F$11,5,FALSE),"")</f>
        <v/>
      </c>
      <c r="G126" s="13">
        <f>IF(AND(ISNUMBER($E126),ISNUMBER(VLOOKUP($C126,$A$5:$F$11,3,FALSE)),VLOOKUP($C126,$A$5:$F$11,3,FALSE)&gt;0,ISNUMBER(VLOOKUP($C126,$A$5:$F$11,6,FALSE))),$E126*VLOOKUP($C126,$A$5:$F$11,3,FALSE)*VLOOKUP($C126,$A$5:$F$11,6,FALSE),"")</f>
        <v/>
      </c>
    </row>
    <row r="127">
      <c r="A127" t="inlineStr">
        <is>
          <t>TTS.AR.002.6300</t>
        </is>
      </c>
      <c r="B127" t="inlineStr">
        <is>
          <t>Asse esterno 120x120x3 mm. lunghezza mt.6,30</t>
        </is>
      </c>
      <c r="C127" s="14" t="inlineStr">
        <is>
          <t>ASSE 120x120x3</t>
        </is>
      </c>
      <c r="D127" s="21" t="n">
        <v>6.3</v>
      </c>
      <c r="E127" s="22">
        <f>IF(AND(ISNUMBER($D127),ISNUMBER(VLOOKUP($C127,$A$5:$F$11,4,FALSE))),$D127*VLOOKUP($C127,$A$5:$F$11,4,FALSE),"")</f>
        <v/>
      </c>
      <c r="F127" s="13">
        <f>IF(AND(ISNUMBER($D127),ISNUMBER(VLOOKUP($C127,$A$5:$F$11,2,FALSE)),ISNUMBER(VLOOKUP($C127,$A$5:$F$11,5,FALSE))),$D127*VLOOKUP($C127,$A$5:$F$11,2,FALSE)*VLOOKUP($C127,$A$5:$F$11,5,FALSE),"")</f>
        <v/>
      </c>
      <c r="G127" s="13">
        <f>IF(AND(ISNUMBER($E127),ISNUMBER(VLOOKUP($C127,$A$5:$F$11,3,FALSE)),VLOOKUP($C127,$A$5:$F$11,3,FALSE)&gt;0,ISNUMBER(VLOOKUP($C127,$A$5:$F$11,6,FALSE))),$E127*VLOOKUP($C127,$A$5:$F$11,3,FALSE)*VLOOKUP($C127,$A$5:$F$11,6,FALSE),"")</f>
        <v/>
      </c>
    </row>
    <row r="128">
      <c r="A128" t="inlineStr">
        <is>
          <t>TTS.AR.002.6300.25</t>
        </is>
      </c>
      <c r="B128" t="inlineStr">
        <is>
          <t>Asse esterno 120x120x2,5 mm. lunghezza mt.6,30</t>
        </is>
      </c>
      <c r="C128" s="14" t="inlineStr">
        <is>
          <t>ASSE 120x120x2,5</t>
        </is>
      </c>
      <c r="D128" s="21" t="n">
        <v>6.3</v>
      </c>
      <c r="E128" s="22">
        <f>IF(AND(ISNUMBER($D128),ISNUMBER(VLOOKUP($C128,$A$5:$F$11,4,FALSE))),$D128*VLOOKUP($C128,$A$5:$F$11,4,FALSE),"")</f>
        <v/>
      </c>
      <c r="F128" s="13">
        <f>IF(AND(ISNUMBER($D128),ISNUMBER(VLOOKUP($C128,$A$5:$F$11,2,FALSE)),ISNUMBER(VLOOKUP($C128,$A$5:$F$11,5,FALSE))),$D128*VLOOKUP($C128,$A$5:$F$11,2,FALSE)*VLOOKUP($C128,$A$5:$F$11,5,FALSE),"")</f>
        <v/>
      </c>
      <c r="G128" s="13">
        <f>IF(AND(ISNUMBER($E128),ISNUMBER(VLOOKUP($C128,$A$5:$F$11,3,FALSE)),VLOOKUP($C128,$A$5:$F$11,3,FALSE)&gt;0,ISNUMBER(VLOOKUP($C128,$A$5:$F$11,6,FALSE))),$E128*VLOOKUP($C128,$A$5:$F$11,3,FALSE)*VLOOKUP($C128,$A$5:$F$11,6,FALSE),"")</f>
        <v/>
      </c>
    </row>
    <row r="129">
      <c r="A129" t="inlineStr">
        <is>
          <t>TTS.AR.002.6756</t>
        </is>
      </c>
      <c r="B129" t="inlineStr">
        <is>
          <t>Asse esterno 120x120x3 mm. lunghezza mt.6,756</t>
        </is>
      </c>
      <c r="C129" s="14" t="inlineStr">
        <is>
          <t>ASSE 120x120x3</t>
        </is>
      </c>
      <c r="D129" s="21" t="n">
        <v>6.756</v>
      </c>
      <c r="E129" s="22">
        <f>IF(AND(ISNUMBER($D129),ISNUMBER(VLOOKUP($C129,$A$5:$F$11,4,FALSE))),$D129*VLOOKUP($C129,$A$5:$F$11,4,FALSE),"")</f>
        <v/>
      </c>
      <c r="F129" s="13">
        <f>IF(AND(ISNUMBER($D129),ISNUMBER(VLOOKUP($C129,$A$5:$F$11,2,FALSE)),ISNUMBER(VLOOKUP($C129,$A$5:$F$11,5,FALSE))),$D129*VLOOKUP($C129,$A$5:$F$11,2,FALSE)*VLOOKUP($C129,$A$5:$F$11,5,FALSE),"")</f>
        <v/>
      </c>
      <c r="G129" s="13">
        <f>IF(AND(ISNUMBER($E129),ISNUMBER(VLOOKUP($C129,$A$5:$F$11,3,FALSE)),VLOOKUP($C129,$A$5:$F$11,3,FALSE)&gt;0,ISNUMBER(VLOOKUP($C129,$A$5:$F$11,6,FALSE))),$E129*VLOOKUP($C129,$A$5:$F$11,3,FALSE)*VLOOKUP($C129,$A$5:$F$11,6,FALSE),"")</f>
        <v/>
      </c>
    </row>
    <row r="130">
      <c r="A130" t="inlineStr">
        <is>
          <t>TTS.AR.002.6756.25</t>
        </is>
      </c>
      <c r="B130" t="inlineStr">
        <is>
          <t>Asse esterno 120x120x2,5 mm. lunghezza mt.6,756</t>
        </is>
      </c>
      <c r="C130" s="14" t="inlineStr">
        <is>
          <t>ASSE 120x120x2,5</t>
        </is>
      </c>
      <c r="D130" s="21" t="n">
        <v>6.756</v>
      </c>
      <c r="E130" s="22">
        <f>IF(AND(ISNUMBER($D130),ISNUMBER(VLOOKUP($C130,$A$5:$F$11,4,FALSE))),$D130*VLOOKUP($C130,$A$5:$F$11,4,FALSE),"")</f>
        <v/>
      </c>
      <c r="F130" s="13">
        <f>IF(AND(ISNUMBER($D130),ISNUMBER(VLOOKUP($C130,$A$5:$F$11,2,FALSE)),ISNUMBER(VLOOKUP($C130,$A$5:$F$11,5,FALSE))),$D130*VLOOKUP($C130,$A$5:$F$11,2,FALSE)*VLOOKUP($C130,$A$5:$F$11,5,FALSE),"")</f>
        <v/>
      </c>
      <c r="G130" s="13">
        <f>IF(AND(ISNUMBER($E130),ISNUMBER(VLOOKUP($C130,$A$5:$F$11,3,FALSE)),VLOOKUP($C130,$A$5:$F$11,3,FALSE)&gt;0,ISNUMBER(VLOOKUP($C130,$A$5:$F$11,6,FALSE))),$E130*VLOOKUP($C130,$A$5:$F$11,3,FALSE)*VLOOKUP($C130,$A$5:$F$11,6,FALSE),"")</f>
        <v/>
      </c>
    </row>
    <row r="131">
      <c r="A131" t="inlineStr">
        <is>
          <t>TTS.AR.002.8250</t>
        </is>
      </c>
      <c r="B131" t="inlineStr">
        <is>
          <t>Primo asse centrale 120x120x3 mm. lunghezza mt.8,25</t>
        </is>
      </c>
      <c r="C131" s="14" t="inlineStr">
        <is>
          <t>ASSE 120x120x3</t>
        </is>
      </c>
      <c r="D131" s="21" t="n">
        <v>8.25</v>
      </c>
      <c r="E131" s="22">
        <f>IF(AND(ISNUMBER($D131),ISNUMBER(VLOOKUP($C131,$A$5:$F$11,4,FALSE))),$D131*VLOOKUP($C131,$A$5:$F$11,4,FALSE),"")</f>
        <v/>
      </c>
      <c r="F131" s="13">
        <f>IF(AND(ISNUMBER($D131),ISNUMBER(VLOOKUP($C131,$A$5:$F$11,2,FALSE)),ISNUMBER(VLOOKUP($C131,$A$5:$F$11,5,FALSE))),$D131*VLOOKUP($C131,$A$5:$F$11,2,FALSE)*VLOOKUP($C131,$A$5:$F$11,5,FALSE),"")</f>
        <v/>
      </c>
      <c r="G131" s="13">
        <f>IF(AND(ISNUMBER($E131),ISNUMBER(VLOOKUP($C131,$A$5:$F$11,3,FALSE)),VLOOKUP($C131,$A$5:$F$11,3,FALSE)&gt;0,ISNUMBER(VLOOKUP($C131,$A$5:$F$11,6,FALSE))),$E131*VLOOKUP($C131,$A$5:$F$11,3,FALSE)*VLOOKUP($C131,$A$5:$F$11,6,FALSE),"")</f>
        <v/>
      </c>
    </row>
    <row r="132">
      <c r="A132" t="inlineStr">
        <is>
          <t>TTS.AR.002.8250.25</t>
        </is>
      </c>
      <c r="B132" t="inlineStr">
        <is>
          <t>Primo asse centrale 120x120x2,5 mm. lunghezza mt.8,25</t>
        </is>
      </c>
      <c r="C132" s="14" t="inlineStr">
        <is>
          <t>ASSE 120x120x2,5</t>
        </is>
      </c>
      <c r="D132" s="21" t="n">
        <v>8.25</v>
      </c>
      <c r="E132" s="22">
        <f>IF(AND(ISNUMBER($D132),ISNUMBER(VLOOKUP($C132,$A$5:$F$11,4,FALSE))),$D132*VLOOKUP($C132,$A$5:$F$11,4,FALSE),"")</f>
        <v/>
      </c>
      <c r="F132" s="13">
        <f>IF(AND(ISNUMBER($D132),ISNUMBER(VLOOKUP($C132,$A$5:$F$11,2,FALSE)),ISNUMBER(VLOOKUP($C132,$A$5:$F$11,5,FALSE))),$D132*VLOOKUP($C132,$A$5:$F$11,2,FALSE)*VLOOKUP($C132,$A$5:$F$11,5,FALSE),"")</f>
        <v/>
      </c>
      <c r="G132" s="13">
        <f>IF(AND(ISNUMBER($E132),ISNUMBER(VLOOKUP($C132,$A$5:$F$11,3,FALSE)),VLOOKUP($C132,$A$5:$F$11,3,FALSE)&gt;0,ISNUMBER(VLOOKUP($C132,$A$5:$F$11,6,FALSE))),$E132*VLOOKUP($C132,$A$5:$F$11,3,FALSE)*VLOOKUP($C132,$A$5:$F$11,6,FALSE),"")</f>
        <v/>
      </c>
    </row>
    <row r="133">
      <c r="A133" t="inlineStr">
        <is>
          <t>TTS.AR.002.8645</t>
        </is>
      </c>
      <c r="B133" t="inlineStr">
        <is>
          <t>Asse esterno 120x120x3 mm. lunghezza mt.8,645</t>
        </is>
      </c>
      <c r="C133" s="14" t="inlineStr">
        <is>
          <t>ASSE 120x120x3</t>
        </is>
      </c>
      <c r="D133" s="21" t="n">
        <v>8.645</v>
      </c>
      <c r="E133" s="22">
        <f>IF(AND(ISNUMBER($D133),ISNUMBER(VLOOKUP($C133,$A$5:$F$11,4,FALSE))),$D133*VLOOKUP($C133,$A$5:$F$11,4,FALSE),"")</f>
        <v/>
      </c>
      <c r="F133" s="13">
        <f>IF(AND(ISNUMBER($D133),ISNUMBER(VLOOKUP($C133,$A$5:$F$11,2,FALSE)),ISNUMBER(VLOOKUP($C133,$A$5:$F$11,5,FALSE))),$D133*VLOOKUP($C133,$A$5:$F$11,2,FALSE)*VLOOKUP($C133,$A$5:$F$11,5,FALSE),"")</f>
        <v/>
      </c>
      <c r="G133" s="13">
        <f>IF(AND(ISNUMBER($E133),ISNUMBER(VLOOKUP($C133,$A$5:$F$11,3,FALSE)),VLOOKUP($C133,$A$5:$F$11,3,FALSE)&gt;0,ISNUMBER(VLOOKUP($C133,$A$5:$F$11,6,FALSE))),$E133*VLOOKUP($C133,$A$5:$F$11,3,FALSE)*VLOOKUP($C133,$A$5:$F$11,6,FALSE),"")</f>
        <v/>
      </c>
    </row>
    <row r="134">
      <c r="A134" t="inlineStr">
        <is>
          <t>TTS.AR.002.8645.25</t>
        </is>
      </c>
      <c r="B134" t="inlineStr">
        <is>
          <t>Asse esterno 120x120x2,5 mm. lunghezza mt.8,645</t>
        </is>
      </c>
      <c r="C134" s="14" t="inlineStr">
        <is>
          <t>ASSE 120x120x2,5</t>
        </is>
      </c>
      <c r="D134" s="21" t="n">
        <v>8.645</v>
      </c>
      <c r="E134" s="22">
        <f>IF(AND(ISNUMBER($D134),ISNUMBER(VLOOKUP($C134,$A$5:$F$11,4,FALSE))),$D134*VLOOKUP($C134,$A$5:$F$11,4,FALSE),"")</f>
        <v/>
      </c>
      <c r="F134" s="13">
        <f>IF(AND(ISNUMBER($D134),ISNUMBER(VLOOKUP($C134,$A$5:$F$11,2,FALSE)),ISNUMBER(VLOOKUP($C134,$A$5:$F$11,5,FALSE))),$D134*VLOOKUP($C134,$A$5:$F$11,2,FALSE)*VLOOKUP($C134,$A$5:$F$11,5,FALSE),"")</f>
        <v/>
      </c>
      <c r="G134" s="13">
        <f>IF(AND(ISNUMBER($E134),ISNUMBER(VLOOKUP($C134,$A$5:$F$11,3,FALSE)),VLOOKUP($C134,$A$5:$F$11,3,FALSE)&gt;0,ISNUMBER(VLOOKUP($C134,$A$5:$F$11,6,FALSE))),$E134*VLOOKUP($C134,$A$5:$F$11,3,FALSE)*VLOOKUP($C134,$A$5:$F$11,6,FALSE),"")</f>
        <v/>
      </c>
    </row>
    <row r="135">
      <c r="A135" t="inlineStr">
        <is>
          <t>TTS.AR.003.5000</t>
        </is>
      </c>
      <c r="B135" t="inlineStr">
        <is>
          <t>Secondo asse centrale 120x120x3 mm. lunghezza mt.5,000</t>
        </is>
      </c>
      <c r="C135" s="14" t="inlineStr">
        <is>
          <t>ASSE 120x120x3</t>
        </is>
      </c>
      <c r="D135" s="21" t="n">
        <v>5</v>
      </c>
      <c r="E135" s="22">
        <f>IF(AND(ISNUMBER($D135),ISNUMBER(VLOOKUP($C135,$A$5:$F$11,4,FALSE))),$D135*VLOOKUP($C135,$A$5:$F$11,4,FALSE),"")</f>
        <v/>
      </c>
      <c r="F135" s="13">
        <f>IF(AND(ISNUMBER($D135),ISNUMBER(VLOOKUP($C135,$A$5:$F$11,2,FALSE)),ISNUMBER(VLOOKUP($C135,$A$5:$F$11,5,FALSE))),$D135*VLOOKUP($C135,$A$5:$F$11,2,FALSE)*VLOOKUP($C135,$A$5:$F$11,5,FALSE),"")</f>
        <v/>
      </c>
      <c r="G135" s="13">
        <f>IF(AND(ISNUMBER($E135),ISNUMBER(VLOOKUP($C135,$A$5:$F$11,3,FALSE)),VLOOKUP($C135,$A$5:$F$11,3,FALSE)&gt;0,ISNUMBER(VLOOKUP($C135,$A$5:$F$11,6,FALSE))),$E135*VLOOKUP($C135,$A$5:$F$11,3,FALSE)*VLOOKUP($C135,$A$5:$F$11,6,FALSE),"")</f>
        <v/>
      </c>
    </row>
    <row r="136">
      <c r="A136" t="inlineStr">
        <is>
          <t>TTS.AR.003.5000.25</t>
        </is>
      </c>
      <c r="B136" t="inlineStr">
        <is>
          <t>Secondo asse centrale 120x120x2,5 mm. lunghezza mt.5,000</t>
        </is>
      </c>
      <c r="C136" s="14" t="inlineStr">
        <is>
          <t>ASSE 120x120x2,5</t>
        </is>
      </c>
      <c r="D136" s="21" t="n">
        <v>5</v>
      </c>
      <c r="E136" s="22">
        <f>IF(AND(ISNUMBER($D136),ISNUMBER(VLOOKUP($C136,$A$5:$F$11,4,FALSE))),$D136*VLOOKUP($C136,$A$5:$F$11,4,FALSE),"")</f>
        <v/>
      </c>
      <c r="F136" s="13">
        <f>IF(AND(ISNUMBER($D136),ISNUMBER(VLOOKUP($C136,$A$5:$F$11,2,FALSE)),ISNUMBER(VLOOKUP($C136,$A$5:$F$11,5,FALSE))),$D136*VLOOKUP($C136,$A$5:$F$11,2,FALSE)*VLOOKUP($C136,$A$5:$F$11,5,FALSE),"")</f>
        <v/>
      </c>
      <c r="G136" s="13">
        <f>IF(AND(ISNUMBER($E136),ISNUMBER(VLOOKUP($C136,$A$5:$F$11,3,FALSE)),VLOOKUP($C136,$A$5:$F$11,3,FALSE)&gt;0,ISNUMBER(VLOOKUP($C136,$A$5:$F$11,6,FALSE))),$E136*VLOOKUP($C136,$A$5:$F$11,3,FALSE)*VLOOKUP($C136,$A$5:$F$11,6,FALSE),"")</f>
        <v/>
      </c>
    </row>
    <row r="137">
      <c r="A137" t="inlineStr">
        <is>
          <t>TTS.AR.004.4800</t>
        </is>
      </c>
      <c r="B137" t="inlineStr">
        <is>
          <t>Asse esterno 120x120x3 mm. lunghezza mt.4,800</t>
        </is>
      </c>
      <c r="C137" s="14" t="inlineStr">
        <is>
          <t>ASSE 120x120x3</t>
        </is>
      </c>
      <c r="D137" s="21" t="n">
        <v>4.8</v>
      </c>
      <c r="E137" s="22">
        <f>IF(AND(ISNUMBER($D137),ISNUMBER(VLOOKUP($C137,$A$5:$F$11,4,FALSE))),$D137*VLOOKUP($C137,$A$5:$F$11,4,FALSE),"")</f>
        <v/>
      </c>
      <c r="F137" s="13">
        <f>IF(AND(ISNUMBER($D137),ISNUMBER(VLOOKUP($C137,$A$5:$F$11,2,FALSE)),ISNUMBER(VLOOKUP($C137,$A$5:$F$11,5,FALSE))),$D137*VLOOKUP($C137,$A$5:$F$11,2,FALSE)*VLOOKUP($C137,$A$5:$F$11,5,FALSE),"")</f>
        <v/>
      </c>
      <c r="G137" s="13">
        <f>IF(AND(ISNUMBER($E137),ISNUMBER(VLOOKUP($C137,$A$5:$F$11,3,FALSE)),VLOOKUP($C137,$A$5:$F$11,3,FALSE)&gt;0,ISNUMBER(VLOOKUP($C137,$A$5:$F$11,6,FALSE))),$E137*VLOOKUP($C137,$A$5:$F$11,3,FALSE)*VLOOKUP($C137,$A$5:$F$11,6,FALSE),"")</f>
        <v/>
      </c>
    </row>
    <row r="138">
      <c r="A138" t="inlineStr">
        <is>
          <t>TTS.AR.004.4800.25</t>
        </is>
      </c>
      <c r="B138" t="inlineStr">
        <is>
          <t>Asse esterno 120x120x2,5 mm. lunghezza mt.4,800</t>
        </is>
      </c>
      <c r="C138" s="14" t="inlineStr">
        <is>
          <t>ASSE 120x120x2,5</t>
        </is>
      </c>
      <c r="D138" s="21" t="n">
        <v>4.8</v>
      </c>
      <c r="E138" s="22">
        <f>IF(AND(ISNUMBER($D138),ISNUMBER(VLOOKUP($C138,$A$5:$F$11,4,FALSE))),$D138*VLOOKUP($C138,$A$5:$F$11,4,FALSE),"")</f>
        <v/>
      </c>
      <c r="F138" s="13">
        <f>IF(AND(ISNUMBER($D138),ISNUMBER(VLOOKUP($C138,$A$5:$F$11,2,FALSE)),ISNUMBER(VLOOKUP($C138,$A$5:$F$11,5,FALSE))),$D138*VLOOKUP($C138,$A$5:$F$11,2,FALSE)*VLOOKUP($C138,$A$5:$F$11,5,FALSE),"")</f>
        <v/>
      </c>
      <c r="G138" s="13">
        <f>IF(AND(ISNUMBER($E138),ISNUMBER(VLOOKUP($C138,$A$5:$F$11,3,FALSE)),VLOOKUP($C138,$A$5:$F$11,3,FALSE)&gt;0,ISNUMBER(VLOOKUP($C138,$A$5:$F$11,6,FALSE))),$E138*VLOOKUP($C138,$A$5:$F$11,3,FALSE)*VLOOKUP($C138,$A$5:$F$11,6,FALSE),"")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style="16" min="1" max="1"/>
    <col width="26" customWidth="1" style="16" min="2" max="2"/>
    <col width="62" customWidth="1" style="16" min="3" max="3"/>
    <col width="26" customWidth="1" style="16" min="4" max="4"/>
    <col width="6" customWidth="1" style="16" min="5" max="5"/>
    <col width="14" customWidth="1" style="16" min="6" max="6"/>
    <col width="16" customWidth="1" style="16" min="7" max="7"/>
    <col width="46" customWidth="1" style="16" min="8" max="8"/>
    <col width="12" customWidth="1" style="16" min="9" max="9"/>
  </cols>
  <sheetData>
    <row r="1">
      <c r="A1" s="1" t="inlineStr">
        <is>
          <t>LISTINO COMPONENTI — Tracker TTS moduli 1303 (rev. 5)</t>
        </is>
      </c>
    </row>
    <row r="2">
      <c r="A2" s="2" t="inlineStr">
        <is>
          <t>Elenco unico di tutti i componenti presenti nella distinta materiali. Compilare la colonna 'Prezzo unitario' per ottenere un listino valorizzato.</t>
        </is>
      </c>
    </row>
    <row r="4">
      <c r="A4" s="3" t="inlineStr">
        <is>
          <t>N°</t>
        </is>
      </c>
      <c r="B4" s="3" t="inlineStr">
        <is>
          <t>Codice</t>
        </is>
      </c>
      <c r="C4" s="3" t="inlineStr">
        <is>
          <t>Descrizione</t>
        </is>
      </c>
      <c r="D4" s="3" t="inlineStr">
        <is>
          <t>Categoria</t>
        </is>
      </c>
      <c r="E4" s="3" t="inlineStr">
        <is>
          <t>U.M.</t>
        </is>
      </c>
      <c r="F4" s="9" t="inlineStr">
        <is>
          <t>Peso elemento (kg)</t>
        </is>
      </c>
      <c r="G4" s="3" t="inlineStr">
        <is>
          <t>Prezzo unitario €</t>
        </is>
      </c>
      <c r="H4" s="3" t="inlineStr">
        <is>
          <t>Presente nei kit / assiemi</t>
        </is>
      </c>
      <c r="I4" s="3" t="inlineStr">
        <is>
          <t>N° righe distinta</t>
        </is>
      </c>
    </row>
    <row r="5">
      <c r="A5" s="12" t="n">
        <v>1</v>
      </c>
      <c r="B5" s="5" t="inlineStr">
        <is>
          <t>TTS.AR.001.7200</t>
        </is>
      </c>
      <c r="C5" s="5" t="inlineStr">
        <is>
          <t>Asse lato motore 120x120x3 mm. lunghezza mt.7,20</t>
        </is>
      </c>
      <c r="D5" s="5" t="inlineStr">
        <is>
          <t>Carpenteria metallica</t>
        </is>
      </c>
      <c r="E5" s="12" t="inlineStr">
        <is>
          <t>pz</t>
        </is>
      </c>
      <c r="F5" s="10">
        <f>IFERROR(VLOOKUP($B5,'SCHEDA STRUTTURA'!$A$13:$E$413,5,FALSE),"")</f>
        <v/>
      </c>
      <c r="G5" s="6" t="n"/>
      <c r="H5" s="5" t="inlineStr">
        <is>
          <t>ASSI DI ROTAZIONE 1303</t>
        </is>
      </c>
      <c r="I5" s="12" t="n">
        <v>2</v>
      </c>
    </row>
    <row r="6">
      <c r="A6" s="12" t="n">
        <v>2</v>
      </c>
      <c r="B6" s="5" t="inlineStr">
        <is>
          <t>TTS.AR.001.7200.25</t>
        </is>
      </c>
      <c r="C6" s="5" t="inlineStr">
        <is>
          <t>Asse lato motore 120x120x2,5 mm. lunghezza mt.7,20</t>
        </is>
      </c>
      <c r="D6" s="5" t="inlineStr">
        <is>
          <t>Carpenteria metallica</t>
        </is>
      </c>
      <c r="E6" s="12" t="inlineStr">
        <is>
          <t>pz</t>
        </is>
      </c>
      <c r="F6" s="10">
        <f>IFERROR(VLOOKUP($B6,'SCHEDA STRUTTURA'!$A$13:$E$413,5,FALSE),"")</f>
        <v/>
      </c>
      <c r="G6" s="6" t="n"/>
      <c r="H6" s="5" t="inlineStr">
        <is>
          <t>ASSI DI ROTAZIONE 1303</t>
        </is>
      </c>
      <c r="I6" s="12" t="n">
        <v>1</v>
      </c>
    </row>
    <row r="7">
      <c r="A7" s="12" t="n">
        <v>3</v>
      </c>
      <c r="B7" s="5" t="inlineStr">
        <is>
          <t>TTS.AR.001.8250</t>
        </is>
      </c>
      <c r="C7" s="5" t="inlineStr">
        <is>
          <t>Asse lato motore 120x120x3 mm. lunghezza mt.8,25</t>
        </is>
      </c>
      <c r="D7" s="5" t="inlineStr">
        <is>
          <t>Carpenteria metallica</t>
        </is>
      </c>
      <c r="E7" s="12" t="inlineStr">
        <is>
          <t>pz</t>
        </is>
      </c>
      <c r="F7" s="10">
        <f>IFERROR(VLOOKUP($B7,'SCHEDA STRUTTURA'!$A$13:$E$413,5,FALSE),"")</f>
        <v/>
      </c>
      <c r="G7" s="6" t="n"/>
      <c r="H7" s="5" t="inlineStr">
        <is>
          <t>ASSI DI ROTAZIONE 1303</t>
        </is>
      </c>
      <c r="I7" s="12" t="n">
        <v>1</v>
      </c>
    </row>
    <row r="8">
      <c r="A8" s="12" t="n">
        <v>4</v>
      </c>
      <c r="B8" s="5" t="inlineStr">
        <is>
          <t>TTS.AR.001.8250.25</t>
        </is>
      </c>
      <c r="C8" s="5" t="inlineStr">
        <is>
          <t>Asse lato motore 120x120x2,5 mm. lunghezza mt.8,25</t>
        </is>
      </c>
      <c r="D8" s="5" t="inlineStr">
        <is>
          <t>Carpenteria metallica</t>
        </is>
      </c>
      <c r="E8" s="12" t="inlineStr">
        <is>
          <t>pz</t>
        </is>
      </c>
      <c r="F8" s="10">
        <f>IFERROR(VLOOKUP($B8,'SCHEDA STRUTTURA'!$A$13:$E$413,5,FALSE),"")</f>
        <v/>
      </c>
      <c r="G8" s="6" t="n"/>
      <c r="H8" s="5" t="inlineStr">
        <is>
          <t>ASSI DI ROTAZIONE 1303</t>
        </is>
      </c>
      <c r="I8" s="12" t="n">
        <v>1</v>
      </c>
    </row>
    <row r="9">
      <c r="A9" s="12" t="n">
        <v>5</v>
      </c>
      <c r="B9" s="5" t="inlineStr">
        <is>
          <t>TTS.AR.001.8700</t>
        </is>
      </c>
      <c r="C9" s="5" t="inlineStr">
        <is>
          <t>Asse lato motore 120x120x3 mm. lunghezza mt.8,70</t>
        </is>
      </c>
      <c r="D9" s="5" t="inlineStr">
        <is>
          <t>Carpenteria metallica</t>
        </is>
      </c>
      <c r="E9" s="12" t="inlineStr">
        <is>
          <t>pz</t>
        </is>
      </c>
      <c r="F9" s="10">
        <f>IFERROR(VLOOKUP($B9,'SCHEDA STRUTTURA'!$A$13:$E$413,5,FALSE),"")</f>
        <v/>
      </c>
      <c r="G9" s="6" t="n"/>
      <c r="H9" s="5" t="inlineStr">
        <is>
          <t>ASSI DI ROTAZIONE 1303</t>
        </is>
      </c>
      <c r="I9" s="12" t="n">
        <v>3</v>
      </c>
    </row>
    <row r="10">
      <c r="A10" s="12" t="n">
        <v>6</v>
      </c>
      <c r="B10" s="5" t="inlineStr">
        <is>
          <t>TTS.AR.001.8700.25</t>
        </is>
      </c>
      <c r="C10" s="5" t="inlineStr">
        <is>
          <t>Asse lato motore 120x120x2,5 mm. lunghezza mt.8,70</t>
        </is>
      </c>
      <c r="D10" s="5" t="inlineStr">
        <is>
          <t>Carpenteria metallica</t>
        </is>
      </c>
      <c r="E10" s="12" t="inlineStr">
        <is>
          <t>pz</t>
        </is>
      </c>
      <c r="F10" s="10">
        <f>IFERROR(VLOOKUP($B10,'SCHEDA STRUTTURA'!$A$13:$E$413,5,FALSE),"")</f>
        <v/>
      </c>
      <c r="G10" s="6" t="n"/>
      <c r="H10" s="5" t="inlineStr">
        <is>
          <t>ASSI DI ROTAZIONE 1303</t>
        </is>
      </c>
      <c r="I10" s="12" t="n">
        <v>1</v>
      </c>
    </row>
    <row r="11">
      <c r="A11" s="12" t="n">
        <v>7</v>
      </c>
      <c r="B11" s="5" t="inlineStr">
        <is>
          <t>TTS.AR.002.5000</t>
        </is>
      </c>
      <c r="C11" s="5" t="inlineStr">
        <is>
          <t>Asse esterno 120x120x3 mm. lunghezza mt.5,00</t>
        </is>
      </c>
      <c r="D11" s="5" t="inlineStr">
        <is>
          <t>Carpenteria metallica</t>
        </is>
      </c>
      <c r="E11" s="12" t="inlineStr">
        <is>
          <t>pz</t>
        </is>
      </c>
      <c r="F11" s="10">
        <f>IFERROR(VLOOKUP($B11,'SCHEDA STRUTTURA'!$A$13:$E$413,5,FALSE),"")</f>
        <v/>
      </c>
      <c r="G11" s="6" t="n"/>
      <c r="H11" s="5" t="inlineStr">
        <is>
          <t>ASSI DI ROTAZIONE 1303</t>
        </is>
      </c>
      <c r="I11" s="12" t="n">
        <v>1</v>
      </c>
    </row>
    <row r="12">
      <c r="A12" s="12" t="n">
        <v>8</v>
      </c>
      <c r="B12" s="5" t="inlineStr">
        <is>
          <t>TTS.AR.002.5000.25</t>
        </is>
      </c>
      <c r="C12" s="5" t="inlineStr">
        <is>
          <t>Asse esterno 120x120x2,5 mm. lunghezza mt.5,00</t>
        </is>
      </c>
      <c r="D12" s="5" t="inlineStr">
        <is>
          <t>Carpenteria metallica</t>
        </is>
      </c>
      <c r="E12" s="12" t="inlineStr">
        <is>
          <t>pz</t>
        </is>
      </c>
      <c r="F12" s="10">
        <f>IFERROR(VLOOKUP($B12,'SCHEDA STRUTTURA'!$A$13:$E$413,5,FALSE),"")</f>
        <v/>
      </c>
      <c r="G12" s="6" t="n"/>
      <c r="H12" s="5" t="inlineStr">
        <is>
          <t>ASSI DI ROTAZIONE 1303</t>
        </is>
      </c>
      <c r="I12" s="12" t="n">
        <v>1</v>
      </c>
    </row>
    <row r="13">
      <c r="A13" s="12" t="n">
        <v>9</v>
      </c>
      <c r="B13" s="5" t="inlineStr">
        <is>
          <t>TTS.AR.002.6150</t>
        </is>
      </c>
      <c r="C13" s="5" t="inlineStr">
        <is>
          <t>Asse esterno 120x120x3 mm. lunghezza mt.6,15</t>
        </is>
      </c>
      <c r="D13" s="5" t="inlineStr">
        <is>
          <t>Carpenteria metallica</t>
        </is>
      </c>
      <c r="E13" s="12" t="inlineStr">
        <is>
          <t>pz</t>
        </is>
      </c>
      <c r="F13" s="10">
        <f>IFERROR(VLOOKUP($B13,'SCHEDA STRUTTURA'!$A$13:$E$413,5,FALSE),"")</f>
        <v/>
      </c>
      <c r="G13" s="6" t="n"/>
      <c r="H13" s="5" t="inlineStr">
        <is>
          <t>ASSI DI ROTAZIONE 1303</t>
        </is>
      </c>
      <c r="I13" s="12" t="n">
        <v>1</v>
      </c>
    </row>
    <row r="14">
      <c r="A14" s="12" t="n">
        <v>10</v>
      </c>
      <c r="B14" s="5" t="inlineStr">
        <is>
          <t>TTS.AR.002.6150.25</t>
        </is>
      </c>
      <c r="C14" s="5" t="inlineStr">
        <is>
          <t>Asse esterno 120x120x2,5 mm. lunghezza mt.6,15</t>
        </is>
      </c>
      <c r="D14" s="5" t="inlineStr">
        <is>
          <t>Carpenteria metallica</t>
        </is>
      </c>
      <c r="E14" s="12" t="inlineStr">
        <is>
          <t>pz</t>
        </is>
      </c>
      <c r="F14" s="10">
        <f>IFERROR(VLOOKUP($B14,'SCHEDA STRUTTURA'!$A$13:$E$413,5,FALSE),"")</f>
        <v/>
      </c>
      <c r="G14" s="6" t="n"/>
      <c r="H14" s="5" t="inlineStr">
        <is>
          <t>ASSI DI ROTAZIONE 1303</t>
        </is>
      </c>
      <c r="I14" s="12" t="n">
        <v>1</v>
      </c>
    </row>
    <row r="15">
      <c r="A15" s="12" t="n">
        <v>11</v>
      </c>
      <c r="B15" s="5" t="inlineStr">
        <is>
          <t>TTS.AR.002.6300</t>
        </is>
      </c>
      <c r="C15" s="5" t="inlineStr">
        <is>
          <t>Asse esterno 120x120x3 mm. lunghezza mt.6,30</t>
        </is>
      </c>
      <c r="D15" s="5" t="inlineStr">
        <is>
          <t>Carpenteria metallica</t>
        </is>
      </c>
      <c r="E15" s="12" t="inlineStr">
        <is>
          <t>pz</t>
        </is>
      </c>
      <c r="F15" s="10">
        <f>IFERROR(VLOOKUP($B15,'SCHEDA STRUTTURA'!$A$13:$E$413,5,FALSE),"")</f>
        <v/>
      </c>
      <c r="G15" s="6" t="n"/>
      <c r="H15" s="5" t="inlineStr">
        <is>
          <t>ASSI DI ROTAZIONE 1303</t>
        </is>
      </c>
      <c r="I15" s="12" t="n">
        <v>1</v>
      </c>
    </row>
    <row r="16">
      <c r="A16" s="12" t="n">
        <v>12</v>
      </c>
      <c r="B16" s="5" t="inlineStr">
        <is>
          <t>TTS.AR.002.6300.25</t>
        </is>
      </c>
      <c r="C16" s="5" t="inlineStr">
        <is>
          <t>Asse esterno 120x120x2,5 mm. lunghezza mt.6,30</t>
        </is>
      </c>
      <c r="D16" s="5" t="inlineStr">
        <is>
          <t>Carpenteria metallica</t>
        </is>
      </c>
      <c r="E16" s="12" t="inlineStr">
        <is>
          <t>pz</t>
        </is>
      </c>
      <c r="F16" s="10">
        <f>IFERROR(VLOOKUP($B16,'SCHEDA STRUTTURA'!$A$13:$E$413,5,FALSE),"")</f>
        <v/>
      </c>
      <c r="G16" s="6" t="n"/>
      <c r="H16" s="5" t="inlineStr">
        <is>
          <t>ASSI DI ROTAZIONE 1303</t>
        </is>
      </c>
      <c r="I16" s="12" t="n">
        <v>1</v>
      </c>
    </row>
    <row r="17">
      <c r="A17" s="12" t="n">
        <v>13</v>
      </c>
      <c r="B17" s="5" t="inlineStr">
        <is>
          <t>TTS.AR.002.6756</t>
        </is>
      </c>
      <c r="C17" s="5" t="inlineStr">
        <is>
          <t>Asse esterno 120x120x3 mm. lunghezza mt.6,756</t>
        </is>
      </c>
      <c r="D17" s="5" t="inlineStr">
        <is>
          <t>Carpenteria metallica</t>
        </is>
      </c>
      <c r="E17" s="12" t="inlineStr">
        <is>
          <t>pz</t>
        </is>
      </c>
      <c r="F17" s="10">
        <f>IFERROR(VLOOKUP($B17,'SCHEDA STRUTTURA'!$A$13:$E$413,5,FALSE),"")</f>
        <v/>
      </c>
      <c r="G17" s="6" t="n"/>
      <c r="H17" s="5" t="inlineStr">
        <is>
          <t>ASSI DI ROTAZIONE 1303</t>
        </is>
      </c>
      <c r="I17" s="12" t="n">
        <v>1</v>
      </c>
    </row>
    <row r="18">
      <c r="A18" s="12" t="n">
        <v>14</v>
      </c>
      <c r="B18" s="5" t="inlineStr">
        <is>
          <t>TTS.AR.002.6756.25</t>
        </is>
      </c>
      <c r="C18" s="5" t="inlineStr">
        <is>
          <t>Asse esterno 120x120x2,5 mm. lunghezza mt.6,756</t>
        </is>
      </c>
      <c r="D18" s="5" t="inlineStr">
        <is>
          <t>Carpenteria metallica</t>
        </is>
      </c>
      <c r="E18" s="12" t="inlineStr">
        <is>
          <t>pz</t>
        </is>
      </c>
      <c r="F18" s="10">
        <f>IFERROR(VLOOKUP($B18,'SCHEDA STRUTTURA'!$A$13:$E$413,5,FALSE),"")</f>
        <v/>
      </c>
      <c r="G18" s="6" t="n"/>
      <c r="H18" s="5" t="inlineStr">
        <is>
          <t>ASSI DI ROTAZIONE 1303</t>
        </is>
      </c>
      <c r="I18" s="12" t="n">
        <v>1</v>
      </c>
    </row>
    <row r="19">
      <c r="A19" s="12" t="n">
        <v>15</v>
      </c>
      <c r="B19" s="5" t="inlineStr">
        <is>
          <t>TTS.AR.002.8250</t>
        </is>
      </c>
      <c r="C19" s="5" t="inlineStr">
        <is>
          <t>Primo asse centrale 120x120x3 mm. lunghezza mt.8,25</t>
        </is>
      </c>
      <c r="D19" s="5" t="inlineStr">
        <is>
          <t>Carpenteria metallica</t>
        </is>
      </c>
      <c r="E19" s="12" t="inlineStr">
        <is>
          <t>pz</t>
        </is>
      </c>
      <c r="F19" s="10">
        <f>IFERROR(VLOOKUP($B19,'SCHEDA STRUTTURA'!$A$13:$E$413,5,FALSE),"")</f>
        <v/>
      </c>
      <c r="G19" s="6" t="n"/>
      <c r="H19" s="5" t="inlineStr">
        <is>
          <t>ASSI DI ROTAZIONE 1303</t>
        </is>
      </c>
      <c r="I19" s="12" t="n">
        <v>1</v>
      </c>
    </row>
    <row r="20">
      <c r="A20" s="12" t="n">
        <v>16</v>
      </c>
      <c r="B20" s="5" t="inlineStr">
        <is>
          <t>TTS.AR.002.8250.25</t>
        </is>
      </c>
      <c r="C20" s="5" t="inlineStr">
        <is>
          <t>Primo asse centrale 120x120x2,5 mm. lunghezza mt.8,25</t>
        </is>
      </c>
      <c r="D20" s="5" t="inlineStr">
        <is>
          <t>Carpenteria metallica</t>
        </is>
      </c>
      <c r="E20" s="12" t="inlineStr">
        <is>
          <t>pz</t>
        </is>
      </c>
      <c r="F20" s="10">
        <f>IFERROR(VLOOKUP($B20,'SCHEDA STRUTTURA'!$A$13:$E$413,5,FALSE),"")</f>
        <v/>
      </c>
      <c r="G20" s="6" t="n"/>
      <c r="H20" s="5" t="inlineStr">
        <is>
          <t>ASSI DI ROTAZIONE 1303</t>
        </is>
      </c>
      <c r="I20" s="12" t="n">
        <v>1</v>
      </c>
    </row>
    <row r="21">
      <c r="A21" s="12" t="n">
        <v>17</v>
      </c>
      <c r="B21" s="5" t="inlineStr">
        <is>
          <t>TTS.AR.002.8645</t>
        </is>
      </c>
      <c r="C21" s="5" t="inlineStr">
        <is>
          <t>Asse esterno 120x120x3 mm. lunghezza mt.8,645</t>
        </is>
      </c>
      <c r="D21" s="5" t="inlineStr">
        <is>
          <t>Carpenteria metallica</t>
        </is>
      </c>
      <c r="E21" s="12" t="inlineStr">
        <is>
          <t>pz</t>
        </is>
      </c>
      <c r="F21" s="10">
        <f>IFERROR(VLOOKUP($B21,'SCHEDA STRUTTURA'!$A$13:$E$413,5,FALSE),"")</f>
        <v/>
      </c>
      <c r="G21" s="6" t="n"/>
      <c r="H21" s="5" t="inlineStr">
        <is>
          <t>ASSI DI ROTAZIONE 1303</t>
        </is>
      </c>
      <c r="I21" s="12" t="n">
        <v>1</v>
      </c>
    </row>
    <row r="22">
      <c r="A22" s="12" t="n">
        <v>18</v>
      </c>
      <c r="B22" s="5" t="inlineStr">
        <is>
          <t>TTS.AR.002.8645.25</t>
        </is>
      </c>
      <c r="C22" s="5" t="inlineStr">
        <is>
          <t>Asse esterno 120x120x2,5 mm. lunghezza mt.8,645</t>
        </is>
      </c>
      <c r="D22" s="5" t="inlineStr">
        <is>
          <t>Carpenteria metallica</t>
        </is>
      </c>
      <c r="E22" s="12" t="inlineStr">
        <is>
          <t>pz</t>
        </is>
      </c>
      <c r="F22" s="10">
        <f>IFERROR(VLOOKUP($B22,'SCHEDA STRUTTURA'!$A$13:$E$413,5,FALSE),"")</f>
        <v/>
      </c>
      <c r="G22" s="6" t="n"/>
      <c r="H22" s="5" t="inlineStr">
        <is>
          <t>ASSI DI ROTAZIONE 1303</t>
        </is>
      </c>
      <c r="I22" s="12" t="n">
        <v>1</v>
      </c>
    </row>
    <row r="23">
      <c r="A23" s="12" t="n">
        <v>19</v>
      </c>
      <c r="B23" s="5" t="inlineStr">
        <is>
          <t>TTS.AR.003.5000</t>
        </is>
      </c>
      <c r="C23" s="5" t="inlineStr">
        <is>
          <t>Secondo asse centrale 120x120x3 mm. lunghezza mt.5,000</t>
        </is>
      </c>
      <c r="D23" s="5" t="inlineStr">
        <is>
          <t>Carpenteria metallica</t>
        </is>
      </c>
      <c r="E23" s="12" t="inlineStr">
        <is>
          <t>pz</t>
        </is>
      </c>
      <c r="F23" s="10">
        <f>IFERROR(VLOOKUP($B23,'SCHEDA STRUTTURA'!$A$13:$E$413,5,FALSE),"")</f>
        <v/>
      </c>
      <c r="G23" s="6" t="n"/>
      <c r="H23" s="5" t="inlineStr">
        <is>
          <t>ASSI DI ROTAZIONE 1303</t>
        </is>
      </c>
      <c r="I23" s="12" t="n">
        <v>1</v>
      </c>
    </row>
    <row r="24">
      <c r="A24" s="12" t="n">
        <v>20</v>
      </c>
      <c r="B24" s="5" t="inlineStr">
        <is>
          <t>TTS.AR.003.5000.25</t>
        </is>
      </c>
      <c r="C24" s="5" t="inlineStr">
        <is>
          <t>Secondo asse centrale 120x120x2,5 mm. lunghezza mt.5,000</t>
        </is>
      </c>
      <c r="D24" s="5" t="inlineStr">
        <is>
          <t>Carpenteria metallica</t>
        </is>
      </c>
      <c r="E24" s="12" t="inlineStr">
        <is>
          <t>pz</t>
        </is>
      </c>
      <c r="F24" s="10">
        <f>IFERROR(VLOOKUP($B24,'SCHEDA STRUTTURA'!$A$13:$E$413,5,FALSE),"")</f>
        <v/>
      </c>
      <c r="G24" s="6" t="n"/>
      <c r="H24" s="5" t="inlineStr">
        <is>
          <t>ASSI DI ROTAZIONE 1303</t>
        </is>
      </c>
      <c r="I24" s="12" t="n">
        <v>1</v>
      </c>
    </row>
    <row r="25">
      <c r="A25" s="12" t="n">
        <v>21</v>
      </c>
      <c r="B25" s="5" t="inlineStr">
        <is>
          <t>TTS.AR.004.4800</t>
        </is>
      </c>
      <c r="C25" s="5" t="inlineStr">
        <is>
          <t>Asse esterno 120x120x3 mm. lunghezza mt.4,800</t>
        </is>
      </c>
      <c r="D25" s="5" t="inlineStr">
        <is>
          <t>Carpenteria metallica</t>
        </is>
      </c>
      <c r="E25" s="12" t="inlineStr">
        <is>
          <t>pz</t>
        </is>
      </c>
      <c r="F25" s="10">
        <f>IFERROR(VLOOKUP($B25,'SCHEDA STRUTTURA'!$A$13:$E$413,5,FALSE),"")</f>
        <v/>
      </c>
      <c r="G25" s="6" t="n"/>
      <c r="H25" s="5" t="inlineStr">
        <is>
          <t>ASSI DI ROTAZIONE 1303</t>
        </is>
      </c>
      <c r="I25" s="12" t="n">
        <v>1</v>
      </c>
    </row>
    <row r="26">
      <c r="A26" s="12" t="n">
        <v>22</v>
      </c>
      <c r="B26" s="5" t="inlineStr">
        <is>
          <t>TTS.AR.004.4800.25</t>
        </is>
      </c>
      <c r="C26" s="5" t="inlineStr">
        <is>
          <t>Asse esterno 120x120x2,5 mm. lunghezza mt.4,800</t>
        </is>
      </c>
      <c r="D26" s="5" t="inlineStr">
        <is>
          <t>Carpenteria metallica</t>
        </is>
      </c>
      <c r="E26" s="12" t="inlineStr">
        <is>
          <t>pz</t>
        </is>
      </c>
      <c r="F26" s="10">
        <f>IFERROR(VLOOKUP($B26,'SCHEDA STRUTTURA'!$A$13:$E$413,5,FALSE),"")</f>
        <v/>
      </c>
      <c r="G26" s="6" t="n"/>
      <c r="H26" s="5" t="inlineStr">
        <is>
          <t>ASSI DI ROTAZIONE 1303</t>
        </is>
      </c>
      <c r="I26" s="12" t="n">
        <v>1</v>
      </c>
    </row>
    <row r="27">
      <c r="A27" s="12" t="n">
        <v>23</v>
      </c>
      <c r="B27" s="5" t="inlineStr">
        <is>
          <t>TTS.AR.201</t>
        </is>
      </c>
      <c r="C27" s="5" t="inlineStr">
        <is>
          <t>Kit giunzione asse di collegamento</t>
        </is>
      </c>
      <c r="D27" s="5" t="inlineStr">
        <is>
          <t>Carpenteria metallica</t>
        </is>
      </c>
      <c r="E27" s="12" t="inlineStr">
        <is>
          <t>pz</t>
        </is>
      </c>
      <c r="F27" s="10" t="n"/>
      <c r="G27" s="6" t="n"/>
      <c r="H27" s="5" t="inlineStr">
        <is>
          <t>ASSI DI ROTAZIONE 1303</t>
        </is>
      </c>
      <c r="I27" s="12" t="n">
        <v>5</v>
      </c>
    </row>
    <row r="28">
      <c r="A28" s="12" t="n">
        <v>24</v>
      </c>
      <c r="B28" s="5" t="inlineStr">
        <is>
          <t>TTS.AR.2011</t>
        </is>
      </c>
      <c r="C28" s="5" t="inlineStr">
        <is>
          <t>Gaffa giunzione asse</t>
        </is>
      </c>
      <c r="D28" s="5" t="inlineStr">
        <is>
          <t>Carpenteria metallica</t>
        </is>
      </c>
      <c r="E28" s="12" t="inlineStr">
        <is>
          <t>pz</t>
        </is>
      </c>
      <c r="F28" s="10" t="n"/>
      <c r="G28" s="6" t="n"/>
      <c r="H28" s="5" t="inlineStr">
        <is>
          <t>ASSI DI ROTAZIONE 1303</t>
        </is>
      </c>
      <c r="I28" s="12" t="n">
        <v>5</v>
      </c>
    </row>
    <row r="29">
      <c r="A29" s="12" t="n">
        <v>25</v>
      </c>
      <c r="B29" s="5" t="inlineStr">
        <is>
          <t>TTS.AR.3011</t>
        </is>
      </c>
      <c r="C29" s="5" t="inlineStr">
        <is>
          <t>Supporto a L superiore omega</t>
        </is>
      </c>
      <c r="D29" s="5" t="inlineStr">
        <is>
          <t>Carpenteria metallica</t>
        </is>
      </c>
      <c r="E29" s="12" t="inlineStr">
        <is>
          <t>pz</t>
        </is>
      </c>
      <c r="F29" s="10" t="n"/>
      <c r="G29" s="6" t="n"/>
      <c r="H29" s="5" t="inlineStr">
        <is>
          <t>KIT OMEGA+pannelli</t>
        </is>
      </c>
      <c r="I29" s="12" t="n">
        <v>1</v>
      </c>
    </row>
    <row r="30">
      <c r="A30" s="12" t="n">
        <v>26</v>
      </c>
      <c r="B30" s="5" t="inlineStr">
        <is>
          <t>TTS.AR.3012</t>
        </is>
      </c>
      <c r="C30" s="5" t="inlineStr">
        <is>
          <t>Supporto a V inferiore omega</t>
        </is>
      </c>
      <c r="D30" s="5" t="inlineStr">
        <is>
          <t>Carpenteria metallica</t>
        </is>
      </c>
      <c r="E30" s="12" t="inlineStr">
        <is>
          <t>pz</t>
        </is>
      </c>
      <c r="F30" s="10" t="n"/>
      <c r="G30" s="6" t="n"/>
      <c r="H30" s="5" t="inlineStr">
        <is>
          <t>KIT OMEGA+pannelli</t>
        </is>
      </c>
      <c r="I30" s="12" t="n">
        <v>1</v>
      </c>
    </row>
    <row r="31">
      <c r="A31" s="12" t="n">
        <v>27</v>
      </c>
      <c r="B31" s="5" t="inlineStr">
        <is>
          <t>TTS.AR.3013</t>
        </is>
      </c>
      <c r="C31" s="5" t="inlineStr">
        <is>
          <t>Gaffa sotto omega</t>
        </is>
      </c>
      <c r="D31" s="5" t="inlineStr">
        <is>
          <t>Carpenteria metallica</t>
        </is>
      </c>
      <c r="E31" s="12" t="inlineStr">
        <is>
          <t>pz</t>
        </is>
      </c>
      <c r="F31" s="10" t="n"/>
      <c r="G31" s="6" t="n"/>
      <c r="H31" s="5" t="inlineStr">
        <is>
          <t>KIT OMEGA+pannelli</t>
        </is>
      </c>
      <c r="I31" s="12" t="n">
        <v>1</v>
      </c>
    </row>
    <row r="32">
      <c r="A32" s="12" t="n">
        <v>28</v>
      </c>
      <c r="B32" s="5" t="inlineStr">
        <is>
          <t>TTS.AR.3014</t>
        </is>
      </c>
      <c r="C32" s="5" t="inlineStr">
        <is>
          <t>Omega supporto pannello</t>
        </is>
      </c>
      <c r="D32" s="5" t="inlineStr">
        <is>
          <t>Carpenteria metallica</t>
        </is>
      </c>
      <c r="E32" s="12" t="inlineStr">
        <is>
          <t>pz</t>
        </is>
      </c>
      <c r="F32" s="10" t="n"/>
      <c r="G32" s="6" t="n"/>
      <c r="H32" s="5" t="inlineStr">
        <is>
          <t>KIT OMEGA+pannelli</t>
        </is>
      </c>
      <c r="I32" s="12" t="n">
        <v>1</v>
      </c>
    </row>
    <row r="33">
      <c r="A33" s="12" t="n">
        <v>29</v>
      </c>
      <c r="B33" s="5" t="inlineStr">
        <is>
          <t>TTS.AR.3014.18</t>
        </is>
      </c>
      <c r="C33" s="5" t="inlineStr">
        <is>
          <t>Omega supporto pannello mm1,8</t>
        </is>
      </c>
      <c r="D33" s="5" t="inlineStr">
        <is>
          <t>Carpenteria metallica</t>
        </is>
      </c>
      <c r="E33" s="12" t="inlineStr">
        <is>
          <t>pz</t>
        </is>
      </c>
      <c r="F33" s="10" t="n"/>
      <c r="G33" s="6" t="n"/>
      <c r="H33" s="5" t="inlineStr">
        <is>
          <t>KIT OMEGA+pannelli</t>
        </is>
      </c>
      <c r="I33" s="12" t="n">
        <v>1</v>
      </c>
    </row>
    <row r="34">
      <c r="A34" s="12" t="n">
        <v>30</v>
      </c>
      <c r="B34" s="5" t="inlineStr">
        <is>
          <t>TTS.AR.4011</t>
        </is>
      </c>
      <c r="C34" s="5" t="inlineStr">
        <is>
          <t>Supporto superiore inclinometro</t>
        </is>
      </c>
      <c r="D34" s="5" t="inlineStr">
        <is>
          <t>Carpenteria metallica</t>
        </is>
      </c>
      <c r="E34" s="12" t="inlineStr">
        <is>
          <t>pz</t>
        </is>
      </c>
      <c r="F34" s="10" t="n"/>
      <c r="G34" s="6" t="n"/>
      <c r="H34" s="5" t="inlineStr">
        <is>
          <t>KIT INCLINOMETRO</t>
        </is>
      </c>
      <c r="I34" s="12" t="n">
        <v>1</v>
      </c>
    </row>
    <row r="35">
      <c r="A35" s="12" t="n">
        <v>31</v>
      </c>
      <c r="B35" s="5" t="inlineStr">
        <is>
          <t>TTS.AR.4012</t>
        </is>
      </c>
      <c r="C35" s="5" t="inlineStr">
        <is>
          <t>Supporto inferiore inclinometro</t>
        </is>
      </c>
      <c r="D35" s="5" t="inlineStr">
        <is>
          <t>Carpenteria metallica</t>
        </is>
      </c>
      <c r="E35" s="12" t="inlineStr">
        <is>
          <t>pz</t>
        </is>
      </c>
      <c r="F35" s="10" t="n"/>
      <c r="G35" s="6" t="n"/>
      <c r="H35" s="5" t="inlineStr">
        <is>
          <t>KIT INCLINOMETRO</t>
        </is>
      </c>
      <c r="I35" s="12" t="n">
        <v>1</v>
      </c>
    </row>
    <row r="36">
      <c r="A36" s="12" t="n">
        <v>32</v>
      </c>
      <c r="B36" s="5" t="inlineStr">
        <is>
          <t>TTS.AR.5011</t>
        </is>
      </c>
      <c r="C36" s="5" t="inlineStr">
        <is>
          <t>Piastra ad L supporto fine corsa</t>
        </is>
      </c>
      <c r="D36" s="5" t="inlineStr">
        <is>
          <t>Carpenteria metallica</t>
        </is>
      </c>
      <c r="E36" s="12" t="inlineStr">
        <is>
          <t>pz</t>
        </is>
      </c>
      <c r="F36" s="10" t="n"/>
      <c r="G36" s="6" t="n"/>
      <c r="H36" s="5" t="inlineStr">
        <is>
          <t>KIT FINE CORSA</t>
        </is>
      </c>
      <c r="I36" s="12" t="n">
        <v>1</v>
      </c>
    </row>
    <row r="37">
      <c r="A37" s="12" t="n">
        <v>33</v>
      </c>
      <c r="B37" s="5" t="inlineStr">
        <is>
          <t>TTS.AR.5012</t>
        </is>
      </c>
      <c r="C37" s="5" t="inlineStr">
        <is>
          <t>Leva battente sensore fine corsa</t>
        </is>
      </c>
      <c r="D37" s="5" t="inlineStr">
        <is>
          <t>Carpenteria metallica</t>
        </is>
      </c>
      <c r="E37" s="12" t="inlineStr">
        <is>
          <t>pz</t>
        </is>
      </c>
      <c r="F37" s="10" t="n"/>
      <c r="G37" s="6" t="n"/>
      <c r="H37" s="5" t="inlineStr">
        <is>
          <t>KIT FINE CORSA</t>
        </is>
      </c>
      <c r="I37" s="12" t="n">
        <v>1</v>
      </c>
    </row>
    <row r="38">
      <c r="A38" s="12" t="n">
        <v>34</v>
      </c>
      <c r="B38" s="5" t="inlineStr">
        <is>
          <t>TTS.PC.001.IPE140.23</t>
        </is>
      </c>
      <c r="C38" s="5" t="inlineStr">
        <is>
          <t>Pilastro cuscinetto trave IPE 140 mt.2,30</t>
        </is>
      </c>
      <c r="D38" s="5" t="inlineStr">
        <is>
          <t>Carpenteria metallica</t>
        </is>
      </c>
      <c r="E38" s="12" t="inlineStr">
        <is>
          <t>pz</t>
        </is>
      </c>
      <c r="F38" s="10">
        <f>IFERROR(VLOOKUP($B38,'SCHEDA STRUTTURA'!$A$13:$E$413,5,FALSE),"")</f>
        <v/>
      </c>
      <c r="G38" s="6" t="n"/>
      <c r="H38" s="5" t="inlineStr">
        <is>
          <t>PILASTRO CUSCINETTO</t>
        </is>
      </c>
      <c r="I38" s="12" t="n">
        <v>1</v>
      </c>
    </row>
    <row r="39">
      <c r="A39" s="12" t="n">
        <v>35</v>
      </c>
      <c r="B39" s="5" t="inlineStr">
        <is>
          <t>TTS.PC.001.IPEA140.23</t>
        </is>
      </c>
      <c r="C39" s="5" t="inlineStr">
        <is>
          <t>Pilastro cuscinetto trave IPEA 140 mt.2,30 (alleggerita)</t>
        </is>
      </c>
      <c r="D39" s="5" t="inlineStr">
        <is>
          <t>Carpenteria metallica</t>
        </is>
      </c>
      <c r="E39" s="12" t="inlineStr">
        <is>
          <t>pz</t>
        </is>
      </c>
      <c r="F39" s="10">
        <f>IFERROR(VLOOKUP($B39,'SCHEDA STRUTTURA'!$A$13:$E$413,5,FALSE),"")</f>
        <v/>
      </c>
      <c r="G39" s="6" t="n"/>
      <c r="H39" s="5" t="inlineStr">
        <is>
          <t>PILASTRO CUSCINETTO</t>
        </is>
      </c>
      <c r="I39" s="12" t="n">
        <v>1</v>
      </c>
    </row>
    <row r="40">
      <c r="A40" s="12" t="n">
        <v>36</v>
      </c>
      <c r="B40" s="5" t="inlineStr">
        <is>
          <t>TTS.PC.001.IPE140.28</t>
        </is>
      </c>
      <c r="C40" s="5" t="inlineStr">
        <is>
          <t>Pilastro cuscinetto trave IPE 140 mt.2,80</t>
        </is>
      </c>
      <c r="D40" s="5" t="inlineStr">
        <is>
          <t>Carpenteria metallica</t>
        </is>
      </c>
      <c r="E40" s="12" t="inlineStr">
        <is>
          <t>pz</t>
        </is>
      </c>
      <c r="F40" s="10">
        <f>IFERROR(VLOOKUP($B40,'SCHEDA STRUTTURA'!$A$13:$E$413,5,FALSE),"")</f>
        <v/>
      </c>
      <c r="G40" s="6" t="n"/>
      <c r="H40" s="5" t="inlineStr">
        <is>
          <t>PILASTRO CUSCINETTO</t>
        </is>
      </c>
      <c r="I40" s="12" t="n">
        <v>1</v>
      </c>
    </row>
    <row r="41">
      <c r="A41" s="12" t="n">
        <v>37</v>
      </c>
      <c r="B41" s="5" t="inlineStr">
        <is>
          <t>TTS.PC.001.IPEA140.28</t>
        </is>
      </c>
      <c r="C41" s="5" t="inlineStr">
        <is>
          <t>Pilastro cuscinetto trave IPEA 140 mt.2,80 (alleggerita)</t>
        </is>
      </c>
      <c r="D41" s="5" t="inlineStr">
        <is>
          <t>Carpenteria metallica</t>
        </is>
      </c>
      <c r="E41" s="12" t="inlineStr">
        <is>
          <t>pz</t>
        </is>
      </c>
      <c r="F41" s="10">
        <f>IFERROR(VLOOKUP($B41,'SCHEDA STRUTTURA'!$A$13:$E$413,5,FALSE),"")</f>
        <v/>
      </c>
      <c r="G41" s="6" t="n"/>
      <c r="H41" s="5" t="inlineStr">
        <is>
          <t>PILASTRO CUSCINETTO</t>
        </is>
      </c>
      <c r="I41" s="12" t="n">
        <v>1</v>
      </c>
    </row>
    <row r="42">
      <c r="A42" s="12" t="n">
        <v>38</v>
      </c>
      <c r="B42" s="5" t="inlineStr">
        <is>
          <t>TTS.PC.001.IPE140.29</t>
        </is>
      </c>
      <c r="C42" s="5" t="inlineStr">
        <is>
          <t>Pilastro cuscinetto trave IPE 140 mt.2,90</t>
        </is>
      </c>
      <c r="D42" s="5" t="inlineStr">
        <is>
          <t>Carpenteria metallica</t>
        </is>
      </c>
      <c r="E42" s="12" t="inlineStr">
        <is>
          <t>pz</t>
        </is>
      </c>
      <c r="F42" s="10">
        <f>IFERROR(VLOOKUP($B42,'SCHEDA STRUTTURA'!$A$13:$E$413,5,FALSE),"")</f>
        <v/>
      </c>
      <c r="G42" s="6" t="n"/>
      <c r="H42" s="5" t="inlineStr">
        <is>
          <t>PILASTRO CUSCINETTO</t>
        </is>
      </c>
      <c r="I42" s="12" t="n">
        <v>1</v>
      </c>
    </row>
    <row r="43">
      <c r="A43" s="12" t="n">
        <v>39</v>
      </c>
      <c r="B43" s="5" t="inlineStr">
        <is>
          <t>TTS.PC.001.IPEA140.29</t>
        </is>
      </c>
      <c r="C43" s="5" t="inlineStr">
        <is>
          <t>Pilastro cuscinetto trave IPEA 140 mt.2,90 (alleggerita)</t>
        </is>
      </c>
      <c r="D43" s="5" t="inlineStr">
        <is>
          <t>Carpenteria metallica</t>
        </is>
      </c>
      <c r="E43" s="12" t="inlineStr">
        <is>
          <t>pz</t>
        </is>
      </c>
      <c r="F43" s="10">
        <f>IFERROR(VLOOKUP($B43,'SCHEDA STRUTTURA'!$A$13:$E$413,5,FALSE),"")</f>
        <v/>
      </c>
      <c r="G43" s="6" t="n"/>
      <c r="H43" s="5" t="inlineStr">
        <is>
          <t>PILASTRO CUSCINETTO</t>
        </is>
      </c>
      <c r="I43" s="12" t="n">
        <v>1</v>
      </c>
    </row>
    <row r="44">
      <c r="A44" s="12" t="n">
        <v>40</v>
      </c>
      <c r="B44" s="5" t="inlineStr">
        <is>
          <t>TTS.PC.001.IPE140.30</t>
        </is>
      </c>
      <c r="C44" s="5" t="inlineStr">
        <is>
          <t>Pilastro cuscinetto trave IPE 140 mt.3,00</t>
        </is>
      </c>
      <c r="D44" s="5" t="inlineStr">
        <is>
          <t>Carpenteria metallica</t>
        </is>
      </c>
      <c r="E44" s="12" t="inlineStr">
        <is>
          <t>pz</t>
        </is>
      </c>
      <c r="F44" s="10">
        <f>IFERROR(VLOOKUP($B44,'SCHEDA STRUTTURA'!$A$13:$E$413,5,FALSE),"")</f>
        <v/>
      </c>
      <c r="G44" s="6" t="n"/>
      <c r="H44" s="5" t="inlineStr">
        <is>
          <t>PILASTRO CUSCINETTO</t>
        </is>
      </c>
      <c r="I44" s="12" t="n">
        <v>1</v>
      </c>
    </row>
    <row r="45">
      <c r="A45" s="12" t="n">
        <v>41</v>
      </c>
      <c r="B45" s="5" t="inlineStr">
        <is>
          <t>TTS.PC.001.IPEA140.30</t>
        </is>
      </c>
      <c r="C45" s="5" t="inlineStr">
        <is>
          <t>Pilastro cuscinetto trave IPEA 140 mt.3,00 (alleggerita)</t>
        </is>
      </c>
      <c r="D45" s="5" t="inlineStr">
        <is>
          <t>Carpenteria metallica</t>
        </is>
      </c>
      <c r="E45" s="12" t="inlineStr">
        <is>
          <t>pz</t>
        </is>
      </c>
      <c r="F45" s="10">
        <f>IFERROR(VLOOKUP($B45,'SCHEDA STRUTTURA'!$A$13:$E$413,5,FALSE),"")</f>
        <v/>
      </c>
      <c r="G45" s="6" t="n"/>
      <c r="H45" s="5" t="inlineStr">
        <is>
          <t>PILASTRO CUSCINETTO</t>
        </is>
      </c>
      <c r="I45" s="12" t="n">
        <v>1</v>
      </c>
    </row>
    <row r="46">
      <c r="A46" s="12" t="n">
        <v>42</v>
      </c>
      <c r="B46" s="5" t="inlineStr">
        <is>
          <t>TTS.PC.001.IPE140.31</t>
        </is>
      </c>
      <c r="C46" s="5" t="inlineStr">
        <is>
          <t>Pilastro cuscinetto trave IPE 140 mt.3,10</t>
        </is>
      </c>
      <c r="D46" s="5" t="inlineStr">
        <is>
          <t>Carpenteria metallica</t>
        </is>
      </c>
      <c r="E46" s="12" t="inlineStr">
        <is>
          <t>pz</t>
        </is>
      </c>
      <c r="F46" s="10">
        <f>IFERROR(VLOOKUP($B46,'SCHEDA STRUTTURA'!$A$13:$E$413,5,FALSE),"")</f>
        <v/>
      </c>
      <c r="G46" s="6" t="n"/>
      <c r="H46" s="5" t="inlineStr">
        <is>
          <t>PILASTRO CUSCINETTO</t>
        </is>
      </c>
      <c r="I46" s="12" t="n">
        <v>1</v>
      </c>
    </row>
    <row r="47">
      <c r="A47" s="12" t="n">
        <v>43</v>
      </c>
      <c r="B47" s="5" t="inlineStr">
        <is>
          <t>TTS.PC.001.IPEA140.31</t>
        </is>
      </c>
      <c r="C47" s="5" t="inlineStr">
        <is>
          <t>Pilastro cuscinetto trave IPEA 140 mt.3,10 (alleggerita)</t>
        </is>
      </c>
      <c r="D47" s="5" t="inlineStr">
        <is>
          <t>Carpenteria metallica</t>
        </is>
      </c>
      <c r="E47" s="12" t="inlineStr">
        <is>
          <t>pz</t>
        </is>
      </c>
      <c r="F47" s="10">
        <f>IFERROR(VLOOKUP($B47,'SCHEDA STRUTTURA'!$A$13:$E$413,5,FALSE),"")</f>
        <v/>
      </c>
      <c r="G47" s="6" t="n"/>
      <c r="H47" s="5" t="inlineStr">
        <is>
          <t>PILASTRO CUSCINETTO</t>
        </is>
      </c>
      <c r="I47" s="12" t="n">
        <v>1</v>
      </c>
    </row>
    <row r="48">
      <c r="A48" s="12" t="n">
        <v>44</v>
      </c>
      <c r="B48" s="5" t="inlineStr">
        <is>
          <t>TTS.PC.001.IPE140.32</t>
        </is>
      </c>
      <c r="C48" s="5" t="inlineStr">
        <is>
          <t>Pilastro cuscinetto trave IPE 140 mt.3,20</t>
        </is>
      </c>
      <c r="D48" s="5" t="inlineStr">
        <is>
          <t>Carpenteria metallica</t>
        </is>
      </c>
      <c r="E48" s="12" t="inlineStr">
        <is>
          <t>pz</t>
        </is>
      </c>
      <c r="F48" s="10">
        <f>IFERROR(VLOOKUP($B48,'SCHEDA STRUTTURA'!$A$13:$E$413,5,FALSE),"")</f>
        <v/>
      </c>
      <c r="G48" s="6" t="n"/>
      <c r="H48" s="5" t="inlineStr">
        <is>
          <t>PILASTRO CUSCINETTO</t>
        </is>
      </c>
      <c r="I48" s="12" t="n">
        <v>1</v>
      </c>
    </row>
    <row r="49">
      <c r="A49" s="12" t="n">
        <v>45</v>
      </c>
      <c r="B49" s="5" t="inlineStr">
        <is>
          <t>TTS.PC.001.IPEA140.32</t>
        </is>
      </c>
      <c r="C49" s="5" t="inlineStr">
        <is>
          <t>Pilastro cuscinetto trave IPEA 140 mt.3,20 (alleggerita)</t>
        </is>
      </c>
      <c r="D49" s="5" t="inlineStr">
        <is>
          <t>Carpenteria metallica</t>
        </is>
      </c>
      <c r="E49" s="12" t="inlineStr">
        <is>
          <t>pz</t>
        </is>
      </c>
      <c r="F49" s="10">
        <f>IFERROR(VLOOKUP($B49,'SCHEDA STRUTTURA'!$A$13:$E$413,5,FALSE),"")</f>
        <v/>
      </c>
      <c r="G49" s="6" t="n"/>
      <c r="H49" s="5" t="inlineStr">
        <is>
          <t>PILASTRO CUSCINETTO</t>
        </is>
      </c>
      <c r="I49" s="12" t="n">
        <v>1</v>
      </c>
    </row>
    <row r="50">
      <c r="A50" s="12" t="n">
        <v>46</v>
      </c>
      <c r="B50" s="5" t="inlineStr">
        <is>
          <t>TTS.PC.001.IPE140.33</t>
        </is>
      </c>
      <c r="C50" s="5" t="inlineStr">
        <is>
          <t>Pilastro cuscinetto trave IPE 140 mt.3,30</t>
        </is>
      </c>
      <c r="D50" s="5" t="inlineStr">
        <is>
          <t>Carpenteria metallica</t>
        </is>
      </c>
      <c r="E50" s="12" t="inlineStr">
        <is>
          <t>pz</t>
        </is>
      </c>
      <c r="F50" s="10">
        <f>IFERROR(VLOOKUP($B50,'SCHEDA STRUTTURA'!$A$13:$E$413,5,FALSE),"")</f>
        <v/>
      </c>
      <c r="G50" s="6" t="n"/>
      <c r="H50" s="5" t="inlineStr">
        <is>
          <t>PILASTRO CUSCINETTO</t>
        </is>
      </c>
      <c r="I50" s="12" t="n">
        <v>1</v>
      </c>
    </row>
    <row r="51">
      <c r="A51" s="12" t="n">
        <v>47</v>
      </c>
      <c r="B51" s="5" t="inlineStr">
        <is>
          <t>TTS.PC.001.IPEA140.33</t>
        </is>
      </c>
      <c r="C51" s="5" t="inlineStr">
        <is>
          <t>Pilastro cuscinetto trave IPEA 140 mt.3,30 (alleggerita)</t>
        </is>
      </c>
      <c r="D51" s="5" t="inlineStr">
        <is>
          <t>Carpenteria metallica</t>
        </is>
      </c>
      <c r="E51" s="12" t="inlineStr">
        <is>
          <t>pz</t>
        </is>
      </c>
      <c r="F51" s="10">
        <f>IFERROR(VLOOKUP($B51,'SCHEDA STRUTTURA'!$A$13:$E$413,5,FALSE),"")</f>
        <v/>
      </c>
      <c r="G51" s="6" t="n"/>
      <c r="H51" s="5" t="inlineStr">
        <is>
          <t>PILASTRO CUSCINETTO</t>
        </is>
      </c>
      <c r="I51" s="12" t="n">
        <v>1</v>
      </c>
    </row>
    <row r="52">
      <c r="A52" s="12" t="n">
        <v>48</v>
      </c>
      <c r="B52" s="5" t="inlineStr">
        <is>
          <t>TTS.PC.001.IPE140.34</t>
        </is>
      </c>
      <c r="C52" s="5" t="inlineStr">
        <is>
          <t>Pilastro cuscinetto trave IPE 140 mt.3,40</t>
        </is>
      </c>
      <c r="D52" s="5" t="inlineStr">
        <is>
          <t>Carpenteria metallica</t>
        </is>
      </c>
      <c r="E52" s="12" t="inlineStr">
        <is>
          <t>pz</t>
        </is>
      </c>
      <c r="F52" s="10">
        <f>IFERROR(VLOOKUP($B52,'SCHEDA STRUTTURA'!$A$13:$E$413,5,FALSE),"")</f>
        <v/>
      </c>
      <c r="G52" s="6" t="n"/>
      <c r="H52" s="5" t="inlineStr">
        <is>
          <t>PILASTRO CUSCINETTO</t>
        </is>
      </c>
      <c r="I52" s="12" t="n">
        <v>1</v>
      </c>
    </row>
    <row r="53">
      <c r="A53" s="12" t="n">
        <v>49</v>
      </c>
      <c r="B53" s="5" t="inlineStr">
        <is>
          <t>TTS.PC.001.IPEA140.34</t>
        </is>
      </c>
      <c r="C53" s="5" t="inlineStr">
        <is>
          <t>Pilastro cuscinetto trave IPEA 140 mt.3,40 (alleggerita)</t>
        </is>
      </c>
      <c r="D53" s="5" t="inlineStr">
        <is>
          <t>Carpenteria metallica</t>
        </is>
      </c>
      <c r="E53" s="12" t="inlineStr">
        <is>
          <t>pz</t>
        </is>
      </c>
      <c r="F53" s="10">
        <f>IFERROR(VLOOKUP($B53,'SCHEDA STRUTTURA'!$A$13:$E$413,5,FALSE),"")</f>
        <v/>
      </c>
      <c r="G53" s="6" t="n"/>
      <c r="H53" s="5" t="inlineStr">
        <is>
          <t>PILASTRO CUSCINETTO</t>
        </is>
      </c>
      <c r="I53" s="12" t="n">
        <v>1</v>
      </c>
    </row>
    <row r="54">
      <c r="A54" s="12" t="n">
        <v>50</v>
      </c>
      <c r="B54" s="5" t="inlineStr">
        <is>
          <t>TTS.PC.001.IPE140.35</t>
        </is>
      </c>
      <c r="C54" s="5" t="inlineStr">
        <is>
          <t>Pilastro cuscinetto trave IPE 140 mt.3,50</t>
        </is>
      </c>
      <c r="D54" s="5" t="inlineStr">
        <is>
          <t>Carpenteria metallica</t>
        </is>
      </c>
      <c r="E54" s="12" t="inlineStr">
        <is>
          <t>pz</t>
        </is>
      </c>
      <c r="F54" s="10">
        <f>IFERROR(VLOOKUP($B54,'SCHEDA STRUTTURA'!$A$13:$E$413,5,FALSE),"")</f>
        <v/>
      </c>
      <c r="G54" s="6" t="n"/>
      <c r="H54" s="5" t="inlineStr">
        <is>
          <t>PILASTRO CUSCINETTO</t>
        </is>
      </c>
      <c r="I54" s="12" t="n">
        <v>1</v>
      </c>
    </row>
    <row r="55">
      <c r="A55" s="12" t="n">
        <v>51</v>
      </c>
      <c r="B55" s="5" t="inlineStr">
        <is>
          <t>TTS.PC.001.IPEA140.35</t>
        </is>
      </c>
      <c r="C55" s="5" t="inlineStr">
        <is>
          <t>Pilastro cuscinetto trave IPEA 140 mt.3,50 (alleggerita)</t>
        </is>
      </c>
      <c r="D55" s="5" t="inlineStr">
        <is>
          <t>Carpenteria metallica</t>
        </is>
      </c>
      <c r="E55" s="12" t="inlineStr">
        <is>
          <t>pz</t>
        </is>
      </c>
      <c r="F55" s="10">
        <f>IFERROR(VLOOKUP($B55,'SCHEDA STRUTTURA'!$A$13:$E$413,5,FALSE),"")</f>
        <v/>
      </c>
      <c r="G55" s="6" t="n"/>
      <c r="H55" s="5" t="inlineStr">
        <is>
          <t>PILASTRO CUSCINETTO</t>
        </is>
      </c>
      <c r="I55" s="12" t="n">
        <v>1</v>
      </c>
    </row>
    <row r="56">
      <c r="A56" s="12" t="n">
        <v>52</v>
      </c>
      <c r="B56" s="5" t="inlineStr">
        <is>
          <t>TTS.PC.001.IPE140.36</t>
        </is>
      </c>
      <c r="C56" s="5" t="inlineStr">
        <is>
          <t>Pilastro cuscinetto trave IPE 140 mt.3,60</t>
        </is>
      </c>
      <c r="D56" s="5" t="inlineStr">
        <is>
          <t>Carpenteria metallica</t>
        </is>
      </c>
      <c r="E56" s="12" t="inlineStr">
        <is>
          <t>pz</t>
        </is>
      </c>
      <c r="F56" s="10">
        <f>IFERROR(VLOOKUP($B56,'SCHEDA STRUTTURA'!$A$13:$E$413,5,FALSE),"")</f>
        <v/>
      </c>
      <c r="G56" s="6" t="n"/>
      <c r="H56" s="5" t="inlineStr">
        <is>
          <t>PILASTRO CUSCINETTO</t>
        </is>
      </c>
      <c r="I56" s="12" t="n">
        <v>1</v>
      </c>
    </row>
    <row r="57">
      <c r="A57" s="12" t="n">
        <v>53</v>
      </c>
      <c r="B57" s="5" t="inlineStr">
        <is>
          <t>TTS.PC.001.IPEA140.36</t>
        </is>
      </c>
      <c r="C57" s="5" t="inlineStr">
        <is>
          <t>Pilastro cuscinetto trave IPEA 140 mt.3,60 (alleggerita)</t>
        </is>
      </c>
      <c r="D57" s="5" t="inlineStr">
        <is>
          <t>Carpenteria metallica</t>
        </is>
      </c>
      <c r="E57" s="12" t="inlineStr">
        <is>
          <t>pz</t>
        </is>
      </c>
      <c r="F57" s="10">
        <f>IFERROR(VLOOKUP($B57,'SCHEDA STRUTTURA'!$A$13:$E$413,5,FALSE),"")</f>
        <v/>
      </c>
      <c r="G57" s="6" t="n"/>
      <c r="H57" s="5" t="inlineStr">
        <is>
          <t>PILASTRO CUSCINETTO</t>
        </is>
      </c>
      <c r="I57" s="12" t="n">
        <v>1</v>
      </c>
    </row>
    <row r="58">
      <c r="A58" s="12" t="n">
        <v>54</v>
      </c>
      <c r="B58" s="5" t="inlineStr">
        <is>
          <t>TTS.PC.001.IPE140.37</t>
        </is>
      </c>
      <c r="C58" s="5" t="inlineStr">
        <is>
          <t>Pilastro cuscinetto trave IPE 140 mt.3,70</t>
        </is>
      </c>
      <c r="D58" s="5" t="inlineStr">
        <is>
          <t>Carpenteria metallica</t>
        </is>
      </c>
      <c r="E58" s="12" t="inlineStr">
        <is>
          <t>pz</t>
        </is>
      </c>
      <c r="F58" s="10">
        <f>IFERROR(VLOOKUP($B58,'SCHEDA STRUTTURA'!$A$13:$E$413,5,FALSE),"")</f>
        <v/>
      </c>
      <c r="G58" s="6" t="n"/>
      <c r="H58" s="5" t="inlineStr">
        <is>
          <t>PILASTRO CUSCINETTO</t>
        </is>
      </c>
      <c r="I58" s="12" t="n">
        <v>1</v>
      </c>
    </row>
    <row r="59">
      <c r="A59" s="12" t="n">
        <v>55</v>
      </c>
      <c r="B59" s="5" t="inlineStr">
        <is>
          <t>TTS.PC.001.IPEA140.37</t>
        </is>
      </c>
      <c r="C59" s="5" t="inlineStr">
        <is>
          <t>Pilastro cuscinetto trave IPEA 140 mt.3,70 (alleggerita)</t>
        </is>
      </c>
      <c r="D59" s="5" t="inlineStr">
        <is>
          <t>Carpenteria metallica</t>
        </is>
      </c>
      <c r="E59" s="12" t="inlineStr">
        <is>
          <t>pz</t>
        </is>
      </c>
      <c r="F59" s="10">
        <f>IFERROR(VLOOKUP($B59,'SCHEDA STRUTTURA'!$A$13:$E$413,5,FALSE),"")</f>
        <v/>
      </c>
      <c r="G59" s="6" t="n"/>
      <c r="H59" s="5" t="inlineStr">
        <is>
          <t>PILASTRO CUSCINETTO</t>
        </is>
      </c>
      <c r="I59" s="12" t="n">
        <v>1</v>
      </c>
    </row>
    <row r="60">
      <c r="A60" s="12" t="n">
        <v>56</v>
      </c>
      <c r="B60" s="5" t="inlineStr">
        <is>
          <t>TTS.PC.001.IPE140.38</t>
        </is>
      </c>
      <c r="C60" s="5" t="inlineStr">
        <is>
          <t>Pilastro cuscinetto trave IPE 140 mt.3,80</t>
        </is>
      </c>
      <c r="D60" s="5" t="inlineStr">
        <is>
          <t>Carpenteria metallica</t>
        </is>
      </c>
      <c r="E60" s="12" t="inlineStr">
        <is>
          <t>pz</t>
        </is>
      </c>
      <c r="F60" s="10">
        <f>IFERROR(VLOOKUP($B60,'SCHEDA STRUTTURA'!$A$13:$E$413,5,FALSE),"")</f>
        <v/>
      </c>
      <c r="G60" s="6" t="n"/>
      <c r="H60" s="5" t="inlineStr">
        <is>
          <t>PILASTRO CUSCINETTO</t>
        </is>
      </c>
      <c r="I60" s="12" t="n">
        <v>1</v>
      </c>
    </row>
    <row r="61">
      <c r="A61" s="12" t="n">
        <v>57</v>
      </c>
      <c r="B61" s="5" t="inlineStr">
        <is>
          <t>TTS.PC.001.IPEA140.38</t>
        </is>
      </c>
      <c r="C61" s="5" t="inlineStr">
        <is>
          <t>Pilastro cuscinetto trave IPEA 140 mt.3,80 (alleggerita)</t>
        </is>
      </c>
      <c r="D61" s="5" t="inlineStr">
        <is>
          <t>Carpenteria metallica</t>
        </is>
      </c>
      <c r="E61" s="12" t="inlineStr">
        <is>
          <t>pz</t>
        </is>
      </c>
      <c r="F61" s="10">
        <f>IFERROR(VLOOKUP($B61,'SCHEDA STRUTTURA'!$A$13:$E$413,5,FALSE),"")</f>
        <v/>
      </c>
      <c r="G61" s="6" t="n"/>
      <c r="H61" s="5" t="inlineStr">
        <is>
          <t>PILASTRO CUSCINETTO</t>
        </is>
      </c>
      <c r="I61" s="12" t="n">
        <v>1</v>
      </c>
    </row>
    <row r="62">
      <c r="A62" s="12" t="n">
        <v>58</v>
      </c>
      <c r="B62" s="5" t="inlineStr">
        <is>
          <t>TTS.PC.001.IPE140.39</t>
        </is>
      </c>
      <c r="C62" s="5" t="inlineStr">
        <is>
          <t>Pilastro cuscinetto trave IPE 140 mt.3,90</t>
        </is>
      </c>
      <c r="D62" s="5" t="inlineStr">
        <is>
          <t>Carpenteria metallica</t>
        </is>
      </c>
      <c r="E62" s="12" t="inlineStr">
        <is>
          <t>pz</t>
        </is>
      </c>
      <c r="F62" s="10">
        <f>IFERROR(VLOOKUP($B62,'SCHEDA STRUTTURA'!$A$13:$E$413,5,FALSE),"")</f>
        <v/>
      </c>
      <c r="G62" s="6" t="n"/>
      <c r="H62" s="5" t="inlineStr">
        <is>
          <t>PILASTRO CUSCINETTO</t>
        </is>
      </c>
      <c r="I62" s="12" t="n">
        <v>1</v>
      </c>
    </row>
    <row r="63">
      <c r="A63" s="12" t="n">
        <v>59</v>
      </c>
      <c r="B63" s="5" t="inlineStr">
        <is>
          <t>TTS.PC.001.IPEA140.39</t>
        </is>
      </c>
      <c r="C63" s="5" t="inlineStr">
        <is>
          <t>Pilastro cuscinetto trave IPEA 140 mt.3,90 (alleggerita)</t>
        </is>
      </c>
      <c r="D63" s="5" t="inlineStr">
        <is>
          <t>Carpenteria metallica</t>
        </is>
      </c>
      <c r="E63" s="12" t="inlineStr">
        <is>
          <t>pz</t>
        </is>
      </c>
      <c r="F63" s="10">
        <f>IFERROR(VLOOKUP($B63,'SCHEDA STRUTTURA'!$A$13:$E$413,5,FALSE),"")</f>
        <v/>
      </c>
      <c r="G63" s="6" t="n"/>
      <c r="H63" s="5" t="inlineStr">
        <is>
          <t>PILASTRO CUSCINETTO</t>
        </is>
      </c>
      <c r="I63" s="12" t="n">
        <v>1</v>
      </c>
    </row>
    <row r="64">
      <c r="A64" s="12" t="n">
        <v>60</v>
      </c>
      <c r="B64" s="5" t="inlineStr">
        <is>
          <t>TTS.PC.001.IPE140.40</t>
        </is>
      </c>
      <c r="C64" s="5" t="inlineStr">
        <is>
          <t>Pilastro cuscinetto trave IPE 140 mt.4,00</t>
        </is>
      </c>
      <c r="D64" s="5" t="inlineStr">
        <is>
          <t>Carpenteria metallica</t>
        </is>
      </c>
      <c r="E64" s="12" t="inlineStr">
        <is>
          <t>pz</t>
        </is>
      </c>
      <c r="F64" s="10">
        <f>IFERROR(VLOOKUP($B64,'SCHEDA STRUTTURA'!$A$13:$E$413,5,FALSE),"")</f>
        <v/>
      </c>
      <c r="G64" s="6" t="n"/>
      <c r="H64" s="5" t="inlineStr">
        <is>
          <t>PILASTRO CUSCINETTO</t>
        </is>
      </c>
      <c r="I64" s="12" t="n">
        <v>1</v>
      </c>
    </row>
    <row r="65">
      <c r="A65" s="12" t="n">
        <v>61</v>
      </c>
      <c r="B65" s="5" t="inlineStr">
        <is>
          <t>TTS.PC.001.IPEA140.40</t>
        </is>
      </c>
      <c r="C65" s="5" t="inlineStr">
        <is>
          <t>Pilastro cuscinetto trave IPEA 140 mt.4,00 (alleggerita)</t>
        </is>
      </c>
      <c r="D65" s="5" t="inlineStr">
        <is>
          <t>Carpenteria metallica</t>
        </is>
      </c>
      <c r="E65" s="12" t="inlineStr">
        <is>
          <t>pz</t>
        </is>
      </c>
      <c r="F65" s="10">
        <f>IFERROR(VLOOKUP($B65,'SCHEDA STRUTTURA'!$A$13:$E$413,5,FALSE),"")</f>
        <v/>
      </c>
      <c r="G65" s="6" t="n"/>
      <c r="H65" s="5" t="inlineStr">
        <is>
          <t>PILASTRO CUSCINETTO</t>
        </is>
      </c>
      <c r="I65" s="12" t="n">
        <v>1</v>
      </c>
    </row>
    <row r="66">
      <c r="A66" s="12" t="n">
        <v>62</v>
      </c>
      <c r="B66" s="5" t="inlineStr">
        <is>
          <t>TTS.PC.001.IPE140.41</t>
        </is>
      </c>
      <c r="C66" s="5" t="inlineStr">
        <is>
          <t>Pilastro cuscinetto trave IPE 140 mt.4,10</t>
        </is>
      </c>
      <c r="D66" s="5" t="inlineStr">
        <is>
          <t>Carpenteria metallica</t>
        </is>
      </c>
      <c r="E66" s="12" t="inlineStr">
        <is>
          <t>pz</t>
        </is>
      </c>
      <c r="F66" s="10">
        <f>IFERROR(VLOOKUP($B66,'SCHEDA STRUTTURA'!$A$13:$E$413,5,FALSE),"")</f>
        <v/>
      </c>
      <c r="G66" s="6" t="n"/>
      <c r="H66" s="5" t="inlineStr">
        <is>
          <t>PILASTRO CUSCINETTO</t>
        </is>
      </c>
      <c r="I66" s="12" t="n">
        <v>1</v>
      </c>
    </row>
    <row r="67">
      <c r="A67" s="12" t="n">
        <v>63</v>
      </c>
      <c r="B67" s="5" t="inlineStr">
        <is>
          <t>TTS.PC.001.IPEA140.41</t>
        </is>
      </c>
      <c r="C67" s="5" t="inlineStr">
        <is>
          <t>Pilastro cuscinetto trave IPEA 140 mt.4,10 (alleggerita)</t>
        </is>
      </c>
      <c r="D67" s="5" t="inlineStr">
        <is>
          <t>Carpenteria metallica</t>
        </is>
      </c>
      <c r="E67" s="12" t="inlineStr">
        <is>
          <t>pz</t>
        </is>
      </c>
      <c r="F67" s="10">
        <f>IFERROR(VLOOKUP($B67,'SCHEDA STRUTTURA'!$A$13:$E$413,5,FALSE),"")</f>
        <v/>
      </c>
      <c r="G67" s="6" t="n"/>
      <c r="H67" s="5" t="inlineStr">
        <is>
          <t>PILASTRO CUSCINETTO</t>
        </is>
      </c>
      <c r="I67" s="12" t="n">
        <v>1</v>
      </c>
    </row>
    <row r="68">
      <c r="A68" s="12" t="n">
        <v>64</v>
      </c>
      <c r="B68" s="5" t="inlineStr">
        <is>
          <t>TTS.PC.001.IPE140.42</t>
        </is>
      </c>
      <c r="C68" s="5" t="inlineStr">
        <is>
          <t>Pilastro cuscinetto trave IPE 140 mt.4,20</t>
        </is>
      </c>
      <c r="D68" s="5" t="inlineStr">
        <is>
          <t>Carpenteria metallica</t>
        </is>
      </c>
      <c r="E68" s="12" t="inlineStr">
        <is>
          <t>pz</t>
        </is>
      </c>
      <c r="F68" s="10">
        <f>IFERROR(VLOOKUP($B68,'SCHEDA STRUTTURA'!$A$13:$E$413,5,FALSE),"")</f>
        <v/>
      </c>
      <c r="G68" s="6" t="n"/>
      <c r="H68" s="5" t="inlineStr">
        <is>
          <t>PILASTRO CUSCINETTO</t>
        </is>
      </c>
      <c r="I68" s="12" t="n">
        <v>1</v>
      </c>
    </row>
    <row r="69">
      <c r="A69" s="12" t="n">
        <v>65</v>
      </c>
      <c r="B69" s="5" t="inlineStr">
        <is>
          <t>TTS.PC.001.IPEA140.42</t>
        </is>
      </c>
      <c r="C69" s="5" t="inlineStr">
        <is>
          <t>Pilastro cuscinetto trave IPEA 140 mt.4,20 (alleggerita)</t>
        </is>
      </c>
      <c r="D69" s="5" t="inlineStr">
        <is>
          <t>Carpenteria metallica</t>
        </is>
      </c>
      <c r="E69" s="12" t="inlineStr">
        <is>
          <t>pz</t>
        </is>
      </c>
      <c r="F69" s="10">
        <f>IFERROR(VLOOKUP($B69,'SCHEDA STRUTTURA'!$A$13:$E$413,5,FALSE),"")</f>
        <v/>
      </c>
      <c r="G69" s="6" t="n"/>
      <c r="H69" s="5" t="inlineStr">
        <is>
          <t>PILASTRO CUSCINETTO</t>
        </is>
      </c>
      <c r="I69" s="12" t="n">
        <v>1</v>
      </c>
    </row>
    <row r="70">
      <c r="A70" s="12" t="n">
        <v>66</v>
      </c>
      <c r="B70" s="5" t="inlineStr">
        <is>
          <t>TTS.PC.001.IPE140.43</t>
        </is>
      </c>
      <c r="C70" s="5" t="inlineStr">
        <is>
          <t>Pilastro cuscinetto trave IPE 140 mt.4,30</t>
        </is>
      </c>
      <c r="D70" s="5" t="inlineStr">
        <is>
          <t>Carpenteria metallica</t>
        </is>
      </c>
      <c r="E70" s="12" t="inlineStr">
        <is>
          <t>pz</t>
        </is>
      </c>
      <c r="F70" s="10">
        <f>IFERROR(VLOOKUP($B70,'SCHEDA STRUTTURA'!$A$13:$E$413,5,FALSE),"")</f>
        <v/>
      </c>
      <c r="G70" s="6" t="n"/>
      <c r="H70" s="5" t="inlineStr">
        <is>
          <t>PILASTRO CUSCINETTO</t>
        </is>
      </c>
      <c r="I70" s="12" t="n">
        <v>1</v>
      </c>
    </row>
    <row r="71">
      <c r="A71" s="12" t="n">
        <v>67</v>
      </c>
      <c r="B71" s="5" t="inlineStr">
        <is>
          <t>TTS.PC.001.IPEA140.43</t>
        </is>
      </c>
      <c r="C71" s="5" t="inlineStr">
        <is>
          <t>Pilastro cuscinetto trave IPEA 140 mt.4,30 (alleggerita)</t>
        </is>
      </c>
      <c r="D71" s="5" t="inlineStr">
        <is>
          <t>Carpenteria metallica</t>
        </is>
      </c>
      <c r="E71" s="12" t="inlineStr">
        <is>
          <t>pz</t>
        </is>
      </c>
      <c r="F71" s="10">
        <f>IFERROR(VLOOKUP($B71,'SCHEDA STRUTTURA'!$A$13:$E$413,5,FALSE),"")</f>
        <v/>
      </c>
      <c r="G71" s="6" t="n"/>
      <c r="H71" s="5" t="inlineStr">
        <is>
          <t>PILASTRO CUSCINETTO</t>
        </is>
      </c>
      <c r="I71" s="12" t="n">
        <v>1</v>
      </c>
    </row>
    <row r="72">
      <c r="A72" s="12" t="n">
        <v>68</v>
      </c>
      <c r="B72" s="5" t="inlineStr">
        <is>
          <t>TTS.PC.001.IPE140.44</t>
        </is>
      </c>
      <c r="C72" s="5" t="inlineStr">
        <is>
          <t>Pilastro cuscinetto trave IPE 140 mt.4,40</t>
        </is>
      </c>
      <c r="D72" s="5" t="inlineStr">
        <is>
          <t>Carpenteria metallica</t>
        </is>
      </c>
      <c r="E72" s="12" t="inlineStr">
        <is>
          <t>pz</t>
        </is>
      </c>
      <c r="F72" s="10">
        <f>IFERROR(VLOOKUP($B72,'SCHEDA STRUTTURA'!$A$13:$E$413,5,FALSE),"")</f>
        <v/>
      </c>
      <c r="G72" s="6" t="n"/>
      <c r="H72" s="5" t="inlineStr">
        <is>
          <t>PILASTRO CUSCINETTO</t>
        </is>
      </c>
      <c r="I72" s="12" t="n">
        <v>1</v>
      </c>
    </row>
    <row r="73">
      <c r="A73" s="12" t="n">
        <v>69</v>
      </c>
      <c r="B73" s="5" t="inlineStr">
        <is>
          <t>TTS.PC.001.IPEA140.44</t>
        </is>
      </c>
      <c r="C73" s="5" t="inlineStr">
        <is>
          <t>Pilastro cuscinetto trave IPEA 140 mt.4,40 (alleggerita)</t>
        </is>
      </c>
      <c r="D73" s="5" t="inlineStr">
        <is>
          <t>Carpenteria metallica</t>
        </is>
      </c>
      <c r="E73" s="12" t="inlineStr">
        <is>
          <t>pz</t>
        </is>
      </c>
      <c r="F73" s="10">
        <f>IFERROR(VLOOKUP($B73,'SCHEDA STRUTTURA'!$A$13:$E$413,5,FALSE),"")</f>
        <v/>
      </c>
      <c r="G73" s="6" t="n"/>
      <c r="H73" s="5" t="inlineStr">
        <is>
          <t>PILASTRO CUSCINETTO</t>
        </is>
      </c>
      <c r="I73" s="12" t="n">
        <v>1</v>
      </c>
    </row>
    <row r="74">
      <c r="A74" s="12" t="n">
        <v>70</v>
      </c>
      <c r="B74" s="5" t="inlineStr">
        <is>
          <t>TTS.PC.001.IPE140.45</t>
        </is>
      </c>
      <c r="C74" s="5" t="inlineStr">
        <is>
          <t>Pilastro cuscinetto trave IPE 140 mt.4,50</t>
        </is>
      </c>
      <c r="D74" s="5" t="inlineStr">
        <is>
          <t>Carpenteria metallica</t>
        </is>
      </c>
      <c r="E74" s="12" t="inlineStr">
        <is>
          <t>pz</t>
        </is>
      </c>
      <c r="F74" s="10">
        <f>IFERROR(VLOOKUP($B74,'SCHEDA STRUTTURA'!$A$13:$E$413,5,FALSE),"")</f>
        <v/>
      </c>
      <c r="G74" s="6" t="n"/>
      <c r="H74" s="5" t="inlineStr">
        <is>
          <t>PILASTRO CUSCINETTO</t>
        </is>
      </c>
      <c r="I74" s="12" t="n">
        <v>1</v>
      </c>
    </row>
    <row r="75">
      <c r="A75" s="12" t="n">
        <v>71</v>
      </c>
      <c r="B75" s="5" t="inlineStr">
        <is>
          <t>TTS.PC.001.IPEA140.45</t>
        </is>
      </c>
      <c r="C75" s="5" t="inlineStr">
        <is>
          <t>Pilastro cuscinetto trave IPEA 140 mt.4,50 (alleggerita)</t>
        </is>
      </c>
      <c r="D75" s="5" t="inlineStr">
        <is>
          <t>Carpenteria metallica</t>
        </is>
      </c>
      <c r="E75" s="12" t="inlineStr">
        <is>
          <t>pz</t>
        </is>
      </c>
      <c r="F75" s="10">
        <f>IFERROR(VLOOKUP($B75,'SCHEDA STRUTTURA'!$A$13:$E$413,5,FALSE),"")</f>
        <v/>
      </c>
      <c r="G75" s="6" t="n"/>
      <c r="H75" s="5" t="inlineStr">
        <is>
          <t>PILASTRO CUSCINETTO</t>
        </is>
      </c>
      <c r="I75" s="12" t="n">
        <v>1</v>
      </c>
    </row>
    <row r="76">
      <c r="A76" s="12" t="n">
        <v>72</v>
      </c>
      <c r="B76" s="5" t="inlineStr">
        <is>
          <t>TTS.PC.001.IPE140.23.FI</t>
        </is>
      </c>
      <c r="C76" s="5" t="inlineStr">
        <is>
          <t>Pilastro cuscinetto trave ipe140 x mt. 2,30 con foratura alloggiamento inverter</t>
        </is>
      </c>
      <c r="D76" s="5" t="inlineStr">
        <is>
          <t>Carpenteria metallica</t>
        </is>
      </c>
      <c r="E76" s="12" t="inlineStr">
        <is>
          <t>pz</t>
        </is>
      </c>
      <c r="F76" s="10">
        <f>IFERROR(VLOOKUP($B76,'SCHEDA STRUTTURA'!$A$13:$E$413,5,FALSE),"")</f>
        <v/>
      </c>
      <c r="G76" s="6" t="n"/>
      <c r="H76" s="5" t="inlineStr">
        <is>
          <t>kit quadri inverter</t>
        </is>
      </c>
      <c r="I76" s="12" t="n">
        <v>1</v>
      </c>
    </row>
    <row r="77">
      <c r="A77" s="12" t="n">
        <v>73</v>
      </c>
      <c r="B77" s="5" t="inlineStr">
        <is>
          <t>TTS.PC.001.IPEA140.23.FI</t>
        </is>
      </c>
      <c r="C77" s="5" t="inlineStr">
        <is>
          <t>Pilastro cuscinetto trave ipea140 x mt. 2,30 con foratura alloggiamento inverter (alleggerita)</t>
        </is>
      </c>
      <c r="D77" s="5" t="inlineStr">
        <is>
          <t>Carpenteria metallica</t>
        </is>
      </c>
      <c r="E77" s="12" t="inlineStr">
        <is>
          <t>pz</t>
        </is>
      </c>
      <c r="F77" s="10">
        <f>IFERROR(VLOOKUP($B77,'SCHEDA STRUTTURA'!$A$13:$E$413,5,FALSE),"")</f>
        <v/>
      </c>
      <c r="G77" s="6" t="n"/>
      <c r="H77" s="5" t="inlineStr">
        <is>
          <t>kit quadri inverter</t>
        </is>
      </c>
      <c r="I77" s="12" t="n">
        <v>1</v>
      </c>
    </row>
    <row r="78">
      <c r="A78" s="12" t="n">
        <v>74</v>
      </c>
      <c r="B78" s="5" t="inlineStr">
        <is>
          <t>TTS.PC.001.IPE140.23.FQA</t>
        </is>
      </c>
      <c r="C78" s="5" t="inlineStr">
        <is>
          <t>Pilastro cuscinetto trave ipe140 x mt. 2,30 con foratura alloggiamento quadro area</t>
        </is>
      </c>
      <c r="D78" s="5" t="inlineStr">
        <is>
          <t>Carpenteria metallica</t>
        </is>
      </c>
      <c r="E78" s="12" t="inlineStr">
        <is>
          <t>pz</t>
        </is>
      </c>
      <c r="F78" s="10">
        <f>IFERROR(VLOOKUP($B78,'SCHEDA STRUTTURA'!$A$13:$E$413,5,FALSE),"")</f>
        <v/>
      </c>
      <c r="G78" s="6" t="n"/>
      <c r="H78" s="5" t="inlineStr">
        <is>
          <t>kit quadri area</t>
        </is>
      </c>
      <c r="I78" s="12" t="n">
        <v>1</v>
      </c>
    </row>
    <row r="79">
      <c r="A79" s="12" t="n">
        <v>75</v>
      </c>
      <c r="B79" s="5" t="inlineStr">
        <is>
          <t>TTS.PC.001.IPEA140.23.FQA</t>
        </is>
      </c>
      <c r="C79" s="5" t="inlineStr">
        <is>
          <t>Pilastro cuscinetto trave ipea140 x mt. 2,30 con foratura alloggiamento quadro area (alleggerita)</t>
        </is>
      </c>
      <c r="D79" s="5" t="inlineStr">
        <is>
          <t>Carpenteria metallica</t>
        </is>
      </c>
      <c r="E79" s="12" t="inlineStr">
        <is>
          <t>pz</t>
        </is>
      </c>
      <c r="F79" s="10">
        <f>IFERROR(VLOOKUP($B79,'SCHEDA STRUTTURA'!$A$13:$E$413,5,FALSE),"")</f>
        <v/>
      </c>
      <c r="G79" s="6" t="n"/>
      <c r="H79" s="5" t="inlineStr">
        <is>
          <t>kit quadri area</t>
        </is>
      </c>
      <c r="I79" s="12" t="n">
        <v>1</v>
      </c>
    </row>
    <row r="80">
      <c r="A80" s="12" t="n">
        <v>76</v>
      </c>
      <c r="B80" s="5" t="inlineStr">
        <is>
          <t>TTS.PC.002</t>
        </is>
      </c>
      <c r="C80" s="5" t="inlineStr">
        <is>
          <t>Supporto laterale pilastro cuscinetto</t>
        </is>
      </c>
      <c r="D80" s="5" t="inlineStr">
        <is>
          <t>Carpenteria metallica</t>
        </is>
      </c>
      <c r="E80" s="12" t="inlineStr">
        <is>
          <t>pz</t>
        </is>
      </c>
      <c r="F80" s="10" t="n"/>
      <c r="G80" s="6" t="n"/>
      <c r="H80" s="5" t="inlineStr">
        <is>
          <t>PILASTRO CUSCINETTO</t>
        </is>
      </c>
      <c r="I80" s="12" t="n">
        <v>1</v>
      </c>
    </row>
    <row r="81">
      <c r="A81" s="12" t="n">
        <v>77</v>
      </c>
      <c r="B81" s="5" t="inlineStr">
        <is>
          <t>TTS.PC.002.IPE140</t>
        </is>
      </c>
      <c r="C81" s="5" t="inlineStr">
        <is>
          <t>Supporto laterale testa cuscinetto</t>
        </is>
      </c>
      <c r="D81" s="5" t="inlineStr">
        <is>
          <t>Carpenteria metallica</t>
        </is>
      </c>
      <c r="E81" s="12" t="inlineStr">
        <is>
          <t>pz</t>
        </is>
      </c>
      <c r="F81" s="10" t="n"/>
      <c r="G81" s="6" t="n"/>
      <c r="H81" s="5" t="inlineStr">
        <is>
          <t>PILASTRO CUSCINETTO</t>
        </is>
      </c>
      <c r="I81" s="12" t="n">
        <v>1</v>
      </c>
    </row>
    <row r="82">
      <c r="A82" s="12" t="n">
        <v>78</v>
      </c>
      <c r="B82" s="5" t="inlineStr">
        <is>
          <t>TTS.PC.002.IPEA140</t>
        </is>
      </c>
      <c r="C82" s="5" t="inlineStr">
        <is>
          <t>Supporto laterale testa cuscinetto (alleggerita)</t>
        </is>
      </c>
      <c r="D82" s="5" t="inlineStr">
        <is>
          <t>Carpenteria metallica</t>
        </is>
      </c>
      <c r="E82" s="12" t="inlineStr">
        <is>
          <t>pz</t>
        </is>
      </c>
      <c r="F82" s="10" t="n"/>
      <c r="G82" s="6" t="n"/>
      <c r="H82" s="5" t="inlineStr">
        <is>
          <t>PILASTRO CUSCINETTO</t>
        </is>
      </c>
      <c r="I82" s="12" t="n">
        <v>1</v>
      </c>
    </row>
    <row r="83">
      <c r="A83" s="12" t="n">
        <v>79</v>
      </c>
      <c r="B83" s="5" t="inlineStr">
        <is>
          <t>TTS.PC.003.IPE140</t>
        </is>
      </c>
      <c r="C83" s="5" t="inlineStr">
        <is>
          <t>Supporto testa cuscinetto</t>
        </is>
      </c>
      <c r="D83" s="5" t="inlineStr">
        <is>
          <t>Carpenteria metallica</t>
        </is>
      </c>
      <c r="E83" s="12" t="inlineStr">
        <is>
          <t>pz</t>
        </is>
      </c>
      <c r="F83" s="10" t="n"/>
      <c r="G83" s="6" t="n"/>
      <c r="H83" s="5" t="inlineStr">
        <is>
          <t>PILASTRO CUSCINETTO</t>
        </is>
      </c>
      <c r="I83" s="12" t="n">
        <v>1</v>
      </c>
    </row>
    <row r="84">
      <c r="A84" s="12" t="n">
        <v>80</v>
      </c>
      <c r="B84" s="5" t="inlineStr">
        <is>
          <t>TTS.PC.003.IPEA140</t>
        </is>
      </c>
      <c r="C84" s="5" t="inlineStr">
        <is>
          <t>Supporto testa cuscinetto (alleggerita)</t>
        </is>
      </c>
      <c r="D84" s="5" t="inlineStr">
        <is>
          <t>Carpenteria metallica</t>
        </is>
      </c>
      <c r="E84" s="12" t="inlineStr">
        <is>
          <t>pz</t>
        </is>
      </c>
      <c r="F84" s="10" t="n"/>
      <c r="G84" s="6" t="n"/>
      <c r="H84" s="5" t="inlineStr">
        <is>
          <t>PILASTRO CUSCINETTO</t>
        </is>
      </c>
      <c r="I84" s="12" t="n">
        <v>1</v>
      </c>
    </row>
    <row r="85">
      <c r="A85" s="12" t="n">
        <v>81</v>
      </c>
      <c r="B85" s="5" t="inlineStr">
        <is>
          <t>TTS.PC.2011.1076</t>
        </is>
      </c>
      <c r="C85" s="5" t="inlineStr">
        <is>
          <t>Angolare 40x40x4 lungo 1076 mm. supporto inferiore</t>
        </is>
      </c>
      <c r="D85" s="5" t="inlineStr">
        <is>
          <t>Carpenteria metallica</t>
        </is>
      </c>
      <c r="E85" s="12" t="inlineStr">
        <is>
          <t>pz</t>
        </is>
      </c>
      <c r="F85" s="10" t="n"/>
      <c r="G85" s="6" t="n"/>
      <c r="H85" s="5" t="inlineStr">
        <is>
          <t>kit quadri inverter</t>
        </is>
      </c>
      <c r="I85" s="12" t="n">
        <v>1</v>
      </c>
    </row>
    <row r="86">
      <c r="A86" s="12" t="n">
        <v>82</v>
      </c>
      <c r="B86" s="5" t="inlineStr">
        <is>
          <t>TTS.PC.2012.1076</t>
        </is>
      </c>
      <c r="C86" s="5" t="inlineStr">
        <is>
          <t>Angolare 40x40x4 lungo1076 mm. supporto superiore</t>
        </is>
      </c>
      <c r="D86" s="5" t="inlineStr">
        <is>
          <t>Carpenteria metallica</t>
        </is>
      </c>
      <c r="E86" s="12" t="inlineStr">
        <is>
          <t>pz</t>
        </is>
      </c>
      <c r="F86" s="10" t="n"/>
      <c r="G86" s="6" t="n"/>
      <c r="H86" s="5" t="inlineStr">
        <is>
          <t>kit quadri inverter</t>
        </is>
      </c>
      <c r="I86" s="12" t="n">
        <v>1</v>
      </c>
    </row>
    <row r="87">
      <c r="A87" s="12" t="n">
        <v>83</v>
      </c>
      <c r="B87" s="5" t="inlineStr">
        <is>
          <t>TTS.PC.2013</t>
        </is>
      </c>
      <c r="C87" s="5" t="inlineStr">
        <is>
          <t>Palo MAX lungo mt.2,040</t>
        </is>
      </c>
      <c r="D87" s="5" t="inlineStr">
        <is>
          <t>Carpenteria metallica</t>
        </is>
      </c>
      <c r="E87" s="12" t="inlineStr">
        <is>
          <t>pz</t>
        </is>
      </c>
      <c r="F87" s="10" t="n"/>
      <c r="G87" s="6" t="n"/>
      <c r="H87" s="5" t="inlineStr">
        <is>
          <t>kit quadri inverter</t>
        </is>
      </c>
      <c r="I87" s="12" t="n">
        <v>1</v>
      </c>
    </row>
    <row r="88">
      <c r="A88" s="12" t="n">
        <v>84</v>
      </c>
      <c r="B88" s="5" t="inlineStr">
        <is>
          <t>TTS.PC.3011</t>
        </is>
      </c>
      <c r="C88" s="5" t="inlineStr">
        <is>
          <t>Angolare 40x40x4 lungo 869 mm. superiore</t>
        </is>
      </c>
      <c r="D88" s="5" t="inlineStr">
        <is>
          <t>Carpenteria metallica</t>
        </is>
      </c>
      <c r="E88" s="12" t="inlineStr">
        <is>
          <t>pz</t>
        </is>
      </c>
      <c r="F88" s="10" t="n"/>
      <c r="G88" s="6" t="n"/>
      <c r="H88" s="5" t="inlineStr">
        <is>
          <t>kit quadri area</t>
        </is>
      </c>
      <c r="I88" s="12" t="n">
        <v>1</v>
      </c>
    </row>
    <row r="89">
      <c r="A89" s="12" t="n">
        <v>85</v>
      </c>
      <c r="B89" s="5" t="inlineStr">
        <is>
          <t>TTS.PC.3012</t>
        </is>
      </c>
      <c r="C89" s="5" t="inlineStr">
        <is>
          <t>Angolare 40x40x4 lungo 869 mm. inferiore</t>
        </is>
      </c>
      <c r="D89" s="5" t="inlineStr">
        <is>
          <t>Carpenteria metallica</t>
        </is>
      </c>
      <c r="E89" s="12" t="inlineStr">
        <is>
          <t>pz</t>
        </is>
      </c>
      <c r="F89" s="10" t="n"/>
      <c r="G89" s="6" t="n"/>
      <c r="H89" s="5" t="inlineStr">
        <is>
          <t>kit quadri area</t>
        </is>
      </c>
      <c r="I89" s="12" t="n">
        <v>1</v>
      </c>
    </row>
    <row r="90">
      <c r="A90" s="12" t="n">
        <v>86</v>
      </c>
      <c r="B90" s="5" t="inlineStr">
        <is>
          <t>TTS.PC.3013</t>
        </is>
      </c>
      <c r="C90" s="5" t="inlineStr">
        <is>
          <t>Palo MAX lungo mt.2,150</t>
        </is>
      </c>
      <c r="D90" s="5" t="inlineStr">
        <is>
          <t>Carpenteria metallica</t>
        </is>
      </c>
      <c r="E90" s="12" t="inlineStr">
        <is>
          <t>pz</t>
        </is>
      </c>
      <c r="F90" s="10" t="n"/>
      <c r="G90" s="6" t="n"/>
      <c r="H90" s="5" t="inlineStr">
        <is>
          <t>kit quadri area</t>
        </is>
      </c>
      <c r="I90" s="12" t="n">
        <v>1</v>
      </c>
    </row>
    <row r="91">
      <c r="A91" s="12" t="n">
        <v>87</v>
      </c>
      <c r="B91" s="5" t="inlineStr">
        <is>
          <t>TTS.PF.001.IPE140.30</t>
        </is>
      </c>
      <c r="C91" s="5" t="inlineStr">
        <is>
          <t>Pilastro fondazione trave IPE140 mt.3,00</t>
        </is>
      </c>
      <c r="D91" s="5" t="inlineStr">
        <is>
          <t>Carpenteria metallica</t>
        </is>
      </c>
      <c r="E91" s="12" t="inlineStr">
        <is>
          <t>pz</t>
        </is>
      </c>
      <c r="F91" s="10">
        <f>IFERROR(VLOOKUP($B91,'SCHEDA STRUTTURA'!$A$13:$E$413,5,FALSE),"")</f>
        <v/>
      </c>
      <c r="G91" s="6" t="n"/>
      <c r="H91" s="5" t="inlineStr">
        <is>
          <t>PILASTRO MOTORE, PILASTRO CUSCINETTO</t>
        </is>
      </c>
      <c r="I91" s="12" t="n">
        <v>2</v>
      </c>
    </row>
    <row r="92">
      <c r="A92" s="12" t="n">
        <v>88</v>
      </c>
      <c r="B92" s="5" t="inlineStr">
        <is>
          <t>TTS.PF.001.IPEA140.30</t>
        </is>
      </c>
      <c r="C92" s="5" t="inlineStr">
        <is>
          <t>Pilastro fondazione trave IPEA140 mt.3,00 (alleggerita)</t>
        </is>
      </c>
      <c r="D92" s="5" t="inlineStr">
        <is>
          <t>Carpenteria metallica</t>
        </is>
      </c>
      <c r="E92" s="12" t="inlineStr">
        <is>
          <t>pz</t>
        </is>
      </c>
      <c r="F92" s="10">
        <f>IFERROR(VLOOKUP($B92,'SCHEDA STRUTTURA'!$A$13:$E$413,5,FALSE),"")</f>
        <v/>
      </c>
      <c r="G92" s="6" t="n"/>
      <c r="H92" s="5" t="inlineStr">
        <is>
          <t>PILASTRO MOTORE</t>
        </is>
      </c>
      <c r="I92" s="12" t="n">
        <v>1</v>
      </c>
    </row>
    <row r="93">
      <c r="A93" s="12" t="n">
        <v>89</v>
      </c>
      <c r="B93" s="5" t="inlineStr">
        <is>
          <t>TTS.PF.001.IPE140.26</t>
        </is>
      </c>
      <c r="C93" s="5" t="inlineStr">
        <is>
          <t>Pilastro fondazione trave IPE140 mt.2,60</t>
        </is>
      </c>
      <c r="D93" s="5" t="inlineStr">
        <is>
          <t>Carpenteria metallica</t>
        </is>
      </c>
      <c r="E93" s="12" t="inlineStr">
        <is>
          <t>pz</t>
        </is>
      </c>
      <c r="F93" s="10">
        <f>IFERROR(VLOOKUP($B93,'SCHEDA STRUTTURA'!$A$13:$E$413,5,FALSE),"")</f>
        <v/>
      </c>
      <c r="G93" s="6" t="n"/>
      <c r="H93" s="5" t="inlineStr">
        <is>
          <t>PILASTRO MOTORE</t>
        </is>
      </c>
      <c r="I93" s="12" t="n">
        <v>1</v>
      </c>
    </row>
    <row r="94">
      <c r="A94" s="12" t="n">
        <v>90</v>
      </c>
      <c r="B94" s="5" t="inlineStr">
        <is>
          <t>TTS.PF.001.IPEA140.26</t>
        </is>
      </c>
      <c r="C94" s="5" t="inlineStr">
        <is>
          <t>Pilastro fondazione trave IPEA140 mt.2,60 (alleggerita)</t>
        </is>
      </c>
      <c r="D94" s="5" t="inlineStr">
        <is>
          <t>Carpenteria metallica</t>
        </is>
      </c>
      <c r="E94" s="12" t="inlineStr">
        <is>
          <t>pz</t>
        </is>
      </c>
      <c r="F94" s="10">
        <f>IFERROR(VLOOKUP($B94,'SCHEDA STRUTTURA'!$A$13:$E$413,5,FALSE),"")</f>
        <v/>
      </c>
      <c r="G94" s="6" t="n"/>
      <c r="H94" s="5" t="inlineStr">
        <is>
          <t>PILASTRO MOTORE</t>
        </is>
      </c>
      <c r="I94" s="12" t="n">
        <v>1</v>
      </c>
    </row>
    <row r="95">
      <c r="A95" s="12" t="n">
        <v>91</v>
      </c>
      <c r="B95" s="5" t="inlineStr">
        <is>
          <t>TTS.PF.001.IPE140.27</t>
        </is>
      </c>
      <c r="C95" s="5" t="inlineStr">
        <is>
          <t>Pilastro fondazione trave IPE140 mt.2,70</t>
        </is>
      </c>
      <c r="D95" s="5" t="inlineStr">
        <is>
          <t>Carpenteria metallica</t>
        </is>
      </c>
      <c r="E95" s="12" t="inlineStr">
        <is>
          <t>pz</t>
        </is>
      </c>
      <c r="F95" s="10">
        <f>IFERROR(VLOOKUP($B95,'SCHEDA STRUTTURA'!$A$13:$E$413,5,FALSE),"")</f>
        <v/>
      </c>
      <c r="G95" s="6" t="n"/>
      <c r="H95" s="5" t="inlineStr">
        <is>
          <t>PILASTRO MOTORE</t>
        </is>
      </c>
      <c r="I95" s="12" t="n">
        <v>1</v>
      </c>
    </row>
    <row r="96">
      <c r="A96" s="12" t="n">
        <v>92</v>
      </c>
      <c r="B96" s="5" t="inlineStr">
        <is>
          <t>TTS.PF.001.IPEA140.27</t>
        </is>
      </c>
      <c r="C96" s="5" t="inlineStr">
        <is>
          <t>Pilastro fondazione trave IPEA140 mt.2,70 (alleggerita)</t>
        </is>
      </c>
      <c r="D96" s="5" t="inlineStr">
        <is>
          <t>Carpenteria metallica</t>
        </is>
      </c>
      <c r="E96" s="12" t="inlineStr">
        <is>
          <t>pz</t>
        </is>
      </c>
      <c r="F96" s="10">
        <f>IFERROR(VLOOKUP($B96,'SCHEDA STRUTTURA'!$A$13:$E$413,5,FALSE),"")</f>
        <v/>
      </c>
      <c r="G96" s="6" t="n"/>
      <c r="H96" s="5" t="inlineStr">
        <is>
          <t>PILASTRO MOTORE</t>
        </is>
      </c>
      <c r="I96" s="12" t="n">
        <v>1</v>
      </c>
    </row>
    <row r="97">
      <c r="A97" s="12" t="n">
        <v>93</v>
      </c>
      <c r="B97" s="5" t="inlineStr">
        <is>
          <t>TTS.PF.001.IPE140.28</t>
        </is>
      </c>
      <c r="C97" s="5" t="inlineStr">
        <is>
          <t>Pilastro fondazione trave IPE140 mt.2,80</t>
        </is>
      </c>
      <c r="D97" s="5" t="inlineStr">
        <is>
          <t>Carpenteria metallica</t>
        </is>
      </c>
      <c r="E97" s="12" t="inlineStr">
        <is>
          <t>pz</t>
        </is>
      </c>
      <c r="F97" s="10">
        <f>IFERROR(VLOOKUP($B97,'SCHEDA STRUTTURA'!$A$13:$E$413,5,FALSE),"")</f>
        <v/>
      </c>
      <c r="G97" s="6" t="n"/>
      <c r="H97" s="5" t="inlineStr">
        <is>
          <t>PILASTRO MOTORE</t>
        </is>
      </c>
      <c r="I97" s="12" t="n">
        <v>1</v>
      </c>
    </row>
    <row r="98">
      <c r="A98" s="12" t="n">
        <v>94</v>
      </c>
      <c r="B98" s="5" t="inlineStr">
        <is>
          <t>TTS.PF.001.IPEA140.28</t>
        </is>
      </c>
      <c r="C98" s="5" t="inlineStr">
        <is>
          <t>Pilastro fondazione trave IPEA140 mt.2,80 (alleggerita)</t>
        </is>
      </c>
      <c r="D98" s="5" t="inlineStr">
        <is>
          <t>Carpenteria metallica</t>
        </is>
      </c>
      <c r="E98" s="12" t="inlineStr">
        <is>
          <t>pz</t>
        </is>
      </c>
      <c r="F98" s="10">
        <f>IFERROR(VLOOKUP($B98,'SCHEDA STRUTTURA'!$A$13:$E$413,5,FALSE),"")</f>
        <v/>
      </c>
      <c r="G98" s="6" t="n"/>
      <c r="H98" s="5" t="inlineStr">
        <is>
          <t>PILASTRO MOTORE</t>
        </is>
      </c>
      <c r="I98" s="12" t="n">
        <v>1</v>
      </c>
    </row>
    <row r="99">
      <c r="A99" s="12" t="n">
        <v>95</v>
      </c>
      <c r="B99" s="5" t="inlineStr">
        <is>
          <t>TTS.PF.001.IPE140.29</t>
        </is>
      </c>
      <c r="C99" s="5" t="inlineStr">
        <is>
          <t>Pilastro fondazione trave IPE140 mt.2,90</t>
        </is>
      </c>
      <c r="D99" s="5" t="inlineStr">
        <is>
          <t>Carpenteria metallica</t>
        </is>
      </c>
      <c r="E99" s="12" t="inlineStr">
        <is>
          <t>pz</t>
        </is>
      </c>
      <c r="F99" s="10">
        <f>IFERROR(VLOOKUP($B99,'SCHEDA STRUTTURA'!$A$13:$E$413,5,FALSE),"")</f>
        <v/>
      </c>
      <c r="G99" s="6" t="n"/>
      <c r="H99" s="5" t="inlineStr">
        <is>
          <t>PILASTRO MOTORE</t>
        </is>
      </c>
      <c r="I99" s="12" t="n">
        <v>1</v>
      </c>
    </row>
    <row r="100">
      <c r="A100" s="12" t="n">
        <v>96</v>
      </c>
      <c r="B100" s="5" t="inlineStr">
        <is>
          <t>TTS.PF.001.IPEA140.29</t>
        </is>
      </c>
      <c r="C100" s="5" t="inlineStr">
        <is>
          <t>Pilastro fondazione trave IPEA140 mt.2,90 (alleggerita)</t>
        </is>
      </c>
      <c r="D100" s="5" t="inlineStr">
        <is>
          <t>Carpenteria metallica</t>
        </is>
      </c>
      <c r="E100" s="12" t="inlineStr">
        <is>
          <t>pz</t>
        </is>
      </c>
      <c r="F100" s="10">
        <f>IFERROR(VLOOKUP($B100,'SCHEDA STRUTTURA'!$A$13:$E$413,5,FALSE),"")</f>
        <v/>
      </c>
      <c r="G100" s="6" t="n"/>
      <c r="H100" s="5" t="inlineStr">
        <is>
          <t>PILASTRO MOTORE</t>
        </is>
      </c>
      <c r="I100" s="12" t="n">
        <v>1</v>
      </c>
    </row>
    <row r="101">
      <c r="A101" s="12" t="n">
        <v>97</v>
      </c>
      <c r="B101" s="5" t="inlineStr">
        <is>
          <t>TTS.PF.001.IPE140.31</t>
        </is>
      </c>
      <c r="C101" s="5" t="inlineStr">
        <is>
          <t>Pilastro fondazione trave IPE140 mt.3,10</t>
        </is>
      </c>
      <c r="D101" s="5" t="inlineStr">
        <is>
          <t>Carpenteria metallica</t>
        </is>
      </c>
      <c r="E101" s="12" t="inlineStr">
        <is>
          <t>pz</t>
        </is>
      </c>
      <c r="F101" s="10">
        <f>IFERROR(VLOOKUP($B101,'SCHEDA STRUTTURA'!$A$13:$E$413,5,FALSE),"")</f>
        <v/>
      </c>
      <c r="G101" s="6" t="n"/>
      <c r="H101" s="5" t="inlineStr">
        <is>
          <t>PILASTRO MOTORE</t>
        </is>
      </c>
      <c r="I101" s="12" t="n">
        <v>1</v>
      </c>
    </row>
    <row r="102">
      <c r="A102" s="12" t="n">
        <v>98</v>
      </c>
      <c r="B102" s="5" t="inlineStr">
        <is>
          <t>TTS.PF.001.IPEA140.31</t>
        </is>
      </c>
      <c r="C102" s="5" t="inlineStr">
        <is>
          <t>Pilastro fondazione trave IPEA140 mt.3,10 (alleggerita)</t>
        </is>
      </c>
      <c r="D102" s="5" t="inlineStr">
        <is>
          <t>Carpenteria metallica</t>
        </is>
      </c>
      <c r="E102" s="12" t="inlineStr">
        <is>
          <t>pz</t>
        </is>
      </c>
      <c r="F102" s="10">
        <f>IFERROR(VLOOKUP($B102,'SCHEDA STRUTTURA'!$A$13:$E$413,5,FALSE),"")</f>
        <v/>
      </c>
      <c r="G102" s="6" t="n"/>
      <c r="H102" s="5" t="inlineStr">
        <is>
          <t>PILASTRO MOTORE</t>
        </is>
      </c>
      <c r="I102" s="12" t="n">
        <v>1</v>
      </c>
    </row>
    <row r="103">
      <c r="A103" s="12" t="n">
        <v>99</v>
      </c>
      <c r="B103" s="5" t="inlineStr">
        <is>
          <t>TTS.PF.001.IPE140.32</t>
        </is>
      </c>
      <c r="C103" s="5" t="inlineStr">
        <is>
          <t>Pilastro fondazione trave IPE140 mt.3,20</t>
        </is>
      </c>
      <c r="D103" s="5" t="inlineStr">
        <is>
          <t>Carpenteria metallica</t>
        </is>
      </c>
      <c r="E103" s="12" t="inlineStr">
        <is>
          <t>pz</t>
        </is>
      </c>
      <c r="F103" s="10">
        <f>IFERROR(VLOOKUP($B103,'SCHEDA STRUTTURA'!$A$13:$E$413,5,FALSE),"")</f>
        <v/>
      </c>
      <c r="G103" s="6" t="n"/>
      <c r="H103" s="5" t="inlineStr">
        <is>
          <t>PILASTRO MOTORE</t>
        </is>
      </c>
      <c r="I103" s="12" t="n">
        <v>1</v>
      </c>
    </row>
    <row r="104">
      <c r="A104" s="12" t="n">
        <v>100</v>
      </c>
      <c r="B104" s="5" t="inlineStr">
        <is>
          <t>TTS.PF.001.IPEA140.32</t>
        </is>
      </c>
      <c r="C104" s="5" t="inlineStr">
        <is>
          <t>Pilastro fondazione trave IPEA140 mt.3,20 (alleggerita)</t>
        </is>
      </c>
      <c r="D104" s="5" t="inlineStr">
        <is>
          <t>Carpenteria metallica</t>
        </is>
      </c>
      <c r="E104" s="12" t="inlineStr">
        <is>
          <t>pz</t>
        </is>
      </c>
      <c r="F104" s="10">
        <f>IFERROR(VLOOKUP($B104,'SCHEDA STRUTTURA'!$A$13:$E$413,5,FALSE),"")</f>
        <v/>
      </c>
      <c r="G104" s="6" t="n"/>
      <c r="H104" s="5" t="inlineStr">
        <is>
          <t>PILASTRO MOTORE</t>
        </is>
      </c>
      <c r="I104" s="12" t="n">
        <v>1</v>
      </c>
    </row>
    <row r="105">
      <c r="A105" s="12" t="n">
        <v>101</v>
      </c>
      <c r="B105" s="5" t="inlineStr">
        <is>
          <t>TTS.PF.001.IPE140.33</t>
        </is>
      </c>
      <c r="C105" s="5" t="inlineStr">
        <is>
          <t>Pilastro fondazione trave IPE140 mt.3,30</t>
        </is>
      </c>
      <c r="D105" s="5" t="inlineStr">
        <is>
          <t>Carpenteria metallica</t>
        </is>
      </c>
      <c r="E105" s="12" t="inlineStr">
        <is>
          <t>pz</t>
        </is>
      </c>
      <c r="F105" s="10">
        <f>IFERROR(VLOOKUP($B105,'SCHEDA STRUTTURA'!$A$13:$E$413,5,FALSE),"")</f>
        <v/>
      </c>
      <c r="G105" s="6" t="n"/>
      <c r="H105" s="5" t="inlineStr">
        <is>
          <t>PILASTRO MOTORE</t>
        </is>
      </c>
      <c r="I105" s="12" t="n">
        <v>1</v>
      </c>
    </row>
    <row r="106">
      <c r="A106" s="12" t="n">
        <v>102</v>
      </c>
      <c r="B106" s="5" t="inlineStr">
        <is>
          <t>TTS.PF.001.IPEA140.33</t>
        </is>
      </c>
      <c r="C106" s="5" t="inlineStr">
        <is>
          <t>Pilastro fondazione trave IPEA140 mt.3,30 (alleggerita)</t>
        </is>
      </c>
      <c r="D106" s="5" t="inlineStr">
        <is>
          <t>Carpenteria metallica</t>
        </is>
      </c>
      <c r="E106" s="12" t="inlineStr">
        <is>
          <t>pz</t>
        </is>
      </c>
      <c r="F106" s="10">
        <f>IFERROR(VLOOKUP($B106,'SCHEDA STRUTTURA'!$A$13:$E$413,5,FALSE),"")</f>
        <v/>
      </c>
      <c r="G106" s="6" t="n"/>
      <c r="H106" s="5" t="inlineStr">
        <is>
          <t>PILASTRO MOTORE</t>
        </is>
      </c>
      <c r="I106" s="12" t="n">
        <v>1</v>
      </c>
    </row>
    <row r="107">
      <c r="A107" s="12" t="n">
        <v>103</v>
      </c>
      <c r="B107" s="5" t="inlineStr">
        <is>
          <t>TTS.PF.001.IPE140.34</t>
        </is>
      </c>
      <c r="C107" s="5" t="inlineStr">
        <is>
          <t>Pilastro fondazione trave IPE140 mt.3,40</t>
        </is>
      </c>
      <c r="D107" s="5" t="inlineStr">
        <is>
          <t>Carpenteria metallica</t>
        </is>
      </c>
      <c r="E107" s="12" t="inlineStr">
        <is>
          <t>pz</t>
        </is>
      </c>
      <c r="F107" s="10">
        <f>IFERROR(VLOOKUP($B107,'SCHEDA STRUTTURA'!$A$13:$E$413,5,FALSE),"")</f>
        <v/>
      </c>
      <c r="G107" s="6" t="n"/>
      <c r="H107" s="5" t="inlineStr">
        <is>
          <t>PILASTRO MOTORE</t>
        </is>
      </c>
      <c r="I107" s="12" t="n">
        <v>1</v>
      </c>
    </row>
    <row r="108">
      <c r="A108" s="12" t="n">
        <v>104</v>
      </c>
      <c r="B108" s="5" t="inlineStr">
        <is>
          <t>TTS.PF.001.IPEA140.34</t>
        </is>
      </c>
      <c r="C108" s="5" t="inlineStr">
        <is>
          <t>Pilastro fondazione trave IPEA140 mt.3,40 (alleggerita)</t>
        </is>
      </c>
      <c r="D108" s="5" t="inlineStr">
        <is>
          <t>Carpenteria metallica</t>
        </is>
      </c>
      <c r="E108" s="12" t="inlineStr">
        <is>
          <t>pz</t>
        </is>
      </c>
      <c r="F108" s="10">
        <f>IFERROR(VLOOKUP($B108,'SCHEDA STRUTTURA'!$A$13:$E$413,5,FALSE),"")</f>
        <v/>
      </c>
      <c r="G108" s="6" t="n"/>
      <c r="H108" s="5" t="inlineStr">
        <is>
          <t>PILASTRO MOTORE</t>
        </is>
      </c>
      <c r="I108" s="12" t="n">
        <v>1</v>
      </c>
    </row>
    <row r="109">
      <c r="A109" s="12" t="n">
        <v>105</v>
      </c>
      <c r="B109" s="5" t="inlineStr">
        <is>
          <t>TTS.PF.001.IPE140.35</t>
        </is>
      </c>
      <c r="C109" s="5" t="inlineStr">
        <is>
          <t>Pilastro fondazione trave IPE140 mt.3,50</t>
        </is>
      </c>
      <c r="D109" s="5" t="inlineStr">
        <is>
          <t>Carpenteria metallica</t>
        </is>
      </c>
      <c r="E109" s="12" t="inlineStr">
        <is>
          <t>pz</t>
        </is>
      </c>
      <c r="F109" s="10">
        <f>IFERROR(VLOOKUP($B109,'SCHEDA STRUTTURA'!$A$13:$E$413,5,FALSE),"")</f>
        <v/>
      </c>
      <c r="G109" s="6" t="n"/>
      <c r="H109" s="5" t="inlineStr">
        <is>
          <t>PILASTRO MOTORE</t>
        </is>
      </c>
      <c r="I109" s="12" t="n">
        <v>1</v>
      </c>
    </row>
    <row r="110">
      <c r="A110" s="12" t="n">
        <v>106</v>
      </c>
      <c r="B110" s="5" t="inlineStr">
        <is>
          <t>TTS.PF.001.IPEA140.35</t>
        </is>
      </c>
      <c r="C110" s="5" t="inlineStr">
        <is>
          <t>Pilastro fondazione trave IPEA140 mt.3,50 (alleggerita)</t>
        </is>
      </c>
      <c r="D110" s="5" t="inlineStr">
        <is>
          <t>Carpenteria metallica</t>
        </is>
      </c>
      <c r="E110" s="12" t="inlineStr">
        <is>
          <t>pz</t>
        </is>
      </c>
      <c r="F110" s="10">
        <f>IFERROR(VLOOKUP($B110,'SCHEDA STRUTTURA'!$A$13:$E$413,5,FALSE),"")</f>
        <v/>
      </c>
      <c r="G110" s="6" t="n"/>
      <c r="H110" s="5" t="inlineStr">
        <is>
          <t>PILASTRO MOTORE</t>
        </is>
      </c>
      <c r="I110" s="12" t="n">
        <v>1</v>
      </c>
    </row>
    <row r="111">
      <c r="A111" s="12" t="n">
        <v>107</v>
      </c>
      <c r="B111" s="5" t="inlineStr">
        <is>
          <t>TTS.PF.001.IPE140.36</t>
        </is>
      </c>
      <c r="C111" s="5" t="inlineStr">
        <is>
          <t>Pilastro fondazione trave IPE140 mt.3,60</t>
        </is>
      </c>
      <c r="D111" s="5" t="inlineStr">
        <is>
          <t>Carpenteria metallica</t>
        </is>
      </c>
      <c r="E111" s="12" t="inlineStr">
        <is>
          <t>pz</t>
        </is>
      </c>
      <c r="F111" s="10">
        <f>IFERROR(VLOOKUP($B111,'SCHEDA STRUTTURA'!$A$13:$E$413,5,FALSE),"")</f>
        <v/>
      </c>
      <c r="G111" s="6" t="n"/>
      <c r="H111" s="5" t="inlineStr">
        <is>
          <t>PILASTRO MOTORE</t>
        </is>
      </c>
      <c r="I111" s="12" t="n">
        <v>1</v>
      </c>
    </row>
    <row r="112">
      <c r="A112" s="12" t="n">
        <v>108</v>
      </c>
      <c r="B112" s="5" t="inlineStr">
        <is>
          <t>TTS.PF.001.IPEA140.36</t>
        </is>
      </c>
      <c r="C112" s="5" t="inlineStr">
        <is>
          <t>Pilastro fondazione trave IPEA140 mt.3,60 (alleggerita)</t>
        </is>
      </c>
      <c r="D112" s="5" t="inlineStr">
        <is>
          <t>Carpenteria metallica</t>
        </is>
      </c>
      <c r="E112" s="12" t="inlineStr">
        <is>
          <t>pz</t>
        </is>
      </c>
      <c r="F112" s="10">
        <f>IFERROR(VLOOKUP($B112,'SCHEDA STRUTTURA'!$A$13:$E$413,5,FALSE),"")</f>
        <v/>
      </c>
      <c r="G112" s="6" t="n"/>
      <c r="H112" s="5" t="inlineStr">
        <is>
          <t>PILASTRO MOTORE</t>
        </is>
      </c>
      <c r="I112" s="12" t="n">
        <v>1</v>
      </c>
    </row>
    <row r="113">
      <c r="A113" s="12" t="n">
        <v>109</v>
      </c>
      <c r="B113" s="5" t="inlineStr">
        <is>
          <t>TTS.PF.002.IPE140</t>
        </is>
      </c>
      <c r="C113" s="5" t="inlineStr">
        <is>
          <t>Piastra giunzione montanti centrali 200x100x4 (8 fori Ø 11)</t>
        </is>
      </c>
      <c r="D113" s="5" t="inlineStr">
        <is>
          <t>Carpenteria metallica</t>
        </is>
      </c>
      <c r="E113" s="12" t="inlineStr">
        <is>
          <t>pz</t>
        </is>
      </c>
      <c r="F113" s="10" t="n"/>
      <c r="G113" s="6" t="n"/>
      <c r="H113" s="5" t="inlineStr">
        <is>
          <t>PILASTRO MOTORE, PILASTRO CUSCINETTO</t>
        </is>
      </c>
      <c r="I113" s="12" t="n">
        <v>2</v>
      </c>
    </row>
    <row r="114">
      <c r="A114" s="12" t="n">
        <v>110</v>
      </c>
      <c r="B114" s="5" t="inlineStr">
        <is>
          <t>TTS.PF.003.IPE140</t>
        </is>
      </c>
      <c r="C114" s="5" t="inlineStr">
        <is>
          <t>Piastra giunzione montanti esterna 240x70x6 (12 fori Ø 11)</t>
        </is>
      </c>
      <c r="D114" s="5" t="inlineStr">
        <is>
          <t>Carpenteria metallica</t>
        </is>
      </c>
      <c r="E114" s="12" t="inlineStr">
        <is>
          <t>pz</t>
        </is>
      </c>
      <c r="F114" s="10" t="n"/>
      <c r="G114" s="6" t="n"/>
      <c r="H114" s="5" t="inlineStr">
        <is>
          <t>PILASTRO MOTORE, PILASTRO CUSCINETTO</t>
        </is>
      </c>
      <c r="I114" s="12" t="n">
        <v>2</v>
      </c>
    </row>
    <row r="115">
      <c r="A115" s="12" t="n">
        <v>111</v>
      </c>
      <c r="B115" s="5" t="inlineStr">
        <is>
          <t>TTS.PF.004.IPE140</t>
        </is>
      </c>
      <c r="C115" s="5" t="inlineStr">
        <is>
          <t>Piastra giunzione montanti interna 240x25x6 (6 fori Ø 11)</t>
        </is>
      </c>
      <c r="D115" s="5" t="inlineStr">
        <is>
          <t>Carpenteria metallica</t>
        </is>
      </c>
      <c r="E115" s="12" t="inlineStr">
        <is>
          <t>pz</t>
        </is>
      </c>
      <c r="F115" s="10" t="n"/>
      <c r="G115" s="6" t="n"/>
      <c r="H115" s="5" t="inlineStr">
        <is>
          <t>PILASTRO MOTORE, PILASTRO CUSCINETTO</t>
        </is>
      </c>
      <c r="I115" s="12" t="n">
        <v>2</v>
      </c>
    </row>
    <row r="116">
      <c r="A116" s="12" t="n">
        <v>112</v>
      </c>
      <c r="B116" s="5" t="inlineStr">
        <is>
          <t>TTS.PM.001.IPE140.22</t>
        </is>
      </c>
      <c r="C116" s="5" t="inlineStr">
        <is>
          <t>Pilastro motore trave ipe140 x 2220 con foratura alloggiamento quadro motore (standard)</t>
        </is>
      </c>
      <c r="D116" s="5" t="inlineStr">
        <is>
          <t>Carpenteria metallica</t>
        </is>
      </c>
      <c r="E116" s="12" t="inlineStr">
        <is>
          <t>pz</t>
        </is>
      </c>
      <c r="F116" s="10">
        <f>IFERROR(VLOOKUP($B116,'SCHEDA STRUTTURA'!$A$13:$E$413,5,FALSE),"")</f>
        <v/>
      </c>
      <c r="G116" s="6" t="n"/>
      <c r="H116" s="5" t="inlineStr">
        <is>
          <t>PILASTRO MOTORE, kit quadro motore</t>
        </is>
      </c>
      <c r="I116" s="12" t="n">
        <v>2</v>
      </c>
    </row>
    <row r="117">
      <c r="A117" s="12" t="n">
        <v>113</v>
      </c>
      <c r="B117" s="5" t="inlineStr">
        <is>
          <t>TTS.PM.001.IPEA140.22</t>
        </is>
      </c>
      <c r="C117" s="5" t="inlineStr">
        <is>
          <t>Pilastro motore trave ipea140 x 2220 con foratura alloggiamento quadro motore (alleggerita)</t>
        </is>
      </c>
      <c r="D117" s="5" t="inlineStr">
        <is>
          <t>Carpenteria metallica</t>
        </is>
      </c>
      <c r="E117" s="12" t="inlineStr">
        <is>
          <t>pz</t>
        </is>
      </c>
      <c r="F117" s="10">
        <f>IFERROR(VLOOKUP($B117,'SCHEDA STRUTTURA'!$A$13:$E$413,5,FALSE),"")</f>
        <v/>
      </c>
      <c r="G117" s="6" t="n"/>
      <c r="H117" s="5" t="inlineStr">
        <is>
          <t>PILASTRO MOTORE</t>
        </is>
      </c>
      <c r="I117" s="12" t="n">
        <v>1</v>
      </c>
    </row>
    <row r="118">
      <c r="A118" s="12" t="n">
        <v>114</v>
      </c>
      <c r="B118" s="5" t="inlineStr">
        <is>
          <t>TTS.PM.001.IPE140.27</t>
        </is>
      </c>
      <c r="C118" s="5" t="inlineStr">
        <is>
          <t>Pilastro motore trave ipe140 x 2720 con foratura alloggiamento quadro motore (standard)</t>
        </is>
      </c>
      <c r="D118" s="5" t="inlineStr">
        <is>
          <t>Carpenteria metallica</t>
        </is>
      </c>
      <c r="E118" s="12" t="inlineStr">
        <is>
          <t>pz</t>
        </is>
      </c>
      <c r="F118" s="10">
        <f>IFERROR(VLOOKUP($B118,'SCHEDA STRUTTURA'!$A$13:$E$413,5,FALSE),"")</f>
        <v/>
      </c>
      <c r="G118" s="6" t="n"/>
      <c r="H118" s="5" t="inlineStr">
        <is>
          <t>PILASTRO MOTORE</t>
        </is>
      </c>
      <c r="I118" s="12" t="n">
        <v>1</v>
      </c>
    </row>
    <row r="119">
      <c r="A119" s="12" t="n">
        <v>115</v>
      </c>
      <c r="B119" s="5" t="inlineStr">
        <is>
          <t>TTS.PM.001.IPEA140.27</t>
        </is>
      </c>
      <c r="C119" s="5" t="inlineStr">
        <is>
          <t>Pilastro motore trave ipea140 x 2720 con foratura alloggiamento quadro motore (alleggerita)</t>
        </is>
      </c>
      <c r="D119" s="5" t="inlineStr">
        <is>
          <t>Carpenteria metallica</t>
        </is>
      </c>
      <c r="E119" s="12" t="inlineStr">
        <is>
          <t>pz</t>
        </is>
      </c>
      <c r="F119" s="10">
        <f>IFERROR(VLOOKUP($B119,'SCHEDA STRUTTURA'!$A$13:$E$413,5,FALSE),"")</f>
        <v/>
      </c>
      <c r="G119" s="6" t="n"/>
      <c r="H119" s="5" t="inlineStr">
        <is>
          <t>PILASTRO MOTORE</t>
        </is>
      </c>
      <c r="I119" s="12" t="n">
        <v>1</v>
      </c>
    </row>
    <row r="120">
      <c r="A120" s="12" t="n">
        <v>116</v>
      </c>
      <c r="B120" s="5" t="inlineStr">
        <is>
          <t>TTS.PM.001.IPE140.28</t>
        </is>
      </c>
      <c r="C120" s="5" t="inlineStr">
        <is>
          <t>Pilastro motore trave ipe140 x 2820 con foratura alloggiamento quadro motore (standard)</t>
        </is>
      </c>
      <c r="D120" s="5" t="inlineStr">
        <is>
          <t>Carpenteria metallica</t>
        </is>
      </c>
      <c r="E120" s="12" t="inlineStr">
        <is>
          <t>pz</t>
        </is>
      </c>
      <c r="F120" s="10">
        <f>IFERROR(VLOOKUP($B120,'SCHEDA STRUTTURA'!$A$13:$E$413,5,FALSE),"")</f>
        <v/>
      </c>
      <c r="G120" s="6" t="n"/>
      <c r="H120" s="5" t="inlineStr">
        <is>
          <t>PILASTRO MOTORE</t>
        </is>
      </c>
      <c r="I120" s="12" t="n">
        <v>1</v>
      </c>
    </row>
    <row r="121">
      <c r="A121" s="12" t="n">
        <v>117</v>
      </c>
      <c r="B121" s="5" t="inlineStr">
        <is>
          <t>TTS.PM.001.IPEA140.28</t>
        </is>
      </c>
      <c r="C121" s="5" t="inlineStr">
        <is>
          <t>Pilastro motore trave ipea140 x 2820 con foratura alloggiamento quadro motore (alleggerita)</t>
        </is>
      </c>
      <c r="D121" s="5" t="inlineStr">
        <is>
          <t>Carpenteria metallica</t>
        </is>
      </c>
      <c r="E121" s="12" t="inlineStr">
        <is>
          <t>pz</t>
        </is>
      </c>
      <c r="F121" s="10">
        <f>IFERROR(VLOOKUP($B121,'SCHEDA STRUTTURA'!$A$13:$E$413,5,FALSE),"")</f>
        <v/>
      </c>
      <c r="G121" s="6" t="n"/>
      <c r="H121" s="5" t="inlineStr">
        <is>
          <t>PILASTRO MOTORE</t>
        </is>
      </c>
      <c r="I121" s="12" t="n">
        <v>1</v>
      </c>
    </row>
    <row r="122">
      <c r="A122" s="12" t="n">
        <v>118</v>
      </c>
      <c r="B122" s="5" t="inlineStr">
        <is>
          <t>TTS.PM.001.IPE140.29</t>
        </is>
      </c>
      <c r="C122" s="5" t="inlineStr">
        <is>
          <t>Pilastro motore trave ipe140 x 2920 con foratura alloggiamento quadro motore (standard)</t>
        </is>
      </c>
      <c r="D122" s="5" t="inlineStr">
        <is>
          <t>Carpenteria metallica</t>
        </is>
      </c>
      <c r="E122" s="12" t="inlineStr">
        <is>
          <t>pz</t>
        </is>
      </c>
      <c r="F122" s="10">
        <f>IFERROR(VLOOKUP($B122,'SCHEDA STRUTTURA'!$A$13:$E$413,5,FALSE),"")</f>
        <v/>
      </c>
      <c r="G122" s="6" t="n"/>
      <c r="H122" s="5" t="inlineStr">
        <is>
          <t>PILASTRO MOTORE</t>
        </is>
      </c>
      <c r="I122" s="12" t="n">
        <v>1</v>
      </c>
    </row>
    <row r="123">
      <c r="A123" s="12" t="n">
        <v>119</v>
      </c>
      <c r="B123" s="5" t="inlineStr">
        <is>
          <t>TTS.PM.001.IPEA140.29</t>
        </is>
      </c>
      <c r="C123" s="5" t="inlineStr">
        <is>
          <t>Pilastro motore trave ipea140 x 2920 con foratura alloggiamento quadro motore (alleggerita)</t>
        </is>
      </c>
      <c r="D123" s="5" t="inlineStr">
        <is>
          <t>Carpenteria metallica</t>
        </is>
      </c>
      <c r="E123" s="12" t="inlineStr">
        <is>
          <t>pz</t>
        </is>
      </c>
      <c r="F123" s="10">
        <f>IFERROR(VLOOKUP($B123,'SCHEDA STRUTTURA'!$A$13:$E$413,5,FALSE),"")</f>
        <v/>
      </c>
      <c r="G123" s="6" t="n"/>
      <c r="H123" s="5" t="inlineStr">
        <is>
          <t>PILASTRO MOTORE</t>
        </is>
      </c>
      <c r="I123" s="12" t="n">
        <v>1</v>
      </c>
    </row>
    <row r="124">
      <c r="A124" s="12" t="n">
        <v>120</v>
      </c>
      <c r="B124" s="5" t="inlineStr">
        <is>
          <t>TTS.PM.001.IPE140.30</t>
        </is>
      </c>
      <c r="C124" s="5" t="inlineStr">
        <is>
          <t>Pilastro motore trave ipe140 x 3020 con foratura alloggiamento quadro motore (standard)</t>
        </is>
      </c>
      <c r="D124" s="5" t="inlineStr">
        <is>
          <t>Carpenteria metallica</t>
        </is>
      </c>
      <c r="E124" s="12" t="inlineStr">
        <is>
          <t>pz</t>
        </is>
      </c>
      <c r="F124" s="10">
        <f>IFERROR(VLOOKUP($B124,'SCHEDA STRUTTURA'!$A$13:$E$413,5,FALSE),"")</f>
        <v/>
      </c>
      <c r="G124" s="6" t="n"/>
      <c r="H124" s="5" t="inlineStr">
        <is>
          <t>PILASTRO MOTORE</t>
        </is>
      </c>
      <c r="I124" s="12" t="n">
        <v>1</v>
      </c>
    </row>
    <row r="125">
      <c r="A125" s="12" t="n">
        <v>121</v>
      </c>
      <c r="B125" s="5" t="inlineStr">
        <is>
          <t>TTS.PM.001.IPEA140.30</t>
        </is>
      </c>
      <c r="C125" s="5" t="inlineStr">
        <is>
          <t>Pilastro motore trave ipea140 x 3020 con foratura alloggiamento quadro motore (alleggerita)</t>
        </is>
      </c>
      <c r="D125" s="5" t="inlineStr">
        <is>
          <t>Carpenteria metallica</t>
        </is>
      </c>
      <c r="E125" s="12" t="inlineStr">
        <is>
          <t>pz</t>
        </is>
      </c>
      <c r="F125" s="10">
        <f>IFERROR(VLOOKUP($B125,'SCHEDA STRUTTURA'!$A$13:$E$413,5,FALSE),"")</f>
        <v/>
      </c>
      <c r="G125" s="6" t="n"/>
      <c r="H125" s="5" t="inlineStr">
        <is>
          <t>PILASTRO MOTORE</t>
        </is>
      </c>
      <c r="I125" s="12" t="n">
        <v>1</v>
      </c>
    </row>
    <row r="126">
      <c r="A126" s="12" t="n">
        <v>122</v>
      </c>
      <c r="B126" s="5" t="inlineStr">
        <is>
          <t>TTS.PM.001.IPE140.31</t>
        </is>
      </c>
      <c r="C126" s="5" t="inlineStr">
        <is>
          <t>Pilastro motore trave ipe140 x 3120 con foratura alloggiamento quadro motore (standard)</t>
        </is>
      </c>
      <c r="D126" s="5" t="inlineStr">
        <is>
          <t>Carpenteria metallica</t>
        </is>
      </c>
      <c r="E126" s="12" t="inlineStr">
        <is>
          <t>pz</t>
        </is>
      </c>
      <c r="F126" s="10">
        <f>IFERROR(VLOOKUP($B126,'SCHEDA STRUTTURA'!$A$13:$E$413,5,FALSE),"")</f>
        <v/>
      </c>
      <c r="G126" s="6" t="n"/>
      <c r="H126" s="5" t="inlineStr">
        <is>
          <t>PILASTRO MOTORE</t>
        </is>
      </c>
      <c r="I126" s="12" t="n">
        <v>1</v>
      </c>
    </row>
    <row r="127">
      <c r="A127" s="12" t="n">
        <v>123</v>
      </c>
      <c r="B127" s="5" t="inlineStr">
        <is>
          <t>TTS.PM.001.IPEA140.31</t>
        </is>
      </c>
      <c r="C127" s="5" t="inlineStr">
        <is>
          <t>Pilastro motore trave ipea140 x 3120 con foratura alloggiamento quadro motore (alleggerita)</t>
        </is>
      </c>
      <c r="D127" s="5" t="inlineStr">
        <is>
          <t>Carpenteria metallica</t>
        </is>
      </c>
      <c r="E127" s="12" t="inlineStr">
        <is>
          <t>pz</t>
        </is>
      </c>
      <c r="F127" s="10">
        <f>IFERROR(VLOOKUP($B127,'SCHEDA STRUTTURA'!$A$13:$E$413,5,FALSE),"")</f>
        <v/>
      </c>
      <c r="G127" s="6" t="n"/>
      <c r="H127" s="5" t="inlineStr">
        <is>
          <t>PILASTRO MOTORE</t>
        </is>
      </c>
      <c r="I127" s="12" t="n">
        <v>1</v>
      </c>
    </row>
    <row r="128">
      <c r="A128" s="12" t="n">
        <v>124</v>
      </c>
      <c r="B128" s="5" t="inlineStr">
        <is>
          <t>TTS.PM.001.IPE140.32</t>
        </is>
      </c>
      <c r="C128" s="5" t="inlineStr">
        <is>
          <t>Pilastro motore trave ipe140 x 3220 con foratura alloggiamento quadro motore (standard)</t>
        </is>
      </c>
      <c r="D128" s="5" t="inlineStr">
        <is>
          <t>Carpenteria metallica</t>
        </is>
      </c>
      <c r="E128" s="12" t="inlineStr">
        <is>
          <t>pz</t>
        </is>
      </c>
      <c r="F128" s="10">
        <f>IFERROR(VLOOKUP($B128,'SCHEDA STRUTTURA'!$A$13:$E$413,5,FALSE),"")</f>
        <v/>
      </c>
      <c r="G128" s="6" t="n"/>
      <c r="H128" s="5" t="inlineStr">
        <is>
          <t>PILASTRO MOTORE</t>
        </is>
      </c>
      <c r="I128" s="12" t="n">
        <v>1</v>
      </c>
    </row>
    <row r="129">
      <c r="A129" s="12" t="n">
        <v>125</v>
      </c>
      <c r="B129" s="5" t="inlineStr">
        <is>
          <t>TTS.PM.001.IPEA140.32</t>
        </is>
      </c>
      <c r="C129" s="5" t="inlineStr">
        <is>
          <t>Pilastro motore trave ipea140 x 3220 con foratura alloggiamento quadro motore (alleggerita)</t>
        </is>
      </c>
      <c r="D129" s="5" t="inlineStr">
        <is>
          <t>Carpenteria metallica</t>
        </is>
      </c>
      <c r="E129" s="12" t="inlineStr">
        <is>
          <t>pz</t>
        </is>
      </c>
      <c r="F129" s="10">
        <f>IFERROR(VLOOKUP($B129,'SCHEDA STRUTTURA'!$A$13:$E$413,5,FALSE),"")</f>
        <v/>
      </c>
      <c r="G129" s="6" t="n"/>
      <c r="H129" s="5" t="inlineStr">
        <is>
          <t>PILASTRO MOTORE</t>
        </is>
      </c>
      <c r="I129" s="12" t="n">
        <v>1</v>
      </c>
    </row>
    <row r="130">
      <c r="A130" s="12" t="n">
        <v>126</v>
      </c>
      <c r="B130" s="5" t="inlineStr">
        <is>
          <t>TTS.PM.001.IPE140.33</t>
        </is>
      </c>
      <c r="C130" s="5" t="inlineStr">
        <is>
          <t>Pilastro motore trave ipe140 x 3320 con foratura alloggiamento quadro motore (standard)</t>
        </is>
      </c>
      <c r="D130" s="5" t="inlineStr">
        <is>
          <t>Carpenteria metallica</t>
        </is>
      </c>
      <c r="E130" s="12" t="inlineStr">
        <is>
          <t>pz</t>
        </is>
      </c>
      <c r="F130" s="10">
        <f>IFERROR(VLOOKUP($B130,'SCHEDA STRUTTURA'!$A$13:$E$413,5,FALSE),"")</f>
        <v/>
      </c>
      <c r="G130" s="6" t="n"/>
      <c r="H130" s="5" t="inlineStr">
        <is>
          <t>PILASTRO MOTORE</t>
        </is>
      </c>
      <c r="I130" s="12" t="n">
        <v>1</v>
      </c>
    </row>
    <row r="131">
      <c r="A131" s="12" t="n">
        <v>127</v>
      </c>
      <c r="B131" s="5" t="inlineStr">
        <is>
          <t>TTS.PM.001.IPEA140.33</t>
        </is>
      </c>
      <c r="C131" s="5" t="inlineStr">
        <is>
          <t>Pilastro motore trave ipea140 x 3320 con foratura alloggiamento quadro motore (alleggerita)</t>
        </is>
      </c>
      <c r="D131" s="5" t="inlineStr">
        <is>
          <t>Carpenteria metallica</t>
        </is>
      </c>
      <c r="E131" s="12" t="inlineStr">
        <is>
          <t>pz</t>
        </is>
      </c>
      <c r="F131" s="10">
        <f>IFERROR(VLOOKUP($B131,'SCHEDA STRUTTURA'!$A$13:$E$413,5,FALSE),"")</f>
        <v/>
      </c>
      <c r="G131" s="6" t="n"/>
      <c r="H131" s="5" t="inlineStr">
        <is>
          <t>PILASTRO MOTORE</t>
        </is>
      </c>
      <c r="I131" s="12" t="n">
        <v>1</v>
      </c>
    </row>
    <row r="132">
      <c r="A132" s="12" t="n">
        <v>128</v>
      </c>
      <c r="B132" s="5" t="inlineStr">
        <is>
          <t>TTS.PM.001.IPE140.34</t>
        </is>
      </c>
      <c r="C132" s="5" t="inlineStr">
        <is>
          <t>Pilastro motore trave ipe140 x 3420 con foratura alloggiamento quadro motore (standard)</t>
        </is>
      </c>
      <c r="D132" s="5" t="inlineStr">
        <is>
          <t>Carpenteria metallica</t>
        </is>
      </c>
      <c r="E132" s="12" t="inlineStr">
        <is>
          <t>pz</t>
        </is>
      </c>
      <c r="F132" s="10">
        <f>IFERROR(VLOOKUP($B132,'SCHEDA STRUTTURA'!$A$13:$E$413,5,FALSE),"")</f>
        <v/>
      </c>
      <c r="G132" s="6" t="n"/>
      <c r="H132" s="5" t="inlineStr">
        <is>
          <t>PILASTRO MOTORE</t>
        </is>
      </c>
      <c r="I132" s="12" t="n">
        <v>1</v>
      </c>
    </row>
    <row r="133">
      <c r="A133" s="12" t="n">
        <v>129</v>
      </c>
      <c r="B133" s="5" t="inlineStr">
        <is>
          <t>TTS.PM.001.IPEA140.34</t>
        </is>
      </c>
      <c r="C133" s="5" t="inlineStr">
        <is>
          <t>Pilastro motore trave ipea140 x 3420 con foratura alloggiamento quadro motore (alleggerita)</t>
        </is>
      </c>
      <c r="D133" s="5" t="inlineStr">
        <is>
          <t>Carpenteria metallica</t>
        </is>
      </c>
      <c r="E133" s="12" t="inlineStr">
        <is>
          <t>pz</t>
        </is>
      </c>
      <c r="F133" s="10">
        <f>IFERROR(VLOOKUP($B133,'SCHEDA STRUTTURA'!$A$13:$E$413,5,FALSE),"")</f>
        <v/>
      </c>
      <c r="G133" s="6" t="n"/>
      <c r="H133" s="5" t="inlineStr">
        <is>
          <t>PILASTRO MOTORE</t>
        </is>
      </c>
      <c r="I133" s="12" t="n">
        <v>1</v>
      </c>
    </row>
    <row r="134">
      <c r="A134" s="12" t="n">
        <v>130</v>
      </c>
      <c r="B134" s="5" t="inlineStr">
        <is>
          <t>TTS.PM.001.IPE140.35</t>
        </is>
      </c>
      <c r="C134" s="5" t="inlineStr">
        <is>
          <t>Pilastro motore trave ipe140 x 3520 con foratura alloggiamento quadro motore (standard)</t>
        </is>
      </c>
      <c r="D134" s="5" t="inlineStr">
        <is>
          <t>Carpenteria metallica</t>
        </is>
      </c>
      <c r="E134" s="12" t="inlineStr">
        <is>
          <t>pz</t>
        </is>
      </c>
      <c r="F134" s="10">
        <f>IFERROR(VLOOKUP($B134,'SCHEDA STRUTTURA'!$A$13:$E$413,5,FALSE),"")</f>
        <v/>
      </c>
      <c r="G134" s="6" t="n"/>
      <c r="H134" s="5" t="inlineStr">
        <is>
          <t>PILASTRO MOTORE</t>
        </is>
      </c>
      <c r="I134" s="12" t="n">
        <v>1</v>
      </c>
    </row>
    <row r="135">
      <c r="A135" s="12" t="n">
        <v>131</v>
      </c>
      <c r="B135" s="5" t="inlineStr">
        <is>
          <t>TTS.PM.001.IPEA140.35</t>
        </is>
      </c>
      <c r="C135" s="5" t="inlineStr">
        <is>
          <t>Pilastro motore trave ipea140 x 3520 con foratura alloggiamento quadro motore (alleggerita)</t>
        </is>
      </c>
      <c r="D135" s="5" t="inlineStr">
        <is>
          <t>Carpenteria metallica</t>
        </is>
      </c>
      <c r="E135" s="12" t="inlineStr">
        <is>
          <t>pz</t>
        </is>
      </c>
      <c r="F135" s="10">
        <f>IFERROR(VLOOKUP($B135,'SCHEDA STRUTTURA'!$A$13:$E$413,5,FALSE),"")</f>
        <v/>
      </c>
      <c r="G135" s="6" t="n"/>
      <c r="H135" s="5" t="inlineStr">
        <is>
          <t>PILASTRO MOTORE</t>
        </is>
      </c>
      <c r="I135" s="12" t="n">
        <v>1</v>
      </c>
    </row>
    <row r="136">
      <c r="A136" s="12" t="n">
        <v>132</v>
      </c>
      <c r="B136" s="5" t="inlineStr">
        <is>
          <t>TTS.PM.001.IPE140.36</t>
        </is>
      </c>
      <c r="C136" s="5" t="inlineStr">
        <is>
          <t>Pilastro motore trave ipe140 x 3620 con foratura alloggiamento quadro motore (standard)</t>
        </is>
      </c>
      <c r="D136" s="5" t="inlineStr">
        <is>
          <t>Carpenteria metallica</t>
        </is>
      </c>
      <c r="E136" s="12" t="inlineStr">
        <is>
          <t>pz</t>
        </is>
      </c>
      <c r="F136" s="10">
        <f>IFERROR(VLOOKUP($B136,'SCHEDA STRUTTURA'!$A$13:$E$413,5,FALSE),"")</f>
        <v/>
      </c>
      <c r="G136" s="6" t="n"/>
      <c r="H136" s="5" t="inlineStr">
        <is>
          <t>PILASTRO MOTORE</t>
        </is>
      </c>
      <c r="I136" s="12" t="n">
        <v>1</v>
      </c>
    </row>
    <row r="137">
      <c r="A137" s="12" t="n">
        <v>133</v>
      </c>
      <c r="B137" s="5" t="inlineStr">
        <is>
          <t>TTS.PM.001.IPEA140.36</t>
        </is>
      </c>
      <c r="C137" s="5" t="inlineStr">
        <is>
          <t>Pilastro motore trave ipea140 x 3620 con foratura alloggiamento quadro motore (alleggerita)</t>
        </is>
      </c>
      <c r="D137" s="5" t="inlineStr">
        <is>
          <t>Carpenteria metallica</t>
        </is>
      </c>
      <c r="E137" s="12" t="inlineStr">
        <is>
          <t>pz</t>
        </is>
      </c>
      <c r="F137" s="10">
        <f>IFERROR(VLOOKUP($B137,'SCHEDA STRUTTURA'!$A$13:$E$413,5,FALSE),"")</f>
        <v/>
      </c>
      <c r="G137" s="6" t="n"/>
      <c r="H137" s="5" t="inlineStr">
        <is>
          <t>PILASTRO MOTORE</t>
        </is>
      </c>
      <c r="I137" s="12" t="n">
        <v>1</v>
      </c>
    </row>
    <row r="138">
      <c r="A138" s="12" t="n">
        <v>134</v>
      </c>
      <c r="B138" s="5" t="inlineStr">
        <is>
          <t>TTS.PM.001.IPE140.37</t>
        </is>
      </c>
      <c r="C138" s="5" t="inlineStr">
        <is>
          <t>Pilastro motore trave ipe140 x 3720 con foratura alloggiamento quadro motore (standard)</t>
        </is>
      </c>
      <c r="D138" s="5" t="inlineStr">
        <is>
          <t>Carpenteria metallica</t>
        </is>
      </c>
      <c r="E138" s="12" t="inlineStr">
        <is>
          <t>pz</t>
        </is>
      </c>
      <c r="F138" s="10">
        <f>IFERROR(VLOOKUP($B138,'SCHEDA STRUTTURA'!$A$13:$E$413,5,FALSE),"")</f>
        <v/>
      </c>
      <c r="G138" s="6" t="n"/>
      <c r="H138" s="5" t="inlineStr">
        <is>
          <t>PILASTRO MOTORE</t>
        </is>
      </c>
      <c r="I138" s="12" t="n">
        <v>1</v>
      </c>
    </row>
    <row r="139">
      <c r="A139" s="12" t="n">
        <v>135</v>
      </c>
      <c r="B139" s="5" t="inlineStr">
        <is>
          <t>TTS.PM.001.IPEA140.37</t>
        </is>
      </c>
      <c r="C139" s="5" t="inlineStr">
        <is>
          <t>Pilastro motore trave ipea140 x 3720 con foratura alloggiamento quadro motore (alleggerita)</t>
        </is>
      </c>
      <c r="D139" s="5" t="inlineStr">
        <is>
          <t>Carpenteria metallica</t>
        </is>
      </c>
      <c r="E139" s="12" t="inlineStr">
        <is>
          <t>pz</t>
        </is>
      </c>
      <c r="F139" s="10">
        <f>IFERROR(VLOOKUP($B139,'SCHEDA STRUTTURA'!$A$13:$E$413,5,FALSE),"")</f>
        <v/>
      </c>
      <c r="G139" s="6" t="n"/>
      <c r="H139" s="5" t="inlineStr">
        <is>
          <t>PILASTRO MOTORE</t>
        </is>
      </c>
      <c r="I139" s="12" t="n">
        <v>1</v>
      </c>
    </row>
    <row r="140">
      <c r="A140" s="12" t="n">
        <v>136</v>
      </c>
      <c r="B140" s="5" t="inlineStr">
        <is>
          <t>TTS.PM.001.IPE140.38</t>
        </is>
      </c>
      <c r="C140" s="5" t="inlineStr">
        <is>
          <t>Pilastro motore trave ipe140 x 3820 con foratura alloggiamento quadro motore (standard)</t>
        </is>
      </c>
      <c r="D140" s="5" t="inlineStr">
        <is>
          <t>Carpenteria metallica</t>
        </is>
      </c>
      <c r="E140" s="12" t="inlineStr">
        <is>
          <t>pz</t>
        </is>
      </c>
      <c r="F140" s="10">
        <f>IFERROR(VLOOKUP($B140,'SCHEDA STRUTTURA'!$A$13:$E$413,5,FALSE),"")</f>
        <v/>
      </c>
      <c r="G140" s="6" t="n"/>
      <c r="H140" s="5" t="inlineStr">
        <is>
          <t>PILASTRO MOTORE</t>
        </is>
      </c>
      <c r="I140" s="12" t="n">
        <v>1</v>
      </c>
    </row>
    <row r="141">
      <c r="A141" s="12" t="n">
        <v>137</v>
      </c>
      <c r="B141" s="5" t="inlineStr">
        <is>
          <t>TTS.PM.001.IPEA140.38</t>
        </is>
      </c>
      <c r="C141" s="5" t="inlineStr">
        <is>
          <t>Pilastro motore trave ipea140 x 3820 con foratura alloggiamento quadro motore (alleggerita)</t>
        </is>
      </c>
      <c r="D141" s="5" t="inlineStr">
        <is>
          <t>Carpenteria metallica</t>
        </is>
      </c>
      <c r="E141" s="12" t="inlineStr">
        <is>
          <t>pz</t>
        </is>
      </c>
      <c r="F141" s="10">
        <f>IFERROR(VLOOKUP($B141,'SCHEDA STRUTTURA'!$A$13:$E$413,5,FALSE),"")</f>
        <v/>
      </c>
      <c r="G141" s="6" t="n"/>
      <c r="H141" s="5" t="inlineStr">
        <is>
          <t>PILASTRO MOTORE</t>
        </is>
      </c>
      <c r="I141" s="12" t="n">
        <v>1</v>
      </c>
    </row>
    <row r="142">
      <c r="A142" s="12" t="n">
        <v>138</v>
      </c>
      <c r="B142" s="5" t="inlineStr">
        <is>
          <t>TTS.PM.001.IPE140.39</t>
        </is>
      </c>
      <c r="C142" s="5" t="inlineStr">
        <is>
          <t>Pilastro motore trave ipe140 x 3920 con foratura alloggiamento quadro motore (standard)</t>
        </is>
      </c>
      <c r="D142" s="5" t="inlineStr">
        <is>
          <t>Carpenteria metallica</t>
        </is>
      </c>
      <c r="E142" s="12" t="inlineStr">
        <is>
          <t>pz</t>
        </is>
      </c>
      <c r="F142" s="10">
        <f>IFERROR(VLOOKUP($B142,'SCHEDA STRUTTURA'!$A$13:$E$413,5,FALSE),"")</f>
        <v/>
      </c>
      <c r="G142" s="6" t="n"/>
      <c r="H142" s="5" t="inlineStr">
        <is>
          <t>PILASTRO MOTORE</t>
        </is>
      </c>
      <c r="I142" s="12" t="n">
        <v>1</v>
      </c>
    </row>
    <row r="143">
      <c r="A143" s="12" t="n">
        <v>139</v>
      </c>
      <c r="B143" s="5" t="inlineStr">
        <is>
          <t>TTS.PM.001.IPEA140.39</t>
        </is>
      </c>
      <c r="C143" s="5" t="inlineStr">
        <is>
          <t>Pilastro motore trave ipea140 x 3920 con foratura alloggiamento quadro motore (alleggerita)</t>
        </is>
      </c>
      <c r="D143" s="5" t="inlineStr">
        <is>
          <t>Carpenteria metallica</t>
        </is>
      </c>
      <c r="E143" s="12" t="inlineStr">
        <is>
          <t>pz</t>
        </is>
      </c>
      <c r="F143" s="10">
        <f>IFERROR(VLOOKUP($B143,'SCHEDA STRUTTURA'!$A$13:$E$413,5,FALSE),"")</f>
        <v/>
      </c>
      <c r="G143" s="6" t="n"/>
      <c r="H143" s="5" t="inlineStr">
        <is>
          <t>PILASTRO MOTORE</t>
        </is>
      </c>
      <c r="I143" s="12" t="n">
        <v>1</v>
      </c>
    </row>
    <row r="144">
      <c r="A144" s="12" t="n">
        <v>140</v>
      </c>
      <c r="B144" s="5" t="inlineStr">
        <is>
          <t>TTS.PM.001.IPE140.40</t>
        </is>
      </c>
      <c r="C144" s="5" t="inlineStr">
        <is>
          <t>Pilastro motore trave ipe140 x 4020 con foratura alloggiamento quadro motore (standard)</t>
        </is>
      </c>
      <c r="D144" s="5" t="inlineStr">
        <is>
          <t>Carpenteria metallica</t>
        </is>
      </c>
      <c r="E144" s="12" t="inlineStr">
        <is>
          <t>pz</t>
        </is>
      </c>
      <c r="F144" s="10">
        <f>IFERROR(VLOOKUP($B144,'SCHEDA STRUTTURA'!$A$13:$E$413,5,FALSE),"")</f>
        <v/>
      </c>
      <c r="G144" s="6" t="n"/>
      <c r="H144" s="5" t="inlineStr">
        <is>
          <t>PILASTRO MOTORE</t>
        </is>
      </c>
      <c r="I144" s="12" t="n">
        <v>1</v>
      </c>
    </row>
    <row r="145">
      <c r="A145" s="12" t="n">
        <v>141</v>
      </c>
      <c r="B145" s="5" t="inlineStr">
        <is>
          <t>TTS.PM.001.IPEA140.40</t>
        </is>
      </c>
      <c r="C145" s="5" t="inlineStr">
        <is>
          <t>Pilastro motore trave ipea140 x 4020 con foratura alloggiamento quadro motore (alleggerita)</t>
        </is>
      </c>
      <c r="D145" s="5" t="inlineStr">
        <is>
          <t>Carpenteria metallica</t>
        </is>
      </c>
      <c r="E145" s="12" t="inlineStr">
        <is>
          <t>pz</t>
        </is>
      </c>
      <c r="F145" s="10">
        <f>IFERROR(VLOOKUP($B145,'SCHEDA STRUTTURA'!$A$13:$E$413,5,FALSE),"")</f>
        <v/>
      </c>
      <c r="G145" s="6" t="n"/>
      <c r="H145" s="5" t="inlineStr">
        <is>
          <t>PILASTRO MOTORE</t>
        </is>
      </c>
      <c r="I145" s="12" t="n">
        <v>1</v>
      </c>
    </row>
    <row r="146">
      <c r="A146" s="12" t="n">
        <v>142</v>
      </c>
      <c r="B146" s="5" t="inlineStr">
        <is>
          <t>TTS.PM.001.IPE140.41</t>
        </is>
      </c>
      <c r="C146" s="5" t="inlineStr">
        <is>
          <t>Pilastro motore trave ipe140 x 4120 con foratura alloggiamento quadro motore (standard)</t>
        </is>
      </c>
      <c r="D146" s="5" t="inlineStr">
        <is>
          <t>Carpenteria metallica</t>
        </is>
      </c>
      <c r="E146" s="12" t="inlineStr">
        <is>
          <t>pz</t>
        </is>
      </c>
      <c r="F146" s="10">
        <f>IFERROR(VLOOKUP($B146,'SCHEDA STRUTTURA'!$A$13:$E$413,5,FALSE),"")</f>
        <v/>
      </c>
      <c r="G146" s="6" t="n"/>
      <c r="H146" s="5" t="inlineStr">
        <is>
          <t>PILASTRO MOTORE</t>
        </is>
      </c>
      <c r="I146" s="12" t="n">
        <v>1</v>
      </c>
    </row>
    <row r="147">
      <c r="A147" s="12" t="n">
        <v>143</v>
      </c>
      <c r="B147" s="5" t="inlineStr">
        <is>
          <t>TTS.PM.001.IPEA140.41</t>
        </is>
      </c>
      <c r="C147" s="5" t="inlineStr">
        <is>
          <t>Pilastro motore trave ipea140 x 4120 con foratura alloggiamento quadro motore (alleggerita)</t>
        </is>
      </c>
      <c r="D147" s="5" t="inlineStr">
        <is>
          <t>Carpenteria metallica</t>
        </is>
      </c>
      <c r="E147" s="12" t="inlineStr">
        <is>
          <t>pz</t>
        </is>
      </c>
      <c r="F147" s="10">
        <f>IFERROR(VLOOKUP($B147,'SCHEDA STRUTTURA'!$A$13:$E$413,5,FALSE),"")</f>
        <v/>
      </c>
      <c r="G147" s="6" t="n"/>
      <c r="H147" s="5" t="inlineStr">
        <is>
          <t>PILASTRO MOTORE</t>
        </is>
      </c>
      <c r="I147" s="12" t="n">
        <v>1</v>
      </c>
    </row>
    <row r="148">
      <c r="A148" s="12" t="n">
        <v>144</v>
      </c>
      <c r="B148" s="5" t="inlineStr">
        <is>
          <t>TTS.PM.001.IPE140.42</t>
        </is>
      </c>
      <c r="C148" s="5" t="inlineStr">
        <is>
          <t>Pilastro motore trave ipe140 x 4220 con foratura alloggiamento quadro motore (standard)</t>
        </is>
      </c>
      <c r="D148" s="5" t="inlineStr">
        <is>
          <t>Carpenteria metallica</t>
        </is>
      </c>
      <c r="E148" s="12" t="inlineStr">
        <is>
          <t>pz</t>
        </is>
      </c>
      <c r="F148" s="10">
        <f>IFERROR(VLOOKUP($B148,'SCHEDA STRUTTURA'!$A$13:$E$413,5,FALSE),"")</f>
        <v/>
      </c>
      <c r="G148" s="6" t="n"/>
      <c r="H148" s="5" t="inlineStr">
        <is>
          <t>PILASTRO MOTORE</t>
        </is>
      </c>
      <c r="I148" s="12" t="n">
        <v>1</v>
      </c>
    </row>
    <row r="149">
      <c r="A149" s="12" t="n">
        <v>145</v>
      </c>
      <c r="B149" s="5" t="inlineStr">
        <is>
          <t>TTS.PM.001.IPEA140.42</t>
        </is>
      </c>
      <c r="C149" s="5" t="inlineStr">
        <is>
          <t>Pilastro motore trave ipea140 x 4220 con foratura alloggiamento quadro motore (alleggerita)</t>
        </is>
      </c>
      <c r="D149" s="5" t="inlineStr">
        <is>
          <t>Carpenteria metallica</t>
        </is>
      </c>
      <c r="E149" s="12" t="inlineStr">
        <is>
          <t>pz</t>
        </is>
      </c>
      <c r="F149" s="10">
        <f>IFERROR(VLOOKUP($B149,'SCHEDA STRUTTURA'!$A$13:$E$413,5,FALSE),"")</f>
        <v/>
      </c>
      <c r="G149" s="6" t="n"/>
      <c r="H149" s="5" t="inlineStr">
        <is>
          <t>PILASTRO MOTORE</t>
        </is>
      </c>
      <c r="I149" s="12" t="n">
        <v>1</v>
      </c>
    </row>
    <row r="150">
      <c r="A150" s="12" t="n">
        <v>146</v>
      </c>
      <c r="B150" s="5" t="inlineStr">
        <is>
          <t>TTS.PM.001.IPE140.43</t>
        </is>
      </c>
      <c r="C150" s="5" t="inlineStr">
        <is>
          <t>Pilastro motore trave ipe140 x 4320 con foratura alloggiamento quadro motore (standard)</t>
        </is>
      </c>
      <c r="D150" s="5" t="inlineStr">
        <is>
          <t>Carpenteria metallica</t>
        </is>
      </c>
      <c r="E150" s="12" t="inlineStr">
        <is>
          <t>pz</t>
        </is>
      </c>
      <c r="F150" s="10">
        <f>IFERROR(VLOOKUP($B150,'SCHEDA STRUTTURA'!$A$13:$E$413,5,FALSE),"")</f>
        <v/>
      </c>
      <c r="G150" s="6" t="n"/>
      <c r="H150" s="5" t="inlineStr">
        <is>
          <t>PILASTRO MOTORE</t>
        </is>
      </c>
      <c r="I150" s="12" t="n">
        <v>1</v>
      </c>
    </row>
    <row r="151">
      <c r="A151" s="12" t="n">
        <v>147</v>
      </c>
      <c r="B151" s="5" t="inlineStr">
        <is>
          <t>TTS.PM.001.IPEA140.43</t>
        </is>
      </c>
      <c r="C151" s="5" t="inlineStr">
        <is>
          <t>Pilastro motore trave ipea140 x 4320 con foratura alloggiamento quadro motore (alleggerita)</t>
        </is>
      </c>
      <c r="D151" s="5" t="inlineStr">
        <is>
          <t>Carpenteria metallica</t>
        </is>
      </c>
      <c r="E151" s="12" t="inlineStr">
        <is>
          <t>pz</t>
        </is>
      </c>
      <c r="F151" s="10">
        <f>IFERROR(VLOOKUP($B151,'SCHEDA STRUTTURA'!$A$13:$E$413,5,FALSE),"")</f>
        <v/>
      </c>
      <c r="G151" s="6" t="n"/>
      <c r="H151" s="5" t="inlineStr">
        <is>
          <t>PILASTRO MOTORE</t>
        </is>
      </c>
      <c r="I151" s="12" t="n">
        <v>1</v>
      </c>
    </row>
    <row r="152">
      <c r="A152" s="12" t="n">
        <v>148</v>
      </c>
      <c r="B152" s="5" t="inlineStr">
        <is>
          <t>TTS.PM.001.IPE140.44</t>
        </is>
      </c>
      <c r="C152" s="5" t="inlineStr">
        <is>
          <t>Pilastro motore trave ipe140 x 4420 con foratura alloggiamento quadro motore (standard)</t>
        </is>
      </c>
      <c r="D152" s="5" t="inlineStr">
        <is>
          <t>Carpenteria metallica</t>
        </is>
      </c>
      <c r="E152" s="12" t="inlineStr">
        <is>
          <t>pz</t>
        </is>
      </c>
      <c r="F152" s="10">
        <f>IFERROR(VLOOKUP($B152,'SCHEDA STRUTTURA'!$A$13:$E$413,5,FALSE),"")</f>
        <v/>
      </c>
      <c r="G152" s="6" t="n"/>
      <c r="H152" s="5" t="inlineStr">
        <is>
          <t>PILASTRO MOTORE</t>
        </is>
      </c>
      <c r="I152" s="12" t="n">
        <v>1</v>
      </c>
    </row>
    <row r="153">
      <c r="A153" s="14" t="n">
        <v>149</v>
      </c>
      <c r="B153" t="inlineStr">
        <is>
          <t>TTS.PM.001.IPEA140.44</t>
        </is>
      </c>
      <c r="C153" t="inlineStr">
        <is>
          <t>Pilastro motore trave ipea140 x 4420 con foratura alloggiamento quadro motore (alleggerita)</t>
        </is>
      </c>
      <c r="D153" t="inlineStr">
        <is>
          <t>Carpenteria metallica</t>
        </is>
      </c>
      <c r="E153" s="14" t="inlineStr">
        <is>
          <t>pz</t>
        </is>
      </c>
      <c r="F153" s="15">
        <f>IFERROR(VLOOKUP($B153,'SCHEDA STRUTTURA'!$A$13:$E$413,5,FALSE),"")</f>
        <v/>
      </c>
      <c r="G153" s="13" t="n"/>
      <c r="H153" t="inlineStr">
        <is>
          <t>PILASTRO MOTORE</t>
        </is>
      </c>
      <c r="I153" s="14" t="n">
        <v>1</v>
      </c>
    </row>
    <row r="154">
      <c r="A154" s="14" t="n">
        <v>150</v>
      </c>
      <c r="B154" t="inlineStr">
        <is>
          <t>TTS.PM.001.IPE140.22.QC</t>
        </is>
      </c>
      <c r="C154" t="inlineStr">
        <is>
          <t>Pilastro motore trave ipe140 x 2220 con foratura alloggiamento quadro motore + quadro centralina meteo + quadro alimentazione centralina meteo</t>
        </is>
      </c>
      <c r="D154" t="inlineStr">
        <is>
          <t>Carpenteria metallica</t>
        </is>
      </c>
      <c r="E154" s="14" t="inlineStr">
        <is>
          <t>pz</t>
        </is>
      </c>
      <c r="F154" s="15">
        <f>IFERROR(VLOOKUP($B154,'SCHEDA STRUTTURA'!$A$13:$E$413,5,FALSE),"")</f>
        <v/>
      </c>
      <c r="G154" s="13" t="n"/>
      <c r="H154" t="inlineStr">
        <is>
          <t>kit quadri centralina meteo</t>
        </is>
      </c>
      <c r="I154" s="14" t="n">
        <v>1</v>
      </c>
    </row>
    <row r="155">
      <c r="A155" s="14" t="n">
        <v>151</v>
      </c>
      <c r="B155" t="inlineStr">
        <is>
          <t>TTS.PM.001.IPEA140.22.QC</t>
        </is>
      </c>
      <c r="C155" t="inlineStr">
        <is>
          <t>Pilastro motore trave ipea140 x 2220 con foratura alloggiamento quadro motore + quadro centralina meteo + quadro alimentazione centralina meteo (alleggerita)</t>
        </is>
      </c>
      <c r="D155" t="inlineStr">
        <is>
          <t>Carpenteria metallica</t>
        </is>
      </c>
      <c r="E155" s="14" t="inlineStr">
        <is>
          <t>pz</t>
        </is>
      </c>
      <c r="F155" s="15">
        <f>IFERROR(VLOOKUP($B155,'SCHEDA STRUTTURA'!$A$13:$E$413,5,FALSE),"")</f>
        <v/>
      </c>
      <c r="G155" s="13" t="n"/>
      <c r="H155" t="inlineStr">
        <is>
          <t>kit quadri centralina meteo</t>
        </is>
      </c>
      <c r="I155" s="14" t="n">
        <v>1</v>
      </c>
    </row>
    <row r="156">
      <c r="A156" s="14" t="n">
        <v>152</v>
      </c>
      <c r="B156" t="inlineStr">
        <is>
          <t>TTS.PM.002.IPE140</t>
        </is>
      </c>
      <c r="C156" t="inlineStr">
        <is>
          <t>Supporto laterale testa riduttore</t>
        </is>
      </c>
      <c r="D156" t="inlineStr">
        <is>
          <t>Carpenteria metallica</t>
        </is>
      </c>
      <c r="E156" s="14" t="inlineStr">
        <is>
          <t>pz</t>
        </is>
      </c>
      <c r="F156" s="15" t="n"/>
      <c r="G156" s="13" t="n"/>
      <c r="H156" t="inlineStr">
        <is>
          <t>PILASTRO MOTORE</t>
        </is>
      </c>
      <c r="I156" s="14" t="n">
        <v>1</v>
      </c>
    </row>
    <row r="157">
      <c r="A157" s="14" t="n">
        <v>153</v>
      </c>
      <c r="B157" t="inlineStr">
        <is>
          <t>TTS.PM.002.IPEA140</t>
        </is>
      </c>
      <c r="C157" t="inlineStr">
        <is>
          <t>Supporto laterale testa riduttore (alleggerita)</t>
        </is>
      </c>
      <c r="D157" t="inlineStr">
        <is>
          <t>Carpenteria metallica</t>
        </is>
      </c>
      <c r="E157" s="14" t="inlineStr">
        <is>
          <t>pz</t>
        </is>
      </c>
      <c r="F157" s="15" t="n"/>
      <c r="G157" s="13" t="n"/>
      <c r="H157" t="inlineStr">
        <is>
          <t>PILASTRO MOTORE</t>
        </is>
      </c>
      <c r="I157" s="14" t="n">
        <v>1</v>
      </c>
    </row>
    <row r="158">
      <c r="A158" s="14" t="n">
        <v>154</v>
      </c>
      <c r="B158" t="inlineStr">
        <is>
          <t>TTS.PM.003.IPE140</t>
        </is>
      </c>
      <c r="C158" t="inlineStr">
        <is>
          <t>Testa riduttore pilastro motore</t>
        </is>
      </c>
      <c r="D158" t="inlineStr">
        <is>
          <t>Carpenteria metallica</t>
        </is>
      </c>
      <c r="E158" s="14" t="inlineStr">
        <is>
          <t>pz</t>
        </is>
      </c>
      <c r="F158" s="15" t="n"/>
      <c r="G158" s="13" t="n"/>
      <c r="H158" t="inlineStr">
        <is>
          <t>PILASTRO MOTORE</t>
        </is>
      </c>
      <c r="I158" s="14" t="n">
        <v>1</v>
      </c>
    </row>
    <row r="159">
      <c r="A159" s="14" t="n">
        <v>155</v>
      </c>
      <c r="B159" t="inlineStr">
        <is>
          <t>TTS.PM.003.IPEA140</t>
        </is>
      </c>
      <c r="C159" t="inlineStr">
        <is>
          <t>Testa riduttore pilastro motore (alleggerita)</t>
        </is>
      </c>
      <c r="D159" t="inlineStr">
        <is>
          <t>Carpenteria metallica</t>
        </is>
      </c>
      <c r="E159" s="14" t="inlineStr">
        <is>
          <t>pz</t>
        </is>
      </c>
      <c r="F159" s="15" t="n"/>
      <c r="G159" s="13" t="n"/>
      <c r="H159" t="inlineStr">
        <is>
          <t>PILASTRO MOTORE</t>
        </is>
      </c>
      <c r="I159" s="14" t="n">
        <v>1</v>
      </c>
    </row>
    <row r="160">
      <c r="A160" s="14" t="n">
        <v>156</v>
      </c>
      <c r="B160" t="inlineStr">
        <is>
          <t>TTS.PM.2011</t>
        </is>
      </c>
      <c r="C160" t="inlineStr">
        <is>
          <t>Angolare 30x30x4 lungo 370 mm. superiore</t>
        </is>
      </c>
      <c r="D160" t="inlineStr">
        <is>
          <t>Carpenteria metallica</t>
        </is>
      </c>
      <c r="E160" s="14" t="inlineStr">
        <is>
          <t>pz</t>
        </is>
      </c>
      <c r="F160" s="15" t="n"/>
      <c r="G160" s="13" t="n"/>
      <c r="H160" t="inlineStr">
        <is>
          <t>kit quadro motore, kit quadri centralina meteo</t>
        </is>
      </c>
      <c r="I160" s="14" t="n">
        <v>2</v>
      </c>
    </row>
    <row r="161">
      <c r="A161" s="14" t="n">
        <v>157</v>
      </c>
      <c r="B161" t="inlineStr">
        <is>
          <t>TTS.PM.2012</t>
        </is>
      </c>
      <c r="C161" t="inlineStr">
        <is>
          <t>Angolare 30x30x4 lungo 370 mm. inferiore</t>
        </is>
      </c>
      <c r="D161" t="inlineStr">
        <is>
          <t>Carpenteria metallica</t>
        </is>
      </c>
      <c r="E161" s="14" t="inlineStr">
        <is>
          <t>pz</t>
        </is>
      </c>
      <c r="F161" s="15" t="n"/>
      <c r="G161" s="13" t="n"/>
      <c r="H161" t="inlineStr">
        <is>
          <t>kit quadro motore, kit quadri centralina meteo</t>
        </is>
      </c>
      <c r="I161" s="14" t="n">
        <v>3</v>
      </c>
    </row>
    <row r="162">
      <c r="A162" s="14" t="n">
        <v>158</v>
      </c>
      <c r="B162" t="inlineStr">
        <is>
          <t>TTS.SM.001</t>
        </is>
      </c>
      <c r="C162" t="inlineStr">
        <is>
          <t>Piatto 50X5X230 supporto sensori</t>
        </is>
      </c>
      <c r="D162" t="inlineStr">
        <is>
          <t>Carpenteria metallica</t>
        </is>
      </c>
      <c r="E162" s="14" t="inlineStr">
        <is>
          <t>pz</t>
        </is>
      </c>
      <c r="F162" s="15" t="n"/>
      <c r="G162" s="13" t="n"/>
      <c r="H162" t="inlineStr">
        <is>
          <t>sensori meteo</t>
        </is>
      </c>
      <c r="I162" s="14" t="n">
        <v>1</v>
      </c>
    </row>
    <row r="163">
      <c r="A163" s="14" t="n">
        <v>159</v>
      </c>
      <c r="B163" t="inlineStr">
        <is>
          <t>TTS.SM.002</t>
        </is>
      </c>
      <c r="C163" t="inlineStr">
        <is>
          <t>Piatto 30X3X193 leva sensore temperatura pannello</t>
        </is>
      </c>
      <c r="D163" t="inlineStr">
        <is>
          <t>Carpenteria metallica</t>
        </is>
      </c>
      <c r="E163" s="14" t="inlineStr">
        <is>
          <t>pz</t>
        </is>
      </c>
      <c r="F163" s="15" t="n"/>
      <c r="G163" s="13" t="n"/>
      <c r="H163" t="inlineStr">
        <is>
          <t>sensori meteo</t>
        </is>
      </c>
      <c r="I163" s="14" t="n">
        <v>1</v>
      </c>
    </row>
    <row r="164">
      <c r="A164" s="14" t="n">
        <v>160</v>
      </c>
      <c r="B164" t="inlineStr">
        <is>
          <t>TTS.SM.003</t>
        </is>
      </c>
      <c r="C164" t="inlineStr">
        <is>
          <t>Asta supporto anemometro</t>
        </is>
      </c>
      <c r="D164" t="inlineStr">
        <is>
          <t>Carpenteria metallica</t>
        </is>
      </c>
      <c r="E164" s="14" t="inlineStr">
        <is>
          <t>pz</t>
        </is>
      </c>
      <c r="F164" s="15" t="n"/>
      <c r="G164" s="13" t="n"/>
      <c r="H164" t="inlineStr">
        <is>
          <t>sensori meteo</t>
        </is>
      </c>
      <c r="I164" s="14" t="n">
        <v>1</v>
      </c>
    </row>
    <row r="165">
      <c r="A165" s="14" t="n">
        <v>161</v>
      </c>
      <c r="C165" t="inlineStr">
        <is>
          <t>Omega alloggiamento kit sensore termometro a contatto</t>
        </is>
      </c>
      <c r="D165" t="inlineStr">
        <is>
          <t>Carpenteria metallica</t>
        </is>
      </c>
      <c r="E165" s="14" t="inlineStr">
        <is>
          <t>pz</t>
        </is>
      </c>
      <c r="F165" s="15" t="n"/>
      <c r="G165" s="13" t="n"/>
      <c r="I165" s="14" t="n"/>
    </row>
    <row r="166">
      <c r="A166" s="14" t="n">
        <v>162</v>
      </c>
      <c r="B166" t="inlineStr">
        <is>
          <t>06TAP120X120</t>
        </is>
      </c>
      <c r="C166" t="inlineStr">
        <is>
          <t>Tappo profilato 120x120</t>
        </is>
      </c>
      <c r="D166" t="inlineStr">
        <is>
          <t>Bulloneria e minuteria</t>
        </is>
      </c>
      <c r="E166" s="14" t="inlineStr">
        <is>
          <t>pz</t>
        </is>
      </c>
      <c r="F166" s="15" t="n"/>
      <c r="G166" s="13" t="n"/>
      <c r="H166" t="inlineStr">
        <is>
          <t>sensori meteo</t>
        </is>
      </c>
      <c r="I166" s="14" t="n">
        <v>1</v>
      </c>
    </row>
    <row r="167">
      <c r="A167" s="14" t="n">
        <v>163</v>
      </c>
      <c r="B167" t="inlineStr">
        <is>
          <t>10BZ10X30</t>
        </is>
      </c>
      <c r="C167" t="inlineStr">
        <is>
          <t>Bullone testa esagonale M10X30</t>
        </is>
      </c>
      <c r="D167" t="inlineStr">
        <is>
          <t>Bulloneria e minuteria</t>
        </is>
      </c>
      <c r="E167" s="14" t="inlineStr">
        <is>
          <t>pz</t>
        </is>
      </c>
      <c r="F167" s="15" t="n"/>
      <c r="G167" s="13" t="n"/>
      <c r="H167" t="inlineStr">
        <is>
          <t>PILASTRO CUSCINETTO</t>
        </is>
      </c>
      <c r="I167" s="14" t="n">
        <v>1</v>
      </c>
    </row>
    <row r="168">
      <c r="A168" s="14" t="n">
        <v>164</v>
      </c>
      <c r="B168" t="inlineStr">
        <is>
          <t>10BZ10X40</t>
        </is>
      </c>
      <c r="C168" t="inlineStr">
        <is>
          <t>Bullone testa esagonale zn M10X40</t>
        </is>
      </c>
      <c r="D168" t="inlineStr">
        <is>
          <t>Bulloneria e minuteria</t>
        </is>
      </c>
      <c r="E168" s="14" t="inlineStr">
        <is>
          <t>pz</t>
        </is>
      </c>
      <c r="F168" s="15" t="n"/>
      <c r="G168" s="13" t="n"/>
      <c r="H168" t="inlineStr">
        <is>
          <t>PILASTRO MOTORE, PILASTRO CUSCINETTO</t>
        </is>
      </c>
      <c r="I168" s="14" t="n">
        <v>3</v>
      </c>
    </row>
    <row r="169">
      <c r="A169" s="14" t="n">
        <v>165</v>
      </c>
      <c r="B169" t="inlineStr">
        <is>
          <t>10BZ16X140</t>
        </is>
      </c>
      <c r="C169" t="inlineStr">
        <is>
          <t>Bullone testa esagonale M16x140 mezzo filetto</t>
        </is>
      </c>
      <c r="D169" t="inlineStr">
        <is>
          <t>Bulloneria e minuteria</t>
        </is>
      </c>
      <c r="E169" s="14" t="inlineStr">
        <is>
          <t>pz</t>
        </is>
      </c>
      <c r="F169" s="15" t="n"/>
      <c r="G169" s="13" t="n"/>
      <c r="H169" t="inlineStr">
        <is>
          <t>PILASTRO CUSCINETTO</t>
        </is>
      </c>
      <c r="I169" s="14" t="n">
        <v>1</v>
      </c>
    </row>
    <row r="170">
      <c r="A170" s="14" t="n">
        <v>166</v>
      </c>
      <c r="B170" t="inlineStr">
        <is>
          <t>10BZM10X160</t>
        </is>
      </c>
      <c r="C170" t="inlineStr">
        <is>
          <t>Bullone testa esagonale zn M10X160</t>
        </is>
      </c>
      <c r="D170" t="inlineStr">
        <is>
          <t>Bulloneria e minuteria</t>
        </is>
      </c>
      <c r="E170" s="14" t="inlineStr">
        <is>
          <t>pz</t>
        </is>
      </c>
      <c r="F170" s="15" t="n"/>
      <c r="G170" s="13" t="n"/>
      <c r="H170" t="inlineStr">
        <is>
          <t>KIT OMEGA+pannelli</t>
        </is>
      </c>
      <c r="I170" s="14" t="n">
        <v>1</v>
      </c>
    </row>
    <row r="171">
      <c r="A171" s="14" t="n">
        <v>167</v>
      </c>
      <c r="B171" t="inlineStr">
        <is>
          <t>10BZM10X30</t>
        </is>
      </c>
      <c r="C171" t="inlineStr">
        <is>
          <t>Bullone testa esagonale zn M10X30</t>
        </is>
      </c>
      <c r="D171" t="inlineStr">
        <is>
          <t>Bulloneria e minuteria</t>
        </is>
      </c>
      <c r="E171" s="14" t="inlineStr">
        <is>
          <t>pz</t>
        </is>
      </c>
      <c r="F171" s="15" t="n"/>
      <c r="G171" s="13" t="n"/>
      <c r="H171" t="inlineStr">
        <is>
          <t>ASSI DI ROTAZIONE 1303</t>
        </is>
      </c>
      <c r="I171" s="14" t="n">
        <v>5</v>
      </c>
    </row>
    <row r="172">
      <c r="A172" s="14" t="n">
        <v>168</v>
      </c>
      <c r="B172" t="inlineStr">
        <is>
          <t>10BZM10X40</t>
        </is>
      </c>
      <c r="C172" t="inlineStr">
        <is>
          <t>Bullone testa esagonale M10X40</t>
        </is>
      </c>
      <c r="D172" t="inlineStr">
        <is>
          <t>Bulloneria e minuteria</t>
        </is>
      </c>
      <c r="E172" s="14" t="inlineStr">
        <is>
          <t>pz</t>
        </is>
      </c>
      <c r="F172" s="15" t="n"/>
      <c r="G172" s="13" t="n"/>
      <c r="H172" t="inlineStr">
        <is>
          <t>PILASTRO MOTORE, PILASTRO CUSCINETTO</t>
        </is>
      </c>
      <c r="I172" s="14" t="n">
        <v>3</v>
      </c>
    </row>
    <row r="173">
      <c r="A173" s="14" t="n">
        <v>169</v>
      </c>
      <c r="B173" t="inlineStr">
        <is>
          <t>10BZM16X25</t>
        </is>
      </c>
      <c r="C173" t="inlineStr">
        <is>
          <t>Bullone testa esagonale zn M16X25</t>
        </is>
      </c>
      <c r="D173" t="inlineStr">
        <is>
          <t>Bulloneria e minuteria</t>
        </is>
      </c>
      <c r="E173" s="14" t="inlineStr">
        <is>
          <t>pz</t>
        </is>
      </c>
      <c r="F173" s="15" t="n"/>
      <c r="G173" s="13" t="n"/>
      <c r="H173" t="inlineStr">
        <is>
          <t>KIT FINE CORSA</t>
        </is>
      </c>
      <c r="I173" s="14" t="n">
        <v>1</v>
      </c>
    </row>
    <row r="174">
      <c r="A174" s="14" t="n">
        <v>170</v>
      </c>
      <c r="B174" t="inlineStr">
        <is>
          <t>10BZM16X60</t>
        </is>
      </c>
      <c r="C174" t="inlineStr">
        <is>
          <t>Bullone testa esagonale M16X60</t>
        </is>
      </c>
      <c r="D174" t="inlineStr">
        <is>
          <t>Bulloneria e minuteria</t>
        </is>
      </c>
      <c r="E174" s="14" t="inlineStr">
        <is>
          <t>pz</t>
        </is>
      </c>
      <c r="F174" s="15" t="n"/>
      <c r="G174" s="13" t="n"/>
      <c r="H174" t="inlineStr">
        <is>
          <t>PILASTRO MOTORE</t>
        </is>
      </c>
      <c r="I174" s="14" t="n">
        <v>1</v>
      </c>
    </row>
    <row r="175">
      <c r="A175" s="14" t="n">
        <v>171</v>
      </c>
      <c r="B175" t="inlineStr">
        <is>
          <t>10BZM5X20</t>
        </is>
      </c>
      <c r="C175" t="inlineStr">
        <is>
          <t>Bullone testa esagonale zn M5x20</t>
        </is>
      </c>
      <c r="D175" t="inlineStr">
        <is>
          <t>Bulloneria e minuteria</t>
        </is>
      </c>
      <c r="E175" s="14" t="inlineStr">
        <is>
          <t>pz</t>
        </is>
      </c>
      <c r="F175" s="15" t="n"/>
      <c r="G175" s="13" t="n"/>
      <c r="H175" t="inlineStr">
        <is>
          <t>sensori meteo</t>
        </is>
      </c>
      <c r="I175" s="14" t="n">
        <v>3</v>
      </c>
    </row>
    <row r="176">
      <c r="A176" s="14" t="n">
        <v>172</v>
      </c>
      <c r="B176" t="inlineStr">
        <is>
          <t>10BZM5X30</t>
        </is>
      </c>
      <c r="C176" t="inlineStr">
        <is>
          <t>Bullone testa esagonale zn M5x30</t>
        </is>
      </c>
      <c r="D176" t="inlineStr">
        <is>
          <t>Bulloneria e minuteria</t>
        </is>
      </c>
      <c r="E176" s="14" t="inlineStr">
        <is>
          <t>pz</t>
        </is>
      </c>
      <c r="F176" s="15" t="n"/>
      <c r="G176" s="13" t="n"/>
      <c r="H176" t="inlineStr">
        <is>
          <t>KIT FINE CORSA</t>
        </is>
      </c>
      <c r="I176" s="14" t="n">
        <v>1</v>
      </c>
    </row>
    <row r="177">
      <c r="A177" s="14" t="n">
        <v>173</v>
      </c>
      <c r="B177" t="inlineStr">
        <is>
          <t>10BZM6X150</t>
        </is>
      </c>
      <c r="C177" t="inlineStr">
        <is>
          <t>Bullone testa esagonale zn M6X150</t>
        </is>
      </c>
      <c r="D177" t="inlineStr">
        <is>
          <t>Bulloneria e minuteria</t>
        </is>
      </c>
      <c r="E177" s="14" t="inlineStr">
        <is>
          <t>pz</t>
        </is>
      </c>
      <c r="F177" s="15" t="n"/>
      <c r="G177" s="13" t="n"/>
      <c r="H177" t="inlineStr">
        <is>
          <t>KIT OMEGA+pannelli</t>
        </is>
      </c>
      <c r="I177" s="14" t="n">
        <v>1</v>
      </c>
    </row>
    <row r="178">
      <c r="A178" s="14" t="n">
        <v>174</v>
      </c>
      <c r="B178" t="inlineStr">
        <is>
          <t>10BZM6X20</t>
        </is>
      </c>
      <c r="C178" t="inlineStr">
        <is>
          <t>Bullone testa esagonale zn M6X20</t>
        </is>
      </c>
      <c r="D178" t="inlineStr">
        <is>
          <t>Bulloneria e minuteria</t>
        </is>
      </c>
      <c r="E178" s="14" t="inlineStr">
        <is>
          <t>pz</t>
        </is>
      </c>
      <c r="F178" s="15" t="n"/>
      <c r="G178" s="13" t="n"/>
      <c r="H178" t="inlineStr">
        <is>
          <t>KIT FINE CORSA</t>
        </is>
      </c>
      <c r="I178" s="14" t="n">
        <v>1</v>
      </c>
    </row>
    <row r="179">
      <c r="A179" s="14" t="n">
        <v>175</v>
      </c>
      <c r="B179" t="inlineStr">
        <is>
          <t>10BZM6X25</t>
        </is>
      </c>
      <c r="C179" t="inlineStr">
        <is>
          <t>Bullone testa esagonale zn M6X30</t>
        </is>
      </c>
      <c r="D179" t="inlineStr">
        <is>
          <t>Bulloneria e minuteria</t>
        </is>
      </c>
      <c r="E179" s="14" t="inlineStr">
        <is>
          <t>pz</t>
        </is>
      </c>
      <c r="F179" s="15" t="n"/>
      <c r="G179" s="13" t="n"/>
      <c r="H179" t="inlineStr">
        <is>
          <t>kit quadri centralina meteo</t>
        </is>
      </c>
      <c r="I179" s="14" t="n">
        <v>1</v>
      </c>
    </row>
    <row r="180">
      <c r="A180" s="14" t="n">
        <v>176</v>
      </c>
      <c r="B180" t="inlineStr">
        <is>
          <t>10BZM6X30</t>
        </is>
      </c>
      <c r="C180" t="inlineStr">
        <is>
          <t>Bullone testa esagonale zn M6X30</t>
        </is>
      </c>
      <c r="D180" t="inlineStr">
        <is>
          <t>Bulloneria e minuteria</t>
        </is>
      </c>
      <c r="E180" s="14" t="inlineStr">
        <is>
          <t>pz</t>
        </is>
      </c>
      <c r="F180" s="15" t="n"/>
      <c r="G180" s="13" t="n"/>
      <c r="H180" t="inlineStr">
        <is>
          <t>kit quadro motore, sensori meteo</t>
        </is>
      </c>
      <c r="I180" s="14" t="n">
        <v>2</v>
      </c>
    </row>
    <row r="181">
      <c r="A181" s="14" t="n">
        <v>177</v>
      </c>
      <c r="B181" t="inlineStr">
        <is>
          <t>10BZM8X150</t>
        </is>
      </c>
      <c r="C181" t="inlineStr">
        <is>
          <t>Bullone testa esagonale zn M8X150</t>
        </is>
      </c>
      <c r="D181" t="inlineStr">
        <is>
          <t>Bulloneria e minuteria</t>
        </is>
      </c>
      <c r="E181" s="14" t="inlineStr">
        <is>
          <t>pz</t>
        </is>
      </c>
      <c r="F181" s="15" t="n"/>
      <c r="G181" s="13" t="n"/>
      <c r="H181" t="inlineStr">
        <is>
          <t>ASSI DI ROTAZIONE 1303, KIT INCLINOMETRO</t>
        </is>
      </c>
      <c r="I181" s="14" t="n">
        <v>6</v>
      </c>
    </row>
    <row r="182">
      <c r="A182" s="14" t="n">
        <v>178</v>
      </c>
      <c r="B182" t="inlineStr">
        <is>
          <t>10BZM8X20</t>
        </is>
      </c>
      <c r="C182" t="inlineStr">
        <is>
          <t>Bullone testa esagonale zn M8X20</t>
        </is>
      </c>
      <c r="D182" t="inlineStr">
        <is>
          <t>Bulloneria e minuteria</t>
        </is>
      </c>
      <c r="E182" s="14" t="inlineStr">
        <is>
          <t>pz</t>
        </is>
      </c>
      <c r="F182" s="15" t="n"/>
      <c r="G182" s="13" t="n"/>
      <c r="H182" t="inlineStr">
        <is>
          <t>kit quadri inverter</t>
        </is>
      </c>
      <c r="I182" s="14" t="n">
        <v>1</v>
      </c>
    </row>
    <row r="183">
      <c r="A183" s="14" t="n">
        <v>179</v>
      </c>
      <c r="B183" t="inlineStr">
        <is>
          <t>10BZM8X25</t>
        </is>
      </c>
      <c r="C183" t="inlineStr">
        <is>
          <t>Bullone testa esagonale zn M8X25</t>
        </is>
      </c>
      <c r="D183" t="inlineStr">
        <is>
          <t>Bulloneria e minuteria</t>
        </is>
      </c>
      <c r="E183" s="14" t="inlineStr">
        <is>
          <t>pz</t>
        </is>
      </c>
      <c r="F183" s="15" t="n"/>
      <c r="G183" s="13" t="n"/>
      <c r="H183" t="inlineStr">
        <is>
          <t>KIT OMEGA+pannelli, kit quadro motore, kit quadri centralina meteo, kit quadri area</t>
        </is>
      </c>
      <c r="I183" s="14" t="n">
        <v>8</v>
      </c>
    </row>
    <row r="184">
      <c r="A184" s="14" t="n">
        <v>180</v>
      </c>
      <c r="B184" t="inlineStr">
        <is>
          <t>10BZM8X30</t>
        </is>
      </c>
      <c r="C184" t="inlineStr">
        <is>
          <t>Bullone testa esagonale zn M8X30</t>
        </is>
      </c>
      <c r="D184" t="inlineStr">
        <is>
          <t>Bulloneria e minuteria</t>
        </is>
      </c>
      <c r="E184" s="14" t="inlineStr">
        <is>
          <t>pz</t>
        </is>
      </c>
      <c r="F184" s="15" t="n"/>
      <c r="G184" s="13" t="n"/>
      <c r="H184" t="inlineStr">
        <is>
          <t>kit quadri inverter</t>
        </is>
      </c>
      <c r="I184" s="14" t="n">
        <v>1</v>
      </c>
    </row>
    <row r="185">
      <c r="A185" s="14" t="n">
        <v>181</v>
      </c>
      <c r="B185" t="inlineStr">
        <is>
          <t>10DADAZM8</t>
        </is>
      </c>
      <c r="C185" t="inlineStr">
        <is>
          <t>Dado autobloccante M8 zn</t>
        </is>
      </c>
      <c r="D185" t="inlineStr">
        <is>
          <t>Bulloneria e minuteria</t>
        </is>
      </c>
      <c r="E185" s="14" t="inlineStr">
        <is>
          <t>pz</t>
        </is>
      </c>
      <c r="F185" s="15" t="n"/>
      <c r="G185" s="13" t="n"/>
      <c r="H185" t="inlineStr">
        <is>
          <t>KIT OMEGA+pannelli</t>
        </is>
      </c>
      <c r="I185" s="14" t="n">
        <v>2</v>
      </c>
    </row>
    <row r="186">
      <c r="A186" s="14" t="n">
        <v>182</v>
      </c>
      <c r="B186" t="inlineStr">
        <is>
          <t>10DAZAM10</t>
        </is>
      </c>
      <c r="C186" t="inlineStr">
        <is>
          <t>Dado autobloccante M10</t>
        </is>
      </c>
      <c r="D186" t="inlineStr">
        <is>
          <t>Bulloneria e minuteria</t>
        </is>
      </c>
      <c r="E186" s="14" t="inlineStr">
        <is>
          <t>pz</t>
        </is>
      </c>
      <c r="F186" s="15" t="n"/>
      <c r="G186" s="13" t="n"/>
      <c r="H186" t="inlineStr">
        <is>
          <t>PILASTRO MOTORE, PILASTRO CUSCINETTO, ASSI DI ROTAZIONE 1303</t>
        </is>
      </c>
      <c r="I186" s="14" t="n">
        <v>12</v>
      </c>
    </row>
    <row r="187">
      <c r="A187" s="14" t="n">
        <v>183</v>
      </c>
      <c r="B187" t="inlineStr">
        <is>
          <t>10DAZAM16</t>
        </is>
      </c>
      <c r="C187" t="inlineStr">
        <is>
          <t>Dado autobloccante M16</t>
        </is>
      </c>
      <c r="D187" t="inlineStr">
        <is>
          <t>Bulloneria e minuteria</t>
        </is>
      </c>
      <c r="E187" s="14" t="inlineStr">
        <is>
          <t>pz</t>
        </is>
      </c>
      <c r="F187" s="15" t="n"/>
      <c r="G187" s="13" t="n"/>
      <c r="H187" t="inlineStr">
        <is>
          <t>PILASTRO MOTORE, PILASTRO CUSCINETTO</t>
        </is>
      </c>
      <c r="I187" s="14" t="n">
        <v>2</v>
      </c>
    </row>
    <row r="188">
      <c r="A188" s="14" t="n">
        <v>184</v>
      </c>
      <c r="B188" t="inlineStr">
        <is>
          <t>10DAZAM5</t>
        </is>
      </c>
      <c r="C188" t="inlineStr">
        <is>
          <t>Dado zincato autobloc. M5</t>
        </is>
      </c>
      <c r="D188" t="inlineStr">
        <is>
          <t>Bulloneria e minuteria</t>
        </is>
      </c>
      <c r="E188" s="14" t="inlineStr">
        <is>
          <t>pz</t>
        </is>
      </c>
      <c r="F188" s="15" t="n"/>
      <c r="G188" s="13" t="n"/>
      <c r="H188" t="inlineStr">
        <is>
          <t>KIT FINE CORSA, KIT INCLINOMETRO, sensori meteo</t>
        </is>
      </c>
      <c r="I188" s="14" t="n">
        <v>5</v>
      </c>
    </row>
    <row r="189">
      <c r="A189" s="14" t="n">
        <v>185</v>
      </c>
      <c r="B189" t="inlineStr">
        <is>
          <t>10DAZAM6</t>
        </is>
      </c>
      <c r="C189" t="inlineStr">
        <is>
          <t>Dado autobloccante M6</t>
        </is>
      </c>
      <c r="D189" t="inlineStr">
        <is>
          <t>Bulloneria e minuteria</t>
        </is>
      </c>
      <c r="E189" s="14" t="inlineStr">
        <is>
          <t>pz</t>
        </is>
      </c>
      <c r="F189" s="15" t="n"/>
      <c r="G189" s="13" t="n"/>
      <c r="H189" t="inlineStr">
        <is>
          <t>KIT OMEGA+pannelli, KIT FINE CORSA, kit quadro motore, kit quadri centralina meteo, sensori meteo</t>
        </is>
      </c>
      <c r="I189" s="14" t="n">
        <v>5</v>
      </c>
    </row>
    <row r="190">
      <c r="A190" s="14" t="n">
        <v>186</v>
      </c>
      <c r="B190" t="inlineStr">
        <is>
          <t>10DAZAM8</t>
        </is>
      </c>
      <c r="C190" t="inlineStr">
        <is>
          <t>Dado autobloccante M8</t>
        </is>
      </c>
      <c r="D190" t="inlineStr">
        <is>
          <t>Bulloneria e minuteria</t>
        </is>
      </c>
      <c r="E190" s="14" t="inlineStr">
        <is>
          <t>pz</t>
        </is>
      </c>
      <c r="F190" s="15" t="n"/>
      <c r="G190" s="13" t="n"/>
      <c r="H190" t="inlineStr">
        <is>
          <t>ASSI DI ROTAZIONE 1303, KIT OMEGA+pannelli, KIT INCLINOMETRO, kit quadro motore, kit quadri centralina meteo, kit quadri area, kit quadri inverter</t>
        </is>
      </c>
      <c r="I190" s="14" t="n">
        <v>15</v>
      </c>
    </row>
    <row r="191">
      <c r="A191" s="14" t="n">
        <v>187</v>
      </c>
      <c r="B191" t="inlineStr">
        <is>
          <t>10ROND10</t>
        </is>
      </c>
      <c r="C191" t="inlineStr">
        <is>
          <t>Rondella zn da 10</t>
        </is>
      </c>
      <c r="D191" t="inlineStr">
        <is>
          <t>Bulloneria e minuteria</t>
        </is>
      </c>
      <c r="E191" s="14" t="inlineStr">
        <is>
          <t>pz</t>
        </is>
      </c>
      <c r="F191" s="15" t="n"/>
      <c r="G191" s="13" t="n"/>
      <c r="H191" t="inlineStr">
        <is>
          <t>PILASTRO MOTORE, PILASTRO CUSCINETTO, ASSI DI ROTAZIONE 1303, KIT OMEGA+pannelli</t>
        </is>
      </c>
      <c r="I191" s="14" t="n">
        <v>25</v>
      </c>
    </row>
    <row r="192">
      <c r="A192" s="14" t="n">
        <v>188</v>
      </c>
      <c r="B192" t="inlineStr">
        <is>
          <t>10ROND16</t>
        </is>
      </c>
      <c r="C192" t="inlineStr">
        <is>
          <t>Rondella zn da 16</t>
        </is>
      </c>
      <c r="D192" t="inlineStr">
        <is>
          <t>Bulloneria e minuteria</t>
        </is>
      </c>
      <c r="E192" s="14" t="inlineStr">
        <is>
          <t>pz</t>
        </is>
      </c>
      <c r="F192" s="15" t="n"/>
      <c r="G192" s="13" t="n"/>
      <c r="H192" t="inlineStr">
        <is>
          <t>PILASTRO MOTORE, PILASTRO CUSCINETTO, KIT FINE CORSA</t>
        </is>
      </c>
      <c r="I192" s="14" t="n">
        <v>5</v>
      </c>
    </row>
    <row r="193">
      <c r="A193" s="14" t="n">
        <v>189</v>
      </c>
      <c r="B193" t="inlineStr">
        <is>
          <t>10ROND5</t>
        </is>
      </c>
      <c r="C193" t="inlineStr">
        <is>
          <t>Rondella ZN da 5</t>
        </is>
      </c>
      <c r="D193" t="inlineStr">
        <is>
          <t>Bulloneria e minuteria</t>
        </is>
      </c>
      <c r="E193" s="14" t="inlineStr">
        <is>
          <t>pz</t>
        </is>
      </c>
      <c r="F193" s="15" t="n"/>
      <c r="G193" s="13" t="n"/>
      <c r="H193" t="inlineStr">
        <is>
          <t>KIT FINE CORSA, KIT INCLINOMETRO, sensori meteo</t>
        </is>
      </c>
      <c r="I193" s="14" t="n">
        <v>6</v>
      </c>
    </row>
    <row r="194">
      <c r="A194" s="14" t="n">
        <v>190</v>
      </c>
      <c r="B194" t="inlineStr">
        <is>
          <t>10ROND6</t>
        </is>
      </c>
      <c r="C194" t="inlineStr">
        <is>
          <t>Rondella zn 6</t>
        </is>
      </c>
      <c r="D194" t="inlineStr">
        <is>
          <t>Bulloneria e minuteria</t>
        </is>
      </c>
      <c r="E194" s="14" t="inlineStr">
        <is>
          <t>pz</t>
        </is>
      </c>
      <c r="F194" s="15" t="n"/>
      <c r="G194" s="13" t="n"/>
      <c r="H194" t="inlineStr">
        <is>
          <t>KIT OMEGA+pannelli, KIT FINE CORSA, kit quadro motore, kit quadri centralina meteo, sensori meteo</t>
        </is>
      </c>
      <c r="I194" s="14" t="n">
        <v>10</v>
      </c>
    </row>
    <row r="195">
      <c r="A195" s="14" t="n">
        <v>191</v>
      </c>
      <c r="B195" t="inlineStr">
        <is>
          <t>10ROND8</t>
        </is>
      </c>
      <c r="C195" t="inlineStr">
        <is>
          <t>Rondella da 8 zn</t>
        </is>
      </c>
      <c r="D195" t="inlineStr">
        <is>
          <t>Bulloneria e minuteria</t>
        </is>
      </c>
      <c r="E195" s="14" t="inlineStr">
        <is>
          <t>pz</t>
        </is>
      </c>
      <c r="F195" s="15" t="n"/>
      <c r="G195" s="13" t="n"/>
      <c r="H195" t="inlineStr">
        <is>
          <t>ASSI DI ROTAZIONE 1303, KIT OMEGA+pannelli, KIT INCLINOMETRO, kit quadro motore, kit quadri centralina meteo, kit quadri area, kit quadri inverter</t>
        </is>
      </c>
      <c r="I195" s="14" t="n">
        <v>32</v>
      </c>
    </row>
    <row r="196">
      <c r="A196" s="14" t="n">
        <v>192</v>
      </c>
      <c r="B196" t="inlineStr">
        <is>
          <t>M5X30 8.8 ISO1207</t>
        </is>
      </c>
      <c r="C196" t="inlineStr">
        <is>
          <t>Bullone testa esagonale con intaglio M5x30</t>
        </is>
      </c>
      <c r="D196" t="inlineStr">
        <is>
          <t>Bulloneria e minuteria</t>
        </is>
      </c>
      <c r="E196" s="14" t="inlineStr">
        <is>
          <t>pz</t>
        </is>
      </c>
      <c r="F196" s="15" t="n"/>
      <c r="G196" s="13" t="n"/>
      <c r="H196" t="inlineStr">
        <is>
          <t>KIT INCLINOMETRO</t>
        </is>
      </c>
      <c r="I196" s="14" t="n">
        <v>1</v>
      </c>
    </row>
    <row r="197">
      <c r="A197" s="14" t="n">
        <v>193</v>
      </c>
      <c r="B197" t="inlineStr">
        <is>
          <t>CHSD7-60-S112-24.15.300-L1.2</t>
        </is>
      </c>
      <c r="C197" t="inlineStr">
        <is>
          <t>Motoriduttore</t>
        </is>
      </c>
      <c r="D197" t="inlineStr">
        <is>
          <t>Motorizzazione</t>
        </is>
      </c>
      <c r="E197" s="14" t="inlineStr">
        <is>
          <t>pz</t>
        </is>
      </c>
      <c r="F197" s="15" t="n"/>
      <c r="G197" s="13" t="n"/>
      <c r="H197" t="inlineStr">
        <is>
          <t>PILASTRO MOTORE</t>
        </is>
      </c>
      <c r="I197" s="14" t="n">
        <v>1</v>
      </c>
    </row>
    <row r="198">
      <c r="A198" s="14" t="n">
        <v>194</v>
      </c>
      <c r="B198" t="inlineStr">
        <is>
          <t>ESQM_2_0_120_1</t>
        </is>
      </c>
      <c r="C198" t="inlineStr">
        <is>
          <t>Cuscinetto asse di rotazione</t>
        </is>
      </c>
      <c r="D198" t="inlineStr">
        <is>
          <t>Cuscinetti</t>
        </is>
      </c>
      <c r="E198" s="14" t="inlineStr">
        <is>
          <t>pz</t>
        </is>
      </c>
      <c r="F198" s="15" t="n"/>
      <c r="G198" s="13" t="n"/>
      <c r="H198" t="inlineStr">
        <is>
          <t>PILASTRO CUSCINETTO</t>
        </is>
      </c>
      <c r="I198" s="14" t="n">
        <v>1</v>
      </c>
    </row>
    <row r="199">
      <c r="A199" s="14" t="n">
        <v>195</v>
      </c>
      <c r="B199" t="inlineStr">
        <is>
          <t>15T-JUNCTBOXIP65</t>
        </is>
      </c>
      <c r="C199" t="inlineStr">
        <is>
          <t>Box centralina meteo</t>
        </is>
      </c>
      <c r="D199" t="inlineStr">
        <is>
          <t>Quadristica ed elettrico</t>
        </is>
      </c>
      <c r="E199" s="14" t="inlineStr">
        <is>
          <t>pz</t>
        </is>
      </c>
      <c r="F199" s="15" t="n"/>
      <c r="G199" s="13" t="n"/>
      <c r="H199" t="inlineStr">
        <is>
          <t>kit quadri centralina meteo</t>
        </is>
      </c>
      <c r="I199" s="14" t="n">
        <v>1</v>
      </c>
    </row>
    <row r="200">
      <c r="A200" s="14" t="n">
        <v>196</v>
      </c>
      <c r="B200" t="inlineStr">
        <is>
          <t>B04601</t>
        </is>
      </c>
      <c r="C200" t="inlineStr">
        <is>
          <t>Quadro in vetroresina Pedro VTR 01</t>
        </is>
      </c>
      <c r="D200" t="inlineStr">
        <is>
          <t>Quadristica ed elettrico</t>
        </is>
      </c>
      <c r="E200" s="14" t="inlineStr">
        <is>
          <t>pz</t>
        </is>
      </c>
      <c r="F200" s="15" t="n"/>
      <c r="G200" s="13" t="n"/>
      <c r="H200" t="inlineStr">
        <is>
          <t>kit quadro motore, kit quadri centralina meteo</t>
        </is>
      </c>
      <c r="I200" s="14" t="n">
        <v>3</v>
      </c>
    </row>
    <row r="201">
      <c r="A201" s="14" t="n">
        <v>197</v>
      </c>
      <c r="B201" t="inlineStr">
        <is>
          <t>10S-FC</t>
        </is>
      </c>
      <c r="C201" t="inlineStr">
        <is>
          <t>Sensore fine corsa elettrico</t>
        </is>
      </c>
      <c r="D201" t="inlineStr">
        <is>
          <t>Sensoristica e strumentazione</t>
        </is>
      </c>
      <c r="E201" s="14" t="inlineStr">
        <is>
          <t>pz</t>
        </is>
      </c>
      <c r="F201" s="15" t="n"/>
      <c r="G201" s="13" t="n"/>
      <c r="H201" t="inlineStr">
        <is>
          <t>KIT FINE CORSA</t>
        </is>
      </c>
      <c r="I201" s="14" t="n">
        <v>1</v>
      </c>
    </row>
    <row r="202">
      <c r="A202" s="14" t="n">
        <v>198</v>
      </c>
      <c r="B202" t="inlineStr">
        <is>
          <t>15T-PIRANOMETRO</t>
        </is>
      </c>
      <c r="C202" t="inlineStr">
        <is>
          <t>Piranometro</t>
        </is>
      </c>
      <c r="D202" t="inlineStr">
        <is>
          <t>Sensoristica e strumentazione</t>
        </is>
      </c>
      <c r="E202" s="14" t="inlineStr">
        <is>
          <t>pz</t>
        </is>
      </c>
      <c r="F202" s="15" t="n"/>
      <c r="G202" s="13" t="n"/>
      <c r="H202" t="inlineStr">
        <is>
          <t>sensori meteo</t>
        </is>
      </c>
      <c r="I202" s="14" t="n">
        <v>1</v>
      </c>
    </row>
    <row r="203">
      <c r="A203" s="14" t="n">
        <v>199</v>
      </c>
      <c r="B203" t="inlineStr">
        <is>
          <t>15T-SENSVELVEN</t>
        </is>
      </c>
      <c r="C203" t="inlineStr">
        <is>
          <t>Anemometro</t>
        </is>
      </c>
      <c r="D203" t="inlineStr">
        <is>
          <t>Sensoristica e strumentazione</t>
        </is>
      </c>
      <c r="E203" s="14" t="inlineStr">
        <is>
          <t>pz</t>
        </is>
      </c>
      <c r="F203" s="15" t="n"/>
      <c r="G203" s="13" t="n"/>
      <c r="H203" t="inlineStr">
        <is>
          <t>sensori meteo</t>
        </is>
      </c>
      <c r="I203" s="14" t="n">
        <v>1</v>
      </c>
    </row>
    <row r="204">
      <c r="A204" s="14" t="n">
        <v>200</v>
      </c>
      <c r="B204" t="inlineStr">
        <is>
          <t>15T-TERMARIA</t>
        </is>
      </c>
      <c r="C204" t="inlineStr">
        <is>
          <t>Termometro Aria_ mSTA.l</t>
        </is>
      </c>
      <c r="D204" t="inlineStr">
        <is>
          <t>Sensoristica e strumentazione</t>
        </is>
      </c>
      <c r="E204" s="14" t="inlineStr">
        <is>
          <t>pz</t>
        </is>
      </c>
      <c r="F204" s="15" t="n"/>
      <c r="G204" s="13" t="n"/>
      <c r="H204" t="inlineStr">
        <is>
          <t>sensori meteo</t>
        </is>
      </c>
      <c r="I204" s="14" t="n">
        <v>1</v>
      </c>
    </row>
    <row r="205">
      <c r="A205" s="14" t="n">
        <v>201</v>
      </c>
      <c r="B205" t="inlineStr">
        <is>
          <t>15T-TERMCONTP10</t>
        </is>
      </c>
      <c r="C205" t="inlineStr">
        <is>
          <t>Termometro a contatto P100_STC-i</t>
        </is>
      </c>
      <c r="D205" t="inlineStr">
        <is>
          <t>Sensoristica e strumentazione</t>
        </is>
      </c>
      <c r="E205" s="14" t="inlineStr">
        <is>
          <t>pz</t>
        </is>
      </c>
      <c r="F205" s="15" t="n"/>
      <c r="G205" s="13" t="n"/>
      <c r="H205" t="inlineStr">
        <is>
          <t>sensori meteo</t>
        </is>
      </c>
      <c r="I205" s="14" t="n">
        <v>1</v>
      </c>
    </row>
    <row r="206">
      <c r="A206" s="14" t="n">
        <v>202</v>
      </c>
      <c r="B206" t="inlineStr">
        <is>
          <t>TK1024S</t>
        </is>
      </c>
      <c r="C206" t="inlineStr">
        <is>
          <t>Inclinometro</t>
        </is>
      </c>
      <c r="D206" t="inlineStr">
        <is>
          <t>Sensoristica e strumentazione</t>
        </is>
      </c>
      <c r="E206" s="14" t="inlineStr">
        <is>
          <t>pz</t>
        </is>
      </c>
      <c r="F206" s="15" t="n"/>
      <c r="G206" s="13" t="n"/>
      <c r="H206" t="inlineStr">
        <is>
          <t>KIT INCLINOMETRO</t>
        </is>
      </c>
      <c r="I206" s="14" t="n">
        <v>1</v>
      </c>
    </row>
    <row r="207">
      <c r="A207" s="14" t="n">
        <v>203</v>
      </c>
      <c r="C207" t="inlineStr">
        <is>
          <t>Pannellino fotovoltaico optional</t>
        </is>
      </c>
      <c r="D207" t="inlineStr">
        <is>
          <t>Moduli fotovoltaici</t>
        </is>
      </c>
      <c r="E207" s="14" t="inlineStr">
        <is>
          <t>pz</t>
        </is>
      </c>
      <c r="F207" s="15" t="n"/>
      <c r="G207" s="13" t="n"/>
      <c r="I207" s="14" t="n"/>
    </row>
    <row r="208">
      <c r="A208" s="14" t="n">
        <v>204</v>
      </c>
      <c r="C208" t="inlineStr">
        <is>
          <t>Pannello fotovoltaico</t>
        </is>
      </c>
      <c r="D208" t="inlineStr">
        <is>
          <t>Moduli fotovoltaici</t>
        </is>
      </c>
      <c r="E208" s="14" t="inlineStr">
        <is>
          <t>pz</t>
        </is>
      </c>
      <c r="F208" s="15" t="n"/>
      <c r="G208" s="13" t="n"/>
      <c r="I208" s="14" t="n"/>
    </row>
  </sheetData>
  <autoFilter ref="A4:I2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16" min="1" max="1"/>
    <col width="24" customWidth="1" style="16" min="2" max="2"/>
    <col width="5" customWidth="1" style="16" min="3" max="3"/>
    <col width="26" customWidth="1" style="16" min="4" max="4"/>
    <col width="60" customWidth="1" style="16" min="5" max="5"/>
    <col width="26" customWidth="1" style="16" min="6" max="6"/>
    <col width="7" customWidth="1" style="16" min="7" max="7"/>
    <col width="11" customWidth="1" style="16" min="8" max="8"/>
    <col width="11" customWidth="1" style="16" min="9" max="9"/>
    <col width="11" customWidth="1" style="16" min="10" max="10"/>
    <col width="11" customWidth="1" style="16" min="11" max="11"/>
    <col width="11" customWidth="1" style="16" min="12" max="12"/>
    <col width="11" customWidth="1" style="16" min="13" max="13"/>
    <col width="18" customWidth="1" style="16" min="14" max="14"/>
    <col width="6" customWidth="1" style="16" min="15" max="15"/>
    <col width="14" customWidth="1" style="16" min="16" max="16"/>
    <col width="16" customWidth="1" style="16" min="17" max="17"/>
    <col width="14" customWidth="1" style="16" min="18" max="18"/>
  </cols>
  <sheetData>
    <row r="1">
      <c r="A1" s="9" t="inlineStr">
        <is>
          <t>Assieme / Kit</t>
        </is>
      </c>
      <c r="B1" s="9" t="inlineStr">
        <is>
          <t>Sezione</t>
        </is>
      </c>
      <c r="C1" s="9" t="inlineStr">
        <is>
          <t>Pos.</t>
        </is>
      </c>
      <c r="D1" s="9" t="inlineStr">
        <is>
          <t>Codice</t>
        </is>
      </c>
      <c r="E1" s="9" t="inlineStr">
        <is>
          <t>Descrizione</t>
        </is>
      </c>
      <c r="F1" s="9" t="inlineStr">
        <is>
          <t>Categoria</t>
        </is>
      </c>
      <c r="G1" s="9" t="inlineStr">
        <is>
          <t>Q.tà</t>
        </is>
      </c>
      <c r="H1" s="9" t="inlineStr">
        <is>
          <t>Q.tà 12 mod</t>
        </is>
      </c>
      <c r="I1" s="9" t="inlineStr">
        <is>
          <t>Q.tà 18 mod</t>
        </is>
      </c>
      <c r="J1" s="9" t="inlineStr">
        <is>
          <t>Q.tà 20 mod</t>
        </is>
      </c>
      <c r="K1" s="9" t="inlineStr">
        <is>
          <t>Q.tà 22 mod</t>
        </is>
      </c>
      <c r="L1" s="9" t="inlineStr">
        <is>
          <t>Q.tà 36 mod</t>
        </is>
      </c>
      <c r="M1" s="9" t="inlineStr">
        <is>
          <t>Q.tà 40 mod</t>
        </is>
      </c>
      <c r="N1" s="9" t="inlineStr">
        <is>
          <t>Già caricato altrove</t>
        </is>
      </c>
      <c r="O1" s="9" t="inlineStr">
        <is>
          <t>U.M.</t>
        </is>
      </c>
      <c r="P1" s="9" t="inlineStr">
        <is>
          <t>Peso elemento (kg)</t>
        </is>
      </c>
      <c r="Q1" s="9" t="inlineStr">
        <is>
          <t>Prezzo unitario €</t>
        </is>
      </c>
      <c r="R1" s="11" t="inlineStr">
        <is>
          <t>Importo €</t>
        </is>
      </c>
    </row>
    <row r="2">
      <c r="A2" s="5" t="inlineStr">
        <is>
          <t>PILASTRO MOTORE</t>
        </is>
      </c>
      <c r="B2" s="5" t="n"/>
      <c r="C2" s="12" t="n">
        <v>1</v>
      </c>
      <c r="D2" s="5" t="inlineStr">
        <is>
          <t>TTS.PF.001.IPE140.30</t>
        </is>
      </c>
      <c r="E2" s="5" t="inlineStr">
        <is>
          <t>Pilastro fondazione trave IPE140 mt.3,00</t>
        </is>
      </c>
      <c r="F2" s="5" t="inlineStr">
        <is>
          <t>Carpenteria metallica</t>
        </is>
      </c>
      <c r="G2" s="12" t="n">
        <v>1</v>
      </c>
      <c r="H2" s="12" t="n"/>
      <c r="I2" s="12" t="n"/>
      <c r="J2" s="12" t="n"/>
      <c r="K2" s="12" t="n"/>
      <c r="L2" s="12" t="n"/>
      <c r="M2" s="12" t="n"/>
      <c r="N2" s="12" t="n"/>
      <c r="O2" s="12" t="inlineStr">
        <is>
          <t>pz</t>
        </is>
      </c>
      <c r="P2" s="10" t="n"/>
      <c r="Q2" s="6">
        <f>IFERROR(VLOOKUP($D2,LISTINO!$B:$I,6,FALSE),IFERROR(VLOOKUP($E2,LISTINO!$C:$I,5,FALSE),""))</f>
        <v/>
      </c>
      <c r="R2" s="13">
        <f>IF(AND(ISNUMBER(G2),ISNUMBER(Q2)),G2*Q2,"")</f>
        <v/>
      </c>
    </row>
    <row r="3">
      <c r="A3" s="5" t="inlineStr">
        <is>
          <t>PILASTRO MOTORE</t>
        </is>
      </c>
      <c r="B3" s="5" t="n"/>
      <c r="C3" s="12" t="n">
        <v>1</v>
      </c>
      <c r="D3" s="5" t="inlineStr">
        <is>
          <t>TTS.PF.001.IPEA140.30</t>
        </is>
      </c>
      <c r="E3" s="5" t="inlineStr">
        <is>
          <t>Pilastro fondazione trave IPEA140 mt.3,00 (alleggerita)</t>
        </is>
      </c>
      <c r="F3" s="5" t="inlineStr">
        <is>
          <t>Carpenteria metallica</t>
        </is>
      </c>
      <c r="G3" s="12" t="n">
        <v>0</v>
      </c>
      <c r="H3" s="12" t="n"/>
      <c r="I3" s="12" t="n"/>
      <c r="J3" s="12" t="n"/>
      <c r="K3" s="12" t="n"/>
      <c r="L3" s="12" t="n"/>
      <c r="M3" s="12" t="n"/>
      <c r="N3" s="12" t="n"/>
      <c r="O3" s="12" t="inlineStr">
        <is>
          <t>pz</t>
        </is>
      </c>
      <c r="P3" s="10" t="n"/>
      <c r="Q3" s="6">
        <f>IFERROR(VLOOKUP($D3,LISTINO!$B:$I,6,FALSE),IFERROR(VLOOKUP($E3,LISTINO!$C:$I,5,FALSE),""))</f>
        <v/>
      </c>
      <c r="R3" s="13">
        <f>IF(AND(ISNUMBER(G3),ISNUMBER(Q3)),G3*Q3,"")</f>
        <v/>
      </c>
    </row>
    <row r="4">
      <c r="A4" s="5" t="inlineStr">
        <is>
          <t>PILASTRO MOTORE</t>
        </is>
      </c>
      <c r="B4" s="5" t="n"/>
      <c r="C4" s="12" t="n">
        <v>1</v>
      </c>
      <c r="D4" s="5" t="inlineStr">
        <is>
          <t>TTS.PF.001.IPE140.26</t>
        </is>
      </c>
      <c r="E4" s="5" t="inlineStr">
        <is>
          <t>Pilastro fondazione trave IPE140 mt.2,60</t>
        </is>
      </c>
      <c r="F4" s="5" t="inlineStr">
        <is>
          <t>Carpenteria metallica</t>
        </is>
      </c>
      <c r="G4" s="12" t="n">
        <v>0</v>
      </c>
      <c r="H4" s="12" t="n"/>
      <c r="I4" s="12" t="n"/>
      <c r="J4" s="12" t="n"/>
      <c r="K4" s="12" t="n"/>
      <c r="L4" s="12" t="n"/>
      <c r="M4" s="12" t="n"/>
      <c r="N4" s="12" t="n"/>
      <c r="O4" s="12" t="inlineStr">
        <is>
          <t>pz</t>
        </is>
      </c>
      <c r="P4" s="10" t="n"/>
      <c r="Q4" s="6">
        <f>IFERROR(VLOOKUP($D4,LISTINO!$B:$I,6,FALSE),IFERROR(VLOOKUP($E4,LISTINO!$C:$I,5,FALSE),""))</f>
        <v/>
      </c>
      <c r="R4" s="13">
        <f>IF(AND(ISNUMBER(G4),ISNUMBER(Q4)),G4*Q4,"")</f>
        <v/>
      </c>
    </row>
    <row r="5">
      <c r="A5" s="5" t="inlineStr">
        <is>
          <t>PILASTRO MOTORE</t>
        </is>
      </c>
      <c r="B5" s="5" t="n"/>
      <c r="C5" s="12" t="n">
        <v>1</v>
      </c>
      <c r="D5" s="5" t="inlineStr">
        <is>
          <t>TTS.PF.001.IPEA140.26</t>
        </is>
      </c>
      <c r="E5" s="5" t="inlineStr">
        <is>
          <t>Pilastro fondazione trave IPEA140 mt.2,60 (alleggerita)</t>
        </is>
      </c>
      <c r="F5" s="5" t="inlineStr">
        <is>
          <t>Carpenteria metallica</t>
        </is>
      </c>
      <c r="G5" s="12" t="n">
        <v>0</v>
      </c>
      <c r="H5" s="12" t="n"/>
      <c r="I5" s="12" t="n"/>
      <c r="J5" s="12" t="n"/>
      <c r="K5" s="12" t="n"/>
      <c r="L5" s="12" t="n"/>
      <c r="M5" s="12" t="n"/>
      <c r="N5" s="12" t="n"/>
      <c r="O5" s="12" t="inlineStr">
        <is>
          <t>pz</t>
        </is>
      </c>
      <c r="P5" s="10" t="n"/>
      <c r="Q5" s="6">
        <f>IFERROR(VLOOKUP($D5,LISTINO!$B:$I,6,FALSE),IFERROR(VLOOKUP($E5,LISTINO!$C:$I,5,FALSE),""))</f>
        <v/>
      </c>
      <c r="R5" s="13">
        <f>IF(AND(ISNUMBER(G5),ISNUMBER(Q5)),G5*Q5,"")</f>
        <v/>
      </c>
    </row>
    <row r="6">
      <c r="A6" s="5" t="inlineStr">
        <is>
          <t>PILASTRO MOTORE</t>
        </is>
      </c>
      <c r="B6" s="5" t="n"/>
      <c r="C6" s="12" t="n">
        <v>1</v>
      </c>
      <c r="D6" s="5" t="inlineStr">
        <is>
          <t>TTS.PF.001.IPE140.27</t>
        </is>
      </c>
      <c r="E6" s="5" t="inlineStr">
        <is>
          <t>Pilastro fondazione trave IPE140 mt.2,70</t>
        </is>
      </c>
      <c r="F6" s="5" t="inlineStr">
        <is>
          <t>Carpenteria metallica</t>
        </is>
      </c>
      <c r="G6" s="12" t="n">
        <v>0</v>
      </c>
      <c r="H6" s="12" t="n"/>
      <c r="I6" s="12" t="n"/>
      <c r="J6" s="12" t="n"/>
      <c r="K6" s="12" t="n"/>
      <c r="L6" s="12" t="n"/>
      <c r="M6" s="12" t="n"/>
      <c r="N6" s="12" t="n"/>
      <c r="O6" s="12" t="inlineStr">
        <is>
          <t>pz</t>
        </is>
      </c>
      <c r="P6" s="10" t="n"/>
      <c r="Q6" s="6">
        <f>IFERROR(VLOOKUP($D6,LISTINO!$B:$I,6,FALSE),IFERROR(VLOOKUP($E6,LISTINO!$C:$I,5,FALSE),""))</f>
        <v/>
      </c>
      <c r="R6" s="13">
        <f>IF(AND(ISNUMBER(G6),ISNUMBER(Q6)),G6*Q6,"")</f>
        <v/>
      </c>
    </row>
    <row r="7">
      <c r="A7" s="5" t="inlineStr">
        <is>
          <t>PILASTRO MOTORE</t>
        </is>
      </c>
      <c r="B7" s="5" t="n"/>
      <c r="C7" s="12" t="n">
        <v>1</v>
      </c>
      <c r="D7" s="5" t="inlineStr">
        <is>
          <t>TTS.PF.001.IPEA140.27</t>
        </is>
      </c>
      <c r="E7" s="5" t="inlineStr">
        <is>
          <t>Pilastro fondazione trave IPEA140 mt.2,70 (alleggerita)</t>
        </is>
      </c>
      <c r="F7" s="5" t="inlineStr">
        <is>
          <t>Carpenteria metallica</t>
        </is>
      </c>
      <c r="G7" s="12" t="n">
        <v>0</v>
      </c>
      <c r="H7" s="12" t="n"/>
      <c r="I7" s="12" t="n"/>
      <c r="J7" s="12" t="n"/>
      <c r="K7" s="12" t="n"/>
      <c r="L7" s="12" t="n"/>
      <c r="M7" s="12" t="n"/>
      <c r="N7" s="12" t="n"/>
      <c r="O7" s="12" t="inlineStr">
        <is>
          <t>pz</t>
        </is>
      </c>
      <c r="P7" s="10" t="n"/>
      <c r="Q7" s="6">
        <f>IFERROR(VLOOKUP($D7,LISTINO!$B:$I,6,FALSE),IFERROR(VLOOKUP($E7,LISTINO!$C:$I,5,FALSE),""))</f>
        <v/>
      </c>
      <c r="R7" s="13">
        <f>IF(AND(ISNUMBER(G7),ISNUMBER(Q7)),G7*Q7,"")</f>
        <v/>
      </c>
    </row>
    <row r="8">
      <c r="A8" s="5" t="inlineStr">
        <is>
          <t>PILASTRO MOTORE</t>
        </is>
      </c>
      <c r="B8" s="5" t="n"/>
      <c r="C8" s="12" t="n">
        <v>1</v>
      </c>
      <c r="D8" s="5" t="inlineStr">
        <is>
          <t>TTS.PF.001.IPE140.28</t>
        </is>
      </c>
      <c r="E8" s="5" t="inlineStr">
        <is>
          <t>Pilastro fondazione trave IPE140 mt.2,80</t>
        </is>
      </c>
      <c r="F8" s="5" t="inlineStr">
        <is>
          <t>Carpenteria metallica</t>
        </is>
      </c>
      <c r="G8" s="12" t="n">
        <v>0</v>
      </c>
      <c r="H8" s="12" t="n"/>
      <c r="I8" s="12" t="n"/>
      <c r="J8" s="12" t="n"/>
      <c r="K8" s="12" t="n"/>
      <c r="L8" s="12" t="n"/>
      <c r="M8" s="12" t="n"/>
      <c r="N8" s="12" t="n"/>
      <c r="O8" s="12" t="inlineStr">
        <is>
          <t>pz</t>
        </is>
      </c>
      <c r="P8" s="10" t="n"/>
      <c r="Q8" s="6">
        <f>IFERROR(VLOOKUP($D8,LISTINO!$B:$I,6,FALSE),IFERROR(VLOOKUP($E8,LISTINO!$C:$I,5,FALSE),""))</f>
        <v/>
      </c>
      <c r="R8" s="13">
        <f>IF(AND(ISNUMBER(G8),ISNUMBER(Q8)),G8*Q8,"")</f>
        <v/>
      </c>
    </row>
    <row r="9">
      <c r="A9" s="5" t="inlineStr">
        <is>
          <t>PILASTRO MOTORE</t>
        </is>
      </c>
      <c r="B9" s="5" t="n"/>
      <c r="C9" s="12" t="n">
        <v>1</v>
      </c>
      <c r="D9" s="5" t="inlineStr">
        <is>
          <t>TTS.PF.001.IPEA140.28</t>
        </is>
      </c>
      <c r="E9" s="5" t="inlineStr">
        <is>
          <t>Pilastro fondazione trave IPEA140 mt.2,80 (alleggerita)</t>
        </is>
      </c>
      <c r="F9" s="5" t="inlineStr">
        <is>
          <t>Carpenteria metallica</t>
        </is>
      </c>
      <c r="G9" s="12" t="n">
        <v>0</v>
      </c>
      <c r="H9" s="12" t="n"/>
      <c r="I9" s="12" t="n"/>
      <c r="J9" s="12" t="n"/>
      <c r="K9" s="12" t="n"/>
      <c r="L9" s="12" t="n"/>
      <c r="M9" s="12" t="n"/>
      <c r="N9" s="12" t="n"/>
      <c r="O9" s="12" t="inlineStr">
        <is>
          <t>pz</t>
        </is>
      </c>
      <c r="P9" s="10" t="n"/>
      <c r="Q9" s="6">
        <f>IFERROR(VLOOKUP($D9,LISTINO!$B:$I,6,FALSE),IFERROR(VLOOKUP($E9,LISTINO!$C:$I,5,FALSE),""))</f>
        <v/>
      </c>
      <c r="R9" s="13">
        <f>IF(AND(ISNUMBER(G9),ISNUMBER(Q9)),G9*Q9,"")</f>
        <v/>
      </c>
    </row>
    <row r="10">
      <c r="A10" s="5" t="inlineStr">
        <is>
          <t>PILASTRO MOTORE</t>
        </is>
      </c>
      <c r="B10" s="5" t="n"/>
      <c r="C10" s="12" t="n">
        <v>1</v>
      </c>
      <c r="D10" s="5" t="inlineStr">
        <is>
          <t>TTS.PF.001.IPE140.29</t>
        </is>
      </c>
      <c r="E10" s="5" t="inlineStr">
        <is>
          <t>Pilastro fondazione trave IPE140 mt.2,90</t>
        </is>
      </c>
      <c r="F10" s="5" t="inlineStr">
        <is>
          <t>Carpenteria metallica</t>
        </is>
      </c>
      <c r="G10" s="12" t="n">
        <v>0</v>
      </c>
      <c r="H10" s="12" t="n"/>
      <c r="I10" s="12" t="n"/>
      <c r="J10" s="12" t="n"/>
      <c r="K10" s="12" t="n"/>
      <c r="L10" s="12" t="n"/>
      <c r="M10" s="12" t="n"/>
      <c r="N10" s="12" t="n"/>
      <c r="O10" s="12" t="inlineStr">
        <is>
          <t>pz</t>
        </is>
      </c>
      <c r="P10" s="10" t="n"/>
      <c r="Q10" s="6">
        <f>IFERROR(VLOOKUP($D10,LISTINO!$B:$I,6,FALSE),IFERROR(VLOOKUP($E10,LISTINO!$C:$I,5,FALSE),""))</f>
        <v/>
      </c>
      <c r="R10" s="13">
        <f>IF(AND(ISNUMBER(G10),ISNUMBER(Q10)),G10*Q10,"")</f>
        <v/>
      </c>
    </row>
    <row r="11">
      <c r="A11" s="5" t="inlineStr">
        <is>
          <t>PILASTRO MOTORE</t>
        </is>
      </c>
      <c r="B11" s="5" t="n"/>
      <c r="C11" s="12" t="n">
        <v>1</v>
      </c>
      <c r="D11" s="5" t="inlineStr">
        <is>
          <t>TTS.PF.001.IPEA140.29</t>
        </is>
      </c>
      <c r="E11" s="5" t="inlineStr">
        <is>
          <t>Pilastro fondazione trave IPEA140 mt.2,90 (alleggerita)</t>
        </is>
      </c>
      <c r="F11" s="5" t="inlineStr">
        <is>
          <t>Carpenteria metallica</t>
        </is>
      </c>
      <c r="G11" s="12" t="n">
        <v>0</v>
      </c>
      <c r="H11" s="12" t="n"/>
      <c r="I11" s="12" t="n"/>
      <c r="J11" s="12" t="n"/>
      <c r="K11" s="12" t="n"/>
      <c r="L11" s="12" t="n"/>
      <c r="M11" s="12" t="n"/>
      <c r="N11" s="12" t="n"/>
      <c r="O11" s="12" t="inlineStr">
        <is>
          <t>pz</t>
        </is>
      </c>
      <c r="P11" s="10" t="n"/>
      <c r="Q11" s="6">
        <f>IFERROR(VLOOKUP($D11,LISTINO!$B:$I,6,FALSE),IFERROR(VLOOKUP($E11,LISTINO!$C:$I,5,FALSE),""))</f>
        <v/>
      </c>
      <c r="R11" s="13">
        <f>IF(AND(ISNUMBER(G11),ISNUMBER(Q11)),G11*Q11,"")</f>
        <v/>
      </c>
    </row>
    <row r="12">
      <c r="A12" s="5" t="inlineStr">
        <is>
          <t>PILASTRO MOTORE</t>
        </is>
      </c>
      <c r="B12" s="5" t="n"/>
      <c r="C12" s="12" t="n">
        <v>1</v>
      </c>
      <c r="D12" s="5" t="inlineStr">
        <is>
          <t>TTS.PF.001.IPE140.31</t>
        </is>
      </c>
      <c r="E12" s="5" t="inlineStr">
        <is>
          <t>Pilastro fondazione trave IPE140 mt.3,10</t>
        </is>
      </c>
      <c r="F12" s="5" t="inlineStr">
        <is>
          <t>Carpenteria metallica</t>
        </is>
      </c>
      <c r="G12" s="12" t="n">
        <v>0</v>
      </c>
      <c r="H12" s="12" t="n"/>
      <c r="I12" s="12" t="n"/>
      <c r="J12" s="12" t="n"/>
      <c r="K12" s="12" t="n"/>
      <c r="L12" s="12" t="n"/>
      <c r="M12" s="12" t="n"/>
      <c r="N12" s="12" t="n"/>
      <c r="O12" s="12" t="inlineStr">
        <is>
          <t>pz</t>
        </is>
      </c>
      <c r="P12" s="10" t="n"/>
      <c r="Q12" s="6">
        <f>IFERROR(VLOOKUP($D12,LISTINO!$B:$I,6,FALSE),IFERROR(VLOOKUP($E12,LISTINO!$C:$I,5,FALSE),""))</f>
        <v/>
      </c>
      <c r="R12" s="13">
        <f>IF(AND(ISNUMBER(G12),ISNUMBER(Q12)),G12*Q12,"")</f>
        <v/>
      </c>
    </row>
    <row r="13">
      <c r="A13" s="5" t="inlineStr">
        <is>
          <t>PILASTRO MOTORE</t>
        </is>
      </c>
      <c r="B13" s="5" t="n"/>
      <c r="C13" s="12" t="n">
        <v>1</v>
      </c>
      <c r="D13" s="5" t="inlineStr">
        <is>
          <t>TTS.PF.001.IPEA140.31</t>
        </is>
      </c>
      <c r="E13" s="5" t="inlineStr">
        <is>
          <t>Pilastro fondazione trave IPEA140 mt.3,10 (alleggerita)</t>
        </is>
      </c>
      <c r="F13" s="5" t="inlineStr">
        <is>
          <t>Carpenteria metallica</t>
        </is>
      </c>
      <c r="G13" s="12" t="n">
        <v>0</v>
      </c>
      <c r="H13" s="12" t="n"/>
      <c r="I13" s="12" t="n"/>
      <c r="J13" s="12" t="n"/>
      <c r="K13" s="12" t="n"/>
      <c r="L13" s="12" t="n"/>
      <c r="M13" s="12" t="n"/>
      <c r="N13" s="12" t="n"/>
      <c r="O13" s="12" t="inlineStr">
        <is>
          <t>pz</t>
        </is>
      </c>
      <c r="P13" s="10" t="n"/>
      <c r="Q13" s="6">
        <f>IFERROR(VLOOKUP($D13,LISTINO!$B:$I,6,FALSE),IFERROR(VLOOKUP($E13,LISTINO!$C:$I,5,FALSE),""))</f>
        <v/>
      </c>
      <c r="R13" s="13">
        <f>IF(AND(ISNUMBER(G13),ISNUMBER(Q13)),G13*Q13,"")</f>
        <v/>
      </c>
    </row>
    <row r="14">
      <c r="A14" s="5" t="inlineStr">
        <is>
          <t>PILASTRO MOTORE</t>
        </is>
      </c>
      <c r="B14" s="5" t="n"/>
      <c r="C14" s="12" t="n">
        <v>1</v>
      </c>
      <c r="D14" s="5" t="inlineStr">
        <is>
          <t>TTS.PF.001.IPE140.32</t>
        </is>
      </c>
      <c r="E14" s="5" t="inlineStr">
        <is>
          <t>Pilastro fondazione trave IPE140 mt.3,20</t>
        </is>
      </c>
      <c r="F14" s="5" t="inlineStr">
        <is>
          <t>Carpenteria metallica</t>
        </is>
      </c>
      <c r="G14" s="12" t="n">
        <v>0</v>
      </c>
      <c r="H14" s="12" t="n"/>
      <c r="I14" s="12" t="n"/>
      <c r="J14" s="12" t="n"/>
      <c r="K14" s="12" t="n"/>
      <c r="L14" s="12" t="n"/>
      <c r="M14" s="12" t="n"/>
      <c r="N14" s="12" t="n"/>
      <c r="O14" s="12" t="inlineStr">
        <is>
          <t>pz</t>
        </is>
      </c>
      <c r="P14" s="10" t="n"/>
      <c r="Q14" s="6">
        <f>IFERROR(VLOOKUP($D14,LISTINO!$B:$I,6,FALSE),IFERROR(VLOOKUP($E14,LISTINO!$C:$I,5,FALSE),""))</f>
        <v/>
      </c>
      <c r="R14" s="13">
        <f>IF(AND(ISNUMBER(G14),ISNUMBER(Q14)),G14*Q14,"")</f>
        <v/>
      </c>
    </row>
    <row r="15">
      <c r="A15" s="5" t="inlineStr">
        <is>
          <t>PILASTRO MOTORE</t>
        </is>
      </c>
      <c r="B15" s="5" t="n"/>
      <c r="C15" s="12" t="n">
        <v>1</v>
      </c>
      <c r="D15" s="5" t="inlineStr">
        <is>
          <t>TTS.PF.001.IPEA140.32</t>
        </is>
      </c>
      <c r="E15" s="5" t="inlineStr">
        <is>
          <t>Pilastro fondazione trave IPEA140 mt.3,20 (alleggerita)</t>
        </is>
      </c>
      <c r="F15" s="5" t="inlineStr">
        <is>
          <t>Carpenteria metallica</t>
        </is>
      </c>
      <c r="G15" s="12" t="n">
        <v>0</v>
      </c>
      <c r="H15" s="12" t="n"/>
      <c r="I15" s="12" t="n"/>
      <c r="J15" s="12" t="n"/>
      <c r="K15" s="12" t="n"/>
      <c r="L15" s="12" t="n"/>
      <c r="M15" s="12" t="n"/>
      <c r="N15" s="12" t="n"/>
      <c r="O15" s="12" t="inlineStr">
        <is>
          <t>pz</t>
        </is>
      </c>
      <c r="P15" s="10" t="n"/>
      <c r="Q15" s="6">
        <f>IFERROR(VLOOKUP($D15,LISTINO!$B:$I,6,FALSE),IFERROR(VLOOKUP($E15,LISTINO!$C:$I,5,FALSE),""))</f>
        <v/>
      </c>
      <c r="R15" s="13">
        <f>IF(AND(ISNUMBER(G15),ISNUMBER(Q15)),G15*Q15,"")</f>
        <v/>
      </c>
    </row>
    <row r="16">
      <c r="A16" s="5" t="inlineStr">
        <is>
          <t>PILASTRO MOTORE</t>
        </is>
      </c>
      <c r="B16" s="5" t="n"/>
      <c r="C16" s="12" t="n">
        <v>1</v>
      </c>
      <c r="D16" s="5" t="inlineStr">
        <is>
          <t>TTS.PF.001.IPE140.33</t>
        </is>
      </c>
      <c r="E16" s="5" t="inlineStr">
        <is>
          <t>Pilastro fondazione trave IPE140 mt.3,30</t>
        </is>
      </c>
      <c r="F16" s="5" t="inlineStr">
        <is>
          <t>Carpenteria metallica</t>
        </is>
      </c>
      <c r="G16" s="12" t="n">
        <v>0</v>
      </c>
      <c r="H16" s="12" t="n"/>
      <c r="I16" s="12" t="n"/>
      <c r="J16" s="12" t="n"/>
      <c r="K16" s="12" t="n"/>
      <c r="L16" s="12" t="n"/>
      <c r="M16" s="12" t="n"/>
      <c r="N16" s="12" t="n"/>
      <c r="O16" s="12" t="inlineStr">
        <is>
          <t>pz</t>
        </is>
      </c>
      <c r="P16" s="10" t="n"/>
      <c r="Q16" s="6">
        <f>IFERROR(VLOOKUP($D16,LISTINO!$B:$I,6,FALSE),IFERROR(VLOOKUP($E16,LISTINO!$C:$I,5,FALSE),""))</f>
        <v/>
      </c>
      <c r="R16" s="13">
        <f>IF(AND(ISNUMBER(G16),ISNUMBER(Q16)),G16*Q16,"")</f>
        <v/>
      </c>
    </row>
    <row r="17">
      <c r="A17" s="5" t="inlineStr">
        <is>
          <t>PILASTRO MOTORE</t>
        </is>
      </c>
      <c r="B17" s="5" t="n"/>
      <c r="C17" s="12" t="n">
        <v>1</v>
      </c>
      <c r="D17" s="5" t="inlineStr">
        <is>
          <t>TTS.PF.001.IPEA140.33</t>
        </is>
      </c>
      <c r="E17" s="5" t="inlineStr">
        <is>
          <t>Pilastro fondazione trave IPEA140 mt.3,30 (alleggerita)</t>
        </is>
      </c>
      <c r="F17" s="5" t="inlineStr">
        <is>
          <t>Carpenteria metallica</t>
        </is>
      </c>
      <c r="G17" s="12" t="n">
        <v>0</v>
      </c>
      <c r="H17" s="12" t="n"/>
      <c r="I17" s="12" t="n"/>
      <c r="J17" s="12" t="n"/>
      <c r="K17" s="12" t="n"/>
      <c r="L17" s="12" t="n"/>
      <c r="M17" s="12" t="n"/>
      <c r="N17" s="12" t="n"/>
      <c r="O17" s="12" t="inlineStr">
        <is>
          <t>pz</t>
        </is>
      </c>
      <c r="P17" s="10" t="n"/>
      <c r="Q17" s="6">
        <f>IFERROR(VLOOKUP($D17,LISTINO!$B:$I,6,FALSE),IFERROR(VLOOKUP($E17,LISTINO!$C:$I,5,FALSE),""))</f>
        <v/>
      </c>
      <c r="R17" s="13">
        <f>IF(AND(ISNUMBER(G17),ISNUMBER(Q17)),G17*Q17,"")</f>
        <v/>
      </c>
    </row>
    <row r="18">
      <c r="A18" s="5" t="inlineStr">
        <is>
          <t>PILASTRO MOTORE</t>
        </is>
      </c>
      <c r="B18" s="5" t="n"/>
      <c r="C18" s="12" t="n">
        <v>1</v>
      </c>
      <c r="D18" s="5" t="inlineStr">
        <is>
          <t>TTS.PF.001.IPE140.34</t>
        </is>
      </c>
      <c r="E18" s="5" t="inlineStr">
        <is>
          <t>Pilastro fondazione trave IPE140 mt.3,40</t>
        </is>
      </c>
      <c r="F18" s="5" t="inlineStr">
        <is>
          <t>Carpenteria metallica</t>
        </is>
      </c>
      <c r="G18" s="12" t="n">
        <v>0</v>
      </c>
      <c r="H18" s="12" t="n"/>
      <c r="I18" s="12" t="n"/>
      <c r="J18" s="12" t="n"/>
      <c r="K18" s="12" t="n"/>
      <c r="L18" s="12" t="n"/>
      <c r="M18" s="12" t="n"/>
      <c r="N18" s="12" t="n"/>
      <c r="O18" s="12" t="inlineStr">
        <is>
          <t>pz</t>
        </is>
      </c>
      <c r="P18" s="10" t="n"/>
      <c r="Q18" s="6">
        <f>IFERROR(VLOOKUP($D18,LISTINO!$B:$I,6,FALSE),IFERROR(VLOOKUP($E18,LISTINO!$C:$I,5,FALSE),""))</f>
        <v/>
      </c>
      <c r="R18" s="13">
        <f>IF(AND(ISNUMBER(G18),ISNUMBER(Q18)),G18*Q18,"")</f>
        <v/>
      </c>
    </row>
    <row r="19">
      <c r="A19" s="5" t="inlineStr">
        <is>
          <t>PILASTRO MOTORE</t>
        </is>
      </c>
      <c r="B19" s="5" t="n"/>
      <c r="C19" s="12" t="n">
        <v>1</v>
      </c>
      <c r="D19" s="5" t="inlineStr">
        <is>
          <t>TTS.PF.001.IPEA140.34</t>
        </is>
      </c>
      <c r="E19" s="5" t="inlineStr">
        <is>
          <t>Pilastro fondazione trave IPEA140 mt.3,40 (alleggerita)</t>
        </is>
      </c>
      <c r="F19" s="5" t="inlineStr">
        <is>
          <t>Carpenteria metallica</t>
        </is>
      </c>
      <c r="G19" s="12" t="n">
        <v>0</v>
      </c>
      <c r="H19" s="12" t="n"/>
      <c r="I19" s="12" t="n"/>
      <c r="J19" s="12" t="n"/>
      <c r="K19" s="12" t="n"/>
      <c r="L19" s="12" t="n"/>
      <c r="M19" s="12" t="n"/>
      <c r="N19" s="12" t="n"/>
      <c r="O19" s="12" t="inlineStr">
        <is>
          <t>pz</t>
        </is>
      </c>
      <c r="P19" s="10" t="n"/>
      <c r="Q19" s="6">
        <f>IFERROR(VLOOKUP($D19,LISTINO!$B:$I,6,FALSE),IFERROR(VLOOKUP($E19,LISTINO!$C:$I,5,FALSE),""))</f>
        <v/>
      </c>
      <c r="R19" s="13">
        <f>IF(AND(ISNUMBER(G19),ISNUMBER(Q19)),G19*Q19,"")</f>
        <v/>
      </c>
    </row>
    <row r="20">
      <c r="A20" s="5" t="inlineStr">
        <is>
          <t>PILASTRO MOTORE</t>
        </is>
      </c>
      <c r="B20" s="5" t="n"/>
      <c r="C20" s="12" t="n">
        <v>1</v>
      </c>
      <c r="D20" s="5" t="inlineStr">
        <is>
          <t>TTS.PF.001.IPE140.35</t>
        </is>
      </c>
      <c r="E20" s="5" t="inlineStr">
        <is>
          <t>Pilastro fondazione trave IPE140 mt.3,50</t>
        </is>
      </c>
      <c r="F20" s="5" t="inlineStr">
        <is>
          <t>Carpenteria metallica</t>
        </is>
      </c>
      <c r="G20" s="12" t="n">
        <v>0</v>
      </c>
      <c r="H20" s="12" t="n"/>
      <c r="I20" s="12" t="n"/>
      <c r="J20" s="12" t="n"/>
      <c r="K20" s="12" t="n"/>
      <c r="L20" s="12" t="n"/>
      <c r="M20" s="12" t="n"/>
      <c r="N20" s="12" t="n"/>
      <c r="O20" s="12" t="inlineStr">
        <is>
          <t>pz</t>
        </is>
      </c>
      <c r="P20" s="10" t="n"/>
      <c r="Q20" s="6">
        <f>IFERROR(VLOOKUP($D20,LISTINO!$B:$I,6,FALSE),IFERROR(VLOOKUP($E20,LISTINO!$C:$I,5,FALSE),""))</f>
        <v/>
      </c>
      <c r="R20" s="13">
        <f>IF(AND(ISNUMBER(G20),ISNUMBER(Q20)),G20*Q20,"")</f>
        <v/>
      </c>
    </row>
    <row r="21">
      <c r="A21" s="5" t="inlineStr">
        <is>
          <t>PILASTRO MOTORE</t>
        </is>
      </c>
      <c r="B21" s="5" t="n"/>
      <c r="C21" s="12" t="n">
        <v>1</v>
      </c>
      <c r="D21" s="5" t="inlineStr">
        <is>
          <t>TTS.PF.001.IPEA140.35</t>
        </is>
      </c>
      <c r="E21" s="5" t="inlineStr">
        <is>
          <t>Pilastro fondazione trave IPEA140 mt.3,50 (alleggerita)</t>
        </is>
      </c>
      <c r="F21" s="5" t="inlineStr">
        <is>
          <t>Carpenteria metallica</t>
        </is>
      </c>
      <c r="G21" s="12" t="n">
        <v>0</v>
      </c>
      <c r="H21" s="12" t="n"/>
      <c r="I21" s="12" t="n"/>
      <c r="J21" s="12" t="n"/>
      <c r="K21" s="12" t="n"/>
      <c r="L21" s="12" t="n"/>
      <c r="M21" s="12" t="n"/>
      <c r="N21" s="12" t="n"/>
      <c r="O21" s="12" t="inlineStr">
        <is>
          <t>pz</t>
        </is>
      </c>
      <c r="P21" s="10" t="n"/>
      <c r="Q21" s="6">
        <f>IFERROR(VLOOKUP($D21,LISTINO!$B:$I,6,FALSE),IFERROR(VLOOKUP($E21,LISTINO!$C:$I,5,FALSE),""))</f>
        <v/>
      </c>
      <c r="R21" s="13">
        <f>IF(AND(ISNUMBER(G21),ISNUMBER(Q21)),G21*Q21,"")</f>
        <v/>
      </c>
    </row>
    <row r="22">
      <c r="A22" s="5" t="inlineStr">
        <is>
          <t>PILASTRO MOTORE</t>
        </is>
      </c>
      <c r="B22" s="5" t="n"/>
      <c r="C22" s="12" t="n">
        <v>1</v>
      </c>
      <c r="D22" s="5" t="inlineStr">
        <is>
          <t>TTS.PF.001.IPE140.36</t>
        </is>
      </c>
      <c r="E22" s="5" t="inlineStr">
        <is>
          <t>Pilastro fondazione trave IPE140 mt.3,60</t>
        </is>
      </c>
      <c r="F22" s="5" t="inlineStr">
        <is>
          <t>Carpenteria metallica</t>
        </is>
      </c>
      <c r="G22" s="12" t="n">
        <v>0</v>
      </c>
      <c r="H22" s="12" t="n"/>
      <c r="I22" s="12" t="n"/>
      <c r="J22" s="12" t="n"/>
      <c r="K22" s="12" t="n"/>
      <c r="L22" s="12" t="n"/>
      <c r="M22" s="12" t="n"/>
      <c r="N22" s="12" t="n"/>
      <c r="O22" s="12" t="inlineStr">
        <is>
          <t>pz</t>
        </is>
      </c>
      <c r="P22" s="10" t="n"/>
      <c r="Q22" s="6">
        <f>IFERROR(VLOOKUP($D22,LISTINO!$B:$I,6,FALSE),IFERROR(VLOOKUP($E22,LISTINO!$C:$I,5,FALSE),""))</f>
        <v/>
      </c>
      <c r="R22" s="13">
        <f>IF(AND(ISNUMBER(G22),ISNUMBER(Q22)),G22*Q22,"")</f>
        <v/>
      </c>
    </row>
    <row r="23">
      <c r="A23" s="5" t="inlineStr">
        <is>
          <t>PILASTRO MOTORE</t>
        </is>
      </c>
      <c r="B23" s="5" t="n"/>
      <c r="C23" s="12" t="n">
        <v>1</v>
      </c>
      <c r="D23" s="5" t="inlineStr">
        <is>
          <t>TTS.PF.001.IPEA140.36</t>
        </is>
      </c>
      <c r="E23" s="5" t="inlineStr">
        <is>
          <t>Pilastro fondazione trave IPEA140 mt.3,60 (alleggerita)</t>
        </is>
      </c>
      <c r="F23" s="5" t="inlineStr">
        <is>
          <t>Carpenteria metallica</t>
        </is>
      </c>
      <c r="G23" s="12" t="n">
        <v>0</v>
      </c>
      <c r="H23" s="12" t="n"/>
      <c r="I23" s="12" t="n"/>
      <c r="J23" s="12" t="n"/>
      <c r="K23" s="12" t="n"/>
      <c r="L23" s="12" t="n"/>
      <c r="M23" s="12" t="n"/>
      <c r="N23" s="12" t="n"/>
      <c r="O23" s="12" t="inlineStr">
        <is>
          <t>pz</t>
        </is>
      </c>
      <c r="P23" s="10" t="n"/>
      <c r="Q23" s="6">
        <f>IFERROR(VLOOKUP($D23,LISTINO!$B:$I,6,FALSE),IFERROR(VLOOKUP($E23,LISTINO!$C:$I,5,FALSE),""))</f>
        <v/>
      </c>
      <c r="R23" s="13">
        <f>IF(AND(ISNUMBER(G23),ISNUMBER(Q23)),G23*Q23,"")</f>
        <v/>
      </c>
    </row>
    <row r="24">
      <c r="A24" s="5" t="inlineStr">
        <is>
          <t>PILASTRO MOTORE</t>
        </is>
      </c>
      <c r="B24" s="5" t="n"/>
      <c r="C24" s="12" t="n">
        <v>2</v>
      </c>
      <c r="D24" s="5" t="inlineStr">
        <is>
          <t>TTS.PM.001.IPE140.22</t>
        </is>
      </c>
      <c r="E24" s="5" t="inlineStr">
        <is>
          <t>Pilastro motore trave IPE 140 mt.2,22</t>
        </is>
      </c>
      <c r="F24" s="5" t="inlineStr">
        <is>
          <t>Carpenteria metallica</t>
        </is>
      </c>
      <c r="G24" s="12" t="n">
        <v>1</v>
      </c>
      <c r="H24" s="12" t="n"/>
      <c r="I24" s="12" t="n"/>
      <c r="J24" s="12" t="n"/>
      <c r="K24" s="12" t="n"/>
      <c r="L24" s="12" t="n"/>
      <c r="M24" s="12" t="n"/>
      <c r="N24" s="12" t="n"/>
      <c r="O24" s="12" t="inlineStr">
        <is>
          <t>pz</t>
        </is>
      </c>
      <c r="P24" s="10" t="n"/>
      <c r="Q24" s="6">
        <f>IFERROR(VLOOKUP($D24,LISTINO!$B:$I,6,FALSE),IFERROR(VLOOKUP($E24,LISTINO!$C:$I,5,FALSE),""))</f>
        <v/>
      </c>
      <c r="R24" s="13">
        <f>IF(AND(ISNUMBER(G24),ISNUMBER(Q24)),G24*Q24,"")</f>
        <v/>
      </c>
    </row>
    <row r="25">
      <c r="A25" s="5" t="inlineStr">
        <is>
          <t>PILASTRO MOTORE</t>
        </is>
      </c>
      <c r="B25" s="5" t="n"/>
      <c r="C25" s="12" t="n">
        <v>2</v>
      </c>
      <c r="D25" s="5" t="inlineStr">
        <is>
          <t>TTS.PM.001.IPEA140.22</t>
        </is>
      </c>
      <c r="E25" s="5" t="inlineStr">
        <is>
          <t>Pilastro motore trave ipea140 x 2220 con foratura alloggiamento quadro motore (alleggerita)</t>
        </is>
      </c>
      <c r="F25" s="5" t="inlineStr">
        <is>
          <t>Carpenteria metallica</t>
        </is>
      </c>
      <c r="G25" s="12" t="n">
        <v>0</v>
      </c>
      <c r="H25" s="12" t="n"/>
      <c r="I25" s="12" t="n"/>
      <c r="J25" s="12" t="n"/>
      <c r="K25" s="12" t="n"/>
      <c r="L25" s="12" t="n"/>
      <c r="M25" s="12" t="n"/>
      <c r="N25" s="12" t="n"/>
      <c r="O25" s="12" t="inlineStr">
        <is>
          <t>pz</t>
        </is>
      </c>
      <c r="P25" s="10" t="n"/>
      <c r="Q25" s="6">
        <f>IFERROR(VLOOKUP($D25,LISTINO!$B:$I,6,FALSE),IFERROR(VLOOKUP($E25,LISTINO!$C:$I,5,FALSE),""))</f>
        <v/>
      </c>
      <c r="R25" s="13">
        <f>IF(AND(ISNUMBER(G25),ISNUMBER(Q25)),G25*Q25,"")</f>
        <v/>
      </c>
    </row>
    <row r="26">
      <c r="A26" s="5" t="inlineStr">
        <is>
          <t>PILASTRO MOTORE</t>
        </is>
      </c>
      <c r="B26" s="5" t="n"/>
      <c r="C26" s="12" t="n">
        <v>2</v>
      </c>
      <c r="D26" s="5" t="inlineStr">
        <is>
          <t>TTS.PM.001.IPE140.27</t>
        </is>
      </c>
      <c r="E26" s="5" t="inlineStr">
        <is>
          <t>Pilastro motore trave ipe140 x 2720 con foratura alloggiamento quadro motore (standard)</t>
        </is>
      </c>
      <c r="F26" s="5" t="inlineStr">
        <is>
          <t>Carpenteria metallica</t>
        </is>
      </c>
      <c r="G26" s="12" t="n">
        <v>0</v>
      </c>
      <c r="H26" s="12" t="n"/>
      <c r="I26" s="12" t="n"/>
      <c r="J26" s="12" t="n"/>
      <c r="K26" s="12" t="n"/>
      <c r="L26" s="12" t="n"/>
      <c r="M26" s="12" t="n"/>
      <c r="N26" s="12" t="n"/>
      <c r="O26" s="12" t="inlineStr">
        <is>
          <t>pz</t>
        </is>
      </c>
      <c r="P26" s="10" t="n"/>
      <c r="Q26" s="6">
        <f>IFERROR(VLOOKUP($D26,LISTINO!$B:$I,6,FALSE),IFERROR(VLOOKUP($E26,LISTINO!$C:$I,5,FALSE),""))</f>
        <v/>
      </c>
      <c r="R26" s="13">
        <f>IF(AND(ISNUMBER(G26),ISNUMBER(Q26)),G26*Q26,"")</f>
        <v/>
      </c>
    </row>
    <row r="27">
      <c r="A27" s="5" t="inlineStr">
        <is>
          <t>PILASTRO MOTORE</t>
        </is>
      </c>
      <c r="B27" s="5" t="n"/>
      <c r="C27" s="12" t="n">
        <v>2</v>
      </c>
      <c r="D27" s="5" t="inlineStr">
        <is>
          <t>TTS.PM.001.IPEA140.27</t>
        </is>
      </c>
      <c r="E27" s="5" t="inlineStr">
        <is>
          <t>Pilastro motore trave ipea140 x 2720 con foratura alloggiamento quadro motore (alleggerita)</t>
        </is>
      </c>
      <c r="F27" s="5" t="inlineStr">
        <is>
          <t>Carpenteria metallica</t>
        </is>
      </c>
      <c r="G27" s="12" t="n">
        <v>0</v>
      </c>
      <c r="H27" s="12" t="n"/>
      <c r="I27" s="12" t="n"/>
      <c r="J27" s="12" t="n"/>
      <c r="K27" s="12" t="n"/>
      <c r="L27" s="12" t="n"/>
      <c r="M27" s="12" t="n"/>
      <c r="N27" s="12" t="n"/>
      <c r="O27" s="12" t="inlineStr">
        <is>
          <t>pz</t>
        </is>
      </c>
      <c r="P27" s="10" t="n"/>
      <c r="Q27" s="6">
        <f>IFERROR(VLOOKUP($D27,LISTINO!$B:$I,6,FALSE),IFERROR(VLOOKUP($E27,LISTINO!$C:$I,5,FALSE),""))</f>
        <v/>
      </c>
      <c r="R27" s="13">
        <f>IF(AND(ISNUMBER(G27),ISNUMBER(Q27)),G27*Q27,"")</f>
        <v/>
      </c>
    </row>
    <row r="28">
      <c r="A28" s="5" t="inlineStr">
        <is>
          <t>PILASTRO MOTORE</t>
        </is>
      </c>
      <c r="B28" s="5" t="n"/>
      <c r="C28" s="12" t="n">
        <v>2</v>
      </c>
      <c r="D28" s="5" t="inlineStr">
        <is>
          <t>TTS.PM.001.IPE140.28</t>
        </is>
      </c>
      <c r="E28" s="5" t="inlineStr">
        <is>
          <t>Pilastro motore trave ipe140 x 2820 con foratura alloggiamento quadro motore (standard)</t>
        </is>
      </c>
      <c r="F28" s="5" t="inlineStr">
        <is>
          <t>Carpenteria metallica</t>
        </is>
      </c>
      <c r="G28" s="12" t="n">
        <v>0</v>
      </c>
      <c r="H28" s="12" t="n"/>
      <c r="I28" s="12" t="n"/>
      <c r="J28" s="12" t="n"/>
      <c r="K28" s="12" t="n"/>
      <c r="L28" s="12" t="n"/>
      <c r="M28" s="12" t="n"/>
      <c r="N28" s="12" t="n"/>
      <c r="O28" s="12" t="inlineStr">
        <is>
          <t>pz</t>
        </is>
      </c>
      <c r="P28" s="10" t="n"/>
      <c r="Q28" s="6">
        <f>IFERROR(VLOOKUP($D28,LISTINO!$B:$I,6,FALSE),IFERROR(VLOOKUP($E28,LISTINO!$C:$I,5,FALSE),""))</f>
        <v/>
      </c>
      <c r="R28" s="13">
        <f>IF(AND(ISNUMBER(G28),ISNUMBER(Q28)),G28*Q28,"")</f>
        <v/>
      </c>
    </row>
    <row r="29">
      <c r="A29" s="5" t="inlineStr">
        <is>
          <t>PILASTRO MOTORE</t>
        </is>
      </c>
      <c r="B29" s="5" t="n"/>
      <c r="C29" s="12" t="n">
        <v>2</v>
      </c>
      <c r="D29" s="5" t="inlineStr">
        <is>
          <t>TTS.PM.001.IPEA140.28</t>
        </is>
      </c>
      <c r="E29" s="5" t="inlineStr">
        <is>
          <t>Pilastro motore trave ipea140 x 2820 con foratura alloggiamento quadro motore (alleggerita)</t>
        </is>
      </c>
      <c r="F29" s="5" t="inlineStr">
        <is>
          <t>Carpenteria metallica</t>
        </is>
      </c>
      <c r="G29" s="12" t="n">
        <v>0</v>
      </c>
      <c r="H29" s="12" t="n"/>
      <c r="I29" s="12" t="n"/>
      <c r="J29" s="12" t="n"/>
      <c r="K29" s="12" t="n"/>
      <c r="L29" s="12" t="n"/>
      <c r="M29" s="12" t="n"/>
      <c r="N29" s="12" t="n"/>
      <c r="O29" s="12" t="inlineStr">
        <is>
          <t>pz</t>
        </is>
      </c>
      <c r="P29" s="10" t="n"/>
      <c r="Q29" s="6">
        <f>IFERROR(VLOOKUP($D29,LISTINO!$B:$I,6,FALSE),IFERROR(VLOOKUP($E29,LISTINO!$C:$I,5,FALSE),""))</f>
        <v/>
      </c>
      <c r="R29" s="13">
        <f>IF(AND(ISNUMBER(G29),ISNUMBER(Q29)),G29*Q29,"")</f>
        <v/>
      </c>
    </row>
    <row r="30">
      <c r="A30" s="5" t="inlineStr">
        <is>
          <t>PILASTRO MOTORE</t>
        </is>
      </c>
      <c r="B30" s="5" t="n"/>
      <c r="C30" s="12" t="n">
        <v>2</v>
      </c>
      <c r="D30" s="5" t="inlineStr">
        <is>
          <t>TTS.PM.001.IPE140.29</t>
        </is>
      </c>
      <c r="E30" s="5" t="inlineStr">
        <is>
          <t>Pilastro motore trave ipe140 x 2920 con foratura alloggiamento quadro motore (standard)</t>
        </is>
      </c>
      <c r="F30" s="5" t="inlineStr">
        <is>
          <t>Carpenteria metallica</t>
        </is>
      </c>
      <c r="G30" s="12" t="n">
        <v>0</v>
      </c>
      <c r="H30" s="12" t="n"/>
      <c r="I30" s="12" t="n"/>
      <c r="J30" s="12" t="n"/>
      <c r="K30" s="12" t="n"/>
      <c r="L30" s="12" t="n"/>
      <c r="M30" s="12" t="n"/>
      <c r="N30" s="12" t="n"/>
      <c r="O30" s="12" t="inlineStr">
        <is>
          <t>pz</t>
        </is>
      </c>
      <c r="P30" s="10" t="n"/>
      <c r="Q30" s="6">
        <f>IFERROR(VLOOKUP($D30,LISTINO!$B:$I,6,FALSE),IFERROR(VLOOKUP($E30,LISTINO!$C:$I,5,FALSE),""))</f>
        <v/>
      </c>
      <c r="R30" s="13">
        <f>IF(AND(ISNUMBER(G30),ISNUMBER(Q30)),G30*Q30,"")</f>
        <v/>
      </c>
    </row>
    <row r="31">
      <c r="A31" s="5" t="inlineStr">
        <is>
          <t>PILASTRO MOTORE</t>
        </is>
      </c>
      <c r="B31" s="5" t="n"/>
      <c r="C31" s="12" t="n">
        <v>2</v>
      </c>
      <c r="D31" s="5" t="inlineStr">
        <is>
          <t>TTS.PM.001.IPEA140.29</t>
        </is>
      </c>
      <c r="E31" s="5" t="inlineStr">
        <is>
          <t>Pilastro motore trave ipea140 x 2920 con foratura alloggiamento quadro motore (alleggerita)</t>
        </is>
      </c>
      <c r="F31" s="5" t="inlineStr">
        <is>
          <t>Carpenteria metallica</t>
        </is>
      </c>
      <c r="G31" s="12" t="n">
        <v>0</v>
      </c>
      <c r="H31" s="12" t="n"/>
      <c r="I31" s="12" t="n"/>
      <c r="J31" s="12" t="n"/>
      <c r="K31" s="12" t="n"/>
      <c r="L31" s="12" t="n"/>
      <c r="M31" s="12" t="n"/>
      <c r="N31" s="12" t="n"/>
      <c r="O31" s="12" t="inlineStr">
        <is>
          <t>pz</t>
        </is>
      </c>
      <c r="P31" s="10" t="n"/>
      <c r="Q31" s="6">
        <f>IFERROR(VLOOKUP($D31,LISTINO!$B:$I,6,FALSE),IFERROR(VLOOKUP($E31,LISTINO!$C:$I,5,FALSE),""))</f>
        <v/>
      </c>
      <c r="R31" s="13">
        <f>IF(AND(ISNUMBER(G31),ISNUMBER(Q31)),G31*Q31,"")</f>
        <v/>
      </c>
    </row>
    <row r="32">
      <c r="A32" s="5" t="inlineStr">
        <is>
          <t>PILASTRO MOTORE</t>
        </is>
      </c>
      <c r="B32" s="5" t="n"/>
      <c r="C32" s="12" t="n">
        <v>2</v>
      </c>
      <c r="D32" s="5" t="inlineStr">
        <is>
          <t>TTS.PM.001.IPE140.30</t>
        </is>
      </c>
      <c r="E32" s="5" t="inlineStr">
        <is>
          <t>Pilastro motore trave ipe140 x 3020 con foratura alloggiamento quadro motore (standard)</t>
        </is>
      </c>
      <c r="F32" s="5" t="inlineStr">
        <is>
          <t>Carpenteria metallica</t>
        </is>
      </c>
      <c r="G32" s="12" t="n">
        <v>0</v>
      </c>
      <c r="H32" s="12" t="n"/>
      <c r="I32" s="12" t="n"/>
      <c r="J32" s="12" t="n"/>
      <c r="K32" s="12" t="n"/>
      <c r="L32" s="12" t="n"/>
      <c r="M32" s="12" t="n"/>
      <c r="N32" s="12" t="n"/>
      <c r="O32" s="12" t="inlineStr">
        <is>
          <t>pz</t>
        </is>
      </c>
      <c r="P32" s="10" t="n"/>
      <c r="Q32" s="6">
        <f>IFERROR(VLOOKUP($D32,LISTINO!$B:$I,6,FALSE),IFERROR(VLOOKUP($E32,LISTINO!$C:$I,5,FALSE),""))</f>
        <v/>
      </c>
      <c r="R32" s="13">
        <f>IF(AND(ISNUMBER(G32),ISNUMBER(Q32)),G32*Q32,"")</f>
        <v/>
      </c>
    </row>
    <row r="33">
      <c r="A33" s="5" t="inlineStr">
        <is>
          <t>PILASTRO MOTORE</t>
        </is>
      </c>
      <c r="B33" s="5" t="n"/>
      <c r="C33" s="12" t="n">
        <v>2</v>
      </c>
      <c r="D33" s="5" t="inlineStr">
        <is>
          <t>TTS.PM.001.IPEA140.30</t>
        </is>
      </c>
      <c r="E33" s="5" t="inlineStr">
        <is>
          <t>Pilastro motore trave ipea140 x 3020 con foratura alloggiamento quadro motore (alleggerita)</t>
        </is>
      </c>
      <c r="F33" s="5" t="inlineStr">
        <is>
          <t>Carpenteria metallica</t>
        </is>
      </c>
      <c r="G33" s="12" t="n">
        <v>0</v>
      </c>
      <c r="H33" s="12" t="n"/>
      <c r="I33" s="12" t="n"/>
      <c r="J33" s="12" t="n"/>
      <c r="K33" s="12" t="n"/>
      <c r="L33" s="12" t="n"/>
      <c r="M33" s="12" t="n"/>
      <c r="N33" s="12" t="n"/>
      <c r="O33" s="12" t="inlineStr">
        <is>
          <t>pz</t>
        </is>
      </c>
      <c r="P33" s="10" t="n"/>
      <c r="Q33" s="6">
        <f>IFERROR(VLOOKUP($D33,LISTINO!$B:$I,6,FALSE),IFERROR(VLOOKUP($E33,LISTINO!$C:$I,5,FALSE),""))</f>
        <v/>
      </c>
      <c r="R33" s="13">
        <f>IF(AND(ISNUMBER(G33),ISNUMBER(Q33)),G33*Q33,"")</f>
        <v/>
      </c>
    </row>
    <row r="34">
      <c r="A34" s="5" t="inlineStr">
        <is>
          <t>PILASTRO MOTORE</t>
        </is>
      </c>
      <c r="B34" s="5" t="n"/>
      <c r="C34" s="12" t="n">
        <v>2</v>
      </c>
      <c r="D34" s="5" t="inlineStr">
        <is>
          <t>TTS.PM.001.IPE140.31</t>
        </is>
      </c>
      <c r="E34" s="5" t="inlineStr">
        <is>
          <t>Pilastro motore trave ipe140 x 3120 con foratura alloggiamento quadro motore (standard)</t>
        </is>
      </c>
      <c r="F34" s="5" t="inlineStr">
        <is>
          <t>Carpenteria metallica</t>
        </is>
      </c>
      <c r="G34" s="12" t="n">
        <v>0</v>
      </c>
      <c r="H34" s="12" t="n"/>
      <c r="I34" s="12" t="n"/>
      <c r="J34" s="12" t="n"/>
      <c r="K34" s="12" t="n"/>
      <c r="L34" s="12" t="n"/>
      <c r="M34" s="12" t="n"/>
      <c r="N34" s="12" t="n"/>
      <c r="O34" s="12" t="inlineStr">
        <is>
          <t>pz</t>
        </is>
      </c>
      <c r="P34" s="10" t="n"/>
      <c r="Q34" s="6">
        <f>IFERROR(VLOOKUP($D34,LISTINO!$B:$I,6,FALSE),IFERROR(VLOOKUP($E34,LISTINO!$C:$I,5,FALSE),""))</f>
        <v/>
      </c>
      <c r="R34" s="13">
        <f>IF(AND(ISNUMBER(G34),ISNUMBER(Q34)),G34*Q34,"")</f>
        <v/>
      </c>
    </row>
    <row r="35">
      <c r="A35" s="5" t="inlineStr">
        <is>
          <t>PILASTRO MOTORE</t>
        </is>
      </c>
      <c r="B35" s="5" t="n"/>
      <c r="C35" s="12" t="n">
        <v>2</v>
      </c>
      <c r="D35" s="5" t="inlineStr">
        <is>
          <t>TTS.PM.001.IPEA140.31</t>
        </is>
      </c>
      <c r="E35" s="5" t="inlineStr">
        <is>
          <t>Pilastro motore trave ipea140 x 3120 con foratura alloggiamento quadro motore (alleggerita)</t>
        </is>
      </c>
      <c r="F35" s="5" t="inlineStr">
        <is>
          <t>Carpenteria metallica</t>
        </is>
      </c>
      <c r="G35" s="12" t="n">
        <v>0</v>
      </c>
      <c r="H35" s="12" t="n"/>
      <c r="I35" s="12" t="n"/>
      <c r="J35" s="12" t="n"/>
      <c r="K35" s="12" t="n"/>
      <c r="L35" s="12" t="n"/>
      <c r="M35" s="12" t="n"/>
      <c r="N35" s="12" t="n"/>
      <c r="O35" s="12" t="inlineStr">
        <is>
          <t>pz</t>
        </is>
      </c>
      <c r="P35" s="10" t="n"/>
      <c r="Q35" s="6">
        <f>IFERROR(VLOOKUP($D35,LISTINO!$B:$I,6,FALSE),IFERROR(VLOOKUP($E35,LISTINO!$C:$I,5,FALSE),""))</f>
        <v/>
      </c>
      <c r="R35" s="13">
        <f>IF(AND(ISNUMBER(G35),ISNUMBER(Q35)),G35*Q35,"")</f>
        <v/>
      </c>
    </row>
    <row r="36">
      <c r="A36" s="5" t="inlineStr">
        <is>
          <t>PILASTRO MOTORE</t>
        </is>
      </c>
      <c r="B36" s="5" t="n"/>
      <c r="C36" s="12" t="n">
        <v>2</v>
      </c>
      <c r="D36" s="5" t="inlineStr">
        <is>
          <t>TTS.PM.001.IPE140.32</t>
        </is>
      </c>
      <c r="E36" s="5" t="inlineStr">
        <is>
          <t>Pilastro motore trave ipe140 x 3220 con foratura alloggiamento quadro motore (standard)</t>
        </is>
      </c>
      <c r="F36" s="5" t="inlineStr">
        <is>
          <t>Carpenteria metallica</t>
        </is>
      </c>
      <c r="G36" s="12" t="n">
        <v>0</v>
      </c>
      <c r="H36" s="12" t="n"/>
      <c r="I36" s="12" t="n"/>
      <c r="J36" s="12" t="n"/>
      <c r="K36" s="12" t="n"/>
      <c r="L36" s="12" t="n"/>
      <c r="M36" s="12" t="n"/>
      <c r="N36" s="12" t="n"/>
      <c r="O36" s="12" t="inlineStr">
        <is>
          <t>pz</t>
        </is>
      </c>
      <c r="P36" s="10" t="n"/>
      <c r="Q36" s="6">
        <f>IFERROR(VLOOKUP($D36,LISTINO!$B:$I,6,FALSE),IFERROR(VLOOKUP($E36,LISTINO!$C:$I,5,FALSE),""))</f>
        <v/>
      </c>
      <c r="R36" s="13">
        <f>IF(AND(ISNUMBER(G36),ISNUMBER(Q36)),G36*Q36,"")</f>
        <v/>
      </c>
    </row>
    <row r="37">
      <c r="A37" s="5" t="inlineStr">
        <is>
          <t>PILASTRO MOTORE</t>
        </is>
      </c>
      <c r="B37" s="5" t="n"/>
      <c r="C37" s="12" t="n">
        <v>2</v>
      </c>
      <c r="D37" s="5" t="inlineStr">
        <is>
          <t>TTS.PM.001.IPEA140.32</t>
        </is>
      </c>
      <c r="E37" s="5" t="inlineStr">
        <is>
          <t>Pilastro motore trave ipea140 x 3220 con foratura alloggiamento quadro motore (alleggerita)</t>
        </is>
      </c>
      <c r="F37" s="5" t="inlineStr">
        <is>
          <t>Carpenteria metallica</t>
        </is>
      </c>
      <c r="G37" s="12" t="n">
        <v>0</v>
      </c>
      <c r="H37" s="12" t="n"/>
      <c r="I37" s="12" t="n"/>
      <c r="J37" s="12" t="n"/>
      <c r="K37" s="12" t="n"/>
      <c r="L37" s="12" t="n"/>
      <c r="M37" s="12" t="n"/>
      <c r="N37" s="12" t="n"/>
      <c r="O37" s="12" t="inlineStr">
        <is>
          <t>pz</t>
        </is>
      </c>
      <c r="P37" s="10" t="n"/>
      <c r="Q37" s="6">
        <f>IFERROR(VLOOKUP($D37,LISTINO!$B:$I,6,FALSE),IFERROR(VLOOKUP($E37,LISTINO!$C:$I,5,FALSE),""))</f>
        <v/>
      </c>
      <c r="R37" s="13">
        <f>IF(AND(ISNUMBER(G37),ISNUMBER(Q37)),G37*Q37,"")</f>
        <v/>
      </c>
    </row>
    <row r="38">
      <c r="A38" s="5" t="inlineStr">
        <is>
          <t>PILASTRO MOTORE</t>
        </is>
      </c>
      <c r="B38" s="5" t="n"/>
      <c r="C38" s="12" t="n">
        <v>2</v>
      </c>
      <c r="D38" s="5" t="inlineStr">
        <is>
          <t>TTS.PM.001.IPE140.33</t>
        </is>
      </c>
      <c r="E38" s="5" t="inlineStr">
        <is>
          <t>Pilastro motore trave ipe140 x 3320 con foratura alloggiamento quadro motore (standard)</t>
        </is>
      </c>
      <c r="F38" s="5" t="inlineStr">
        <is>
          <t>Carpenteria metallica</t>
        </is>
      </c>
      <c r="G38" s="12" t="n">
        <v>0</v>
      </c>
      <c r="H38" s="12" t="n"/>
      <c r="I38" s="12" t="n"/>
      <c r="J38" s="12" t="n"/>
      <c r="K38" s="12" t="n"/>
      <c r="L38" s="12" t="n"/>
      <c r="M38" s="12" t="n"/>
      <c r="N38" s="12" t="n"/>
      <c r="O38" s="12" t="inlineStr">
        <is>
          <t>pz</t>
        </is>
      </c>
      <c r="P38" s="10" t="n"/>
      <c r="Q38" s="6">
        <f>IFERROR(VLOOKUP($D38,LISTINO!$B:$I,6,FALSE),IFERROR(VLOOKUP($E38,LISTINO!$C:$I,5,FALSE),""))</f>
        <v/>
      </c>
      <c r="R38" s="13">
        <f>IF(AND(ISNUMBER(G38),ISNUMBER(Q38)),G38*Q38,"")</f>
        <v/>
      </c>
    </row>
    <row r="39">
      <c r="A39" s="5" t="inlineStr">
        <is>
          <t>PILASTRO MOTORE</t>
        </is>
      </c>
      <c r="B39" s="5" t="n"/>
      <c r="C39" s="12" t="n">
        <v>2</v>
      </c>
      <c r="D39" s="5" t="inlineStr">
        <is>
          <t>TTS.PM.001.IPEA140.33</t>
        </is>
      </c>
      <c r="E39" s="5" t="inlineStr">
        <is>
          <t>Pilastro motore trave ipea140 x 3320 con foratura alloggiamento quadro motore (alleggerita)</t>
        </is>
      </c>
      <c r="F39" s="5" t="inlineStr">
        <is>
          <t>Carpenteria metallica</t>
        </is>
      </c>
      <c r="G39" s="12" t="n">
        <v>0</v>
      </c>
      <c r="H39" s="12" t="n"/>
      <c r="I39" s="12" t="n"/>
      <c r="J39" s="12" t="n"/>
      <c r="K39" s="12" t="n"/>
      <c r="L39" s="12" t="n"/>
      <c r="M39" s="12" t="n"/>
      <c r="N39" s="12" t="n"/>
      <c r="O39" s="12" t="inlineStr">
        <is>
          <t>pz</t>
        </is>
      </c>
      <c r="P39" s="10" t="n"/>
      <c r="Q39" s="6">
        <f>IFERROR(VLOOKUP($D39,LISTINO!$B:$I,6,FALSE),IFERROR(VLOOKUP($E39,LISTINO!$C:$I,5,FALSE),""))</f>
        <v/>
      </c>
      <c r="R39" s="13">
        <f>IF(AND(ISNUMBER(G39),ISNUMBER(Q39)),G39*Q39,"")</f>
        <v/>
      </c>
    </row>
    <row r="40">
      <c r="A40" s="5" t="inlineStr">
        <is>
          <t>PILASTRO MOTORE</t>
        </is>
      </c>
      <c r="B40" s="5" t="n"/>
      <c r="C40" s="12" t="n">
        <v>2</v>
      </c>
      <c r="D40" s="5" t="inlineStr">
        <is>
          <t>TTS.PM.001.IPE140.34</t>
        </is>
      </c>
      <c r="E40" s="5" t="inlineStr">
        <is>
          <t>Pilastro motore trave ipe140 x 3420 con foratura alloggiamento quadro motore (standard)</t>
        </is>
      </c>
      <c r="F40" s="5" t="inlineStr">
        <is>
          <t>Carpenteria metallica</t>
        </is>
      </c>
      <c r="G40" s="12" t="n">
        <v>0</v>
      </c>
      <c r="H40" s="12" t="n"/>
      <c r="I40" s="12" t="n"/>
      <c r="J40" s="12" t="n"/>
      <c r="K40" s="12" t="n"/>
      <c r="L40" s="12" t="n"/>
      <c r="M40" s="12" t="n"/>
      <c r="N40" s="12" t="n"/>
      <c r="O40" s="12" t="inlineStr">
        <is>
          <t>pz</t>
        </is>
      </c>
      <c r="P40" s="10" t="n"/>
      <c r="Q40" s="6">
        <f>IFERROR(VLOOKUP($D40,LISTINO!$B:$I,6,FALSE),IFERROR(VLOOKUP($E40,LISTINO!$C:$I,5,FALSE),""))</f>
        <v/>
      </c>
      <c r="R40" s="13">
        <f>IF(AND(ISNUMBER(G40),ISNUMBER(Q40)),G40*Q40,"")</f>
        <v/>
      </c>
    </row>
    <row r="41">
      <c r="A41" s="5" t="inlineStr">
        <is>
          <t>PILASTRO MOTORE</t>
        </is>
      </c>
      <c r="B41" s="5" t="n"/>
      <c r="C41" s="12" t="n">
        <v>2</v>
      </c>
      <c r="D41" s="5" t="inlineStr">
        <is>
          <t>TTS.PM.001.IPEA140.34</t>
        </is>
      </c>
      <c r="E41" s="5" t="inlineStr">
        <is>
          <t>Pilastro motore trave ipea140 x 3420 con foratura alloggiamento quadro motore (alleggerita)</t>
        </is>
      </c>
      <c r="F41" s="5" t="inlineStr">
        <is>
          <t>Carpenteria metallica</t>
        </is>
      </c>
      <c r="G41" s="12" t="n">
        <v>0</v>
      </c>
      <c r="H41" s="12" t="n"/>
      <c r="I41" s="12" t="n"/>
      <c r="J41" s="12" t="n"/>
      <c r="K41" s="12" t="n"/>
      <c r="L41" s="12" t="n"/>
      <c r="M41" s="12" t="n"/>
      <c r="N41" s="12" t="n"/>
      <c r="O41" s="12" t="inlineStr">
        <is>
          <t>pz</t>
        </is>
      </c>
      <c r="P41" s="10" t="n"/>
      <c r="Q41" s="6">
        <f>IFERROR(VLOOKUP($D41,LISTINO!$B:$I,6,FALSE),IFERROR(VLOOKUP($E41,LISTINO!$C:$I,5,FALSE),""))</f>
        <v/>
      </c>
      <c r="R41" s="13">
        <f>IF(AND(ISNUMBER(G41),ISNUMBER(Q41)),G41*Q41,"")</f>
        <v/>
      </c>
    </row>
    <row r="42">
      <c r="A42" s="5" t="inlineStr">
        <is>
          <t>PILASTRO MOTORE</t>
        </is>
      </c>
      <c r="B42" s="5" t="n"/>
      <c r="C42" s="12" t="n">
        <v>2</v>
      </c>
      <c r="D42" s="5" t="inlineStr">
        <is>
          <t>TTS.PM.001.IPE140.35</t>
        </is>
      </c>
      <c r="E42" s="5" t="inlineStr">
        <is>
          <t>Pilastro motore trave ipe140 x 3520 con foratura alloggiamento quadro motore (standard)</t>
        </is>
      </c>
      <c r="F42" s="5" t="inlineStr">
        <is>
          <t>Carpenteria metallica</t>
        </is>
      </c>
      <c r="G42" s="12" t="n">
        <v>0</v>
      </c>
      <c r="H42" s="12" t="n"/>
      <c r="I42" s="12" t="n"/>
      <c r="J42" s="12" t="n"/>
      <c r="K42" s="12" t="n"/>
      <c r="L42" s="12" t="n"/>
      <c r="M42" s="12" t="n"/>
      <c r="N42" s="12" t="n"/>
      <c r="O42" s="12" t="inlineStr">
        <is>
          <t>pz</t>
        </is>
      </c>
      <c r="P42" s="10" t="n"/>
      <c r="Q42" s="6">
        <f>IFERROR(VLOOKUP($D42,LISTINO!$B:$I,6,FALSE),IFERROR(VLOOKUP($E42,LISTINO!$C:$I,5,FALSE),""))</f>
        <v/>
      </c>
      <c r="R42" s="13">
        <f>IF(AND(ISNUMBER(G42),ISNUMBER(Q42)),G42*Q42,"")</f>
        <v/>
      </c>
    </row>
    <row r="43">
      <c r="A43" s="5" t="inlineStr">
        <is>
          <t>PILASTRO MOTORE</t>
        </is>
      </c>
      <c r="B43" s="5" t="n"/>
      <c r="C43" s="12" t="n">
        <v>2</v>
      </c>
      <c r="D43" s="5" t="inlineStr">
        <is>
          <t>TTS.PM.001.IPEA140.35</t>
        </is>
      </c>
      <c r="E43" s="5" t="inlineStr">
        <is>
          <t>Pilastro motore trave ipea140 x 3520 con foratura alloggiamento quadro motore (alleggerita)</t>
        </is>
      </c>
      <c r="F43" s="5" t="inlineStr">
        <is>
          <t>Carpenteria metallica</t>
        </is>
      </c>
      <c r="G43" s="12" t="n">
        <v>0</v>
      </c>
      <c r="H43" s="12" t="n"/>
      <c r="I43" s="12" t="n"/>
      <c r="J43" s="12" t="n"/>
      <c r="K43" s="12" t="n"/>
      <c r="L43" s="12" t="n"/>
      <c r="M43" s="12" t="n"/>
      <c r="N43" s="12" t="n"/>
      <c r="O43" s="12" t="inlineStr">
        <is>
          <t>pz</t>
        </is>
      </c>
      <c r="P43" s="10" t="n"/>
      <c r="Q43" s="6">
        <f>IFERROR(VLOOKUP($D43,LISTINO!$B:$I,6,FALSE),IFERROR(VLOOKUP($E43,LISTINO!$C:$I,5,FALSE),""))</f>
        <v/>
      </c>
      <c r="R43" s="13">
        <f>IF(AND(ISNUMBER(G43),ISNUMBER(Q43)),G43*Q43,"")</f>
        <v/>
      </c>
    </row>
    <row r="44">
      <c r="A44" s="5" t="inlineStr">
        <is>
          <t>PILASTRO MOTORE</t>
        </is>
      </c>
      <c r="B44" s="5" t="n"/>
      <c r="C44" s="12" t="n">
        <v>2</v>
      </c>
      <c r="D44" s="5" t="inlineStr">
        <is>
          <t>TTS.PM.001.IPE140.36</t>
        </is>
      </c>
      <c r="E44" s="5" t="inlineStr">
        <is>
          <t>Pilastro motore trave ipe140 x 3620 con foratura alloggiamento quadro motore (standard)</t>
        </is>
      </c>
      <c r="F44" s="5" t="inlineStr">
        <is>
          <t>Carpenteria metallica</t>
        </is>
      </c>
      <c r="G44" s="12" t="n">
        <v>0</v>
      </c>
      <c r="H44" s="12" t="n"/>
      <c r="I44" s="12" t="n"/>
      <c r="J44" s="12" t="n"/>
      <c r="K44" s="12" t="n"/>
      <c r="L44" s="12" t="n"/>
      <c r="M44" s="12" t="n"/>
      <c r="N44" s="12" t="n"/>
      <c r="O44" s="12" t="inlineStr">
        <is>
          <t>pz</t>
        </is>
      </c>
      <c r="P44" s="10" t="n"/>
      <c r="Q44" s="6">
        <f>IFERROR(VLOOKUP($D44,LISTINO!$B:$I,6,FALSE),IFERROR(VLOOKUP($E44,LISTINO!$C:$I,5,FALSE),""))</f>
        <v/>
      </c>
      <c r="R44" s="13">
        <f>IF(AND(ISNUMBER(G44),ISNUMBER(Q44)),G44*Q44,"")</f>
        <v/>
      </c>
    </row>
    <row r="45">
      <c r="A45" s="5" t="inlineStr">
        <is>
          <t>PILASTRO MOTORE</t>
        </is>
      </c>
      <c r="B45" s="5" t="n"/>
      <c r="C45" s="12" t="n">
        <v>2</v>
      </c>
      <c r="D45" s="5" t="inlineStr">
        <is>
          <t>TTS.PM.001.IPEA140.36</t>
        </is>
      </c>
      <c r="E45" s="5" t="inlineStr">
        <is>
          <t>Pilastro motore trave ipea140 x 3620 con foratura alloggiamento quadro motore (alleggerita)</t>
        </is>
      </c>
      <c r="F45" s="5" t="inlineStr">
        <is>
          <t>Carpenteria metallica</t>
        </is>
      </c>
      <c r="G45" s="12" t="n">
        <v>0</v>
      </c>
      <c r="H45" s="12" t="n"/>
      <c r="I45" s="12" t="n"/>
      <c r="J45" s="12" t="n"/>
      <c r="K45" s="12" t="n"/>
      <c r="L45" s="12" t="n"/>
      <c r="M45" s="12" t="n"/>
      <c r="N45" s="12" t="n"/>
      <c r="O45" s="12" t="inlineStr">
        <is>
          <t>pz</t>
        </is>
      </c>
      <c r="P45" s="10" t="n"/>
      <c r="Q45" s="6">
        <f>IFERROR(VLOOKUP($D45,LISTINO!$B:$I,6,FALSE),IFERROR(VLOOKUP($E45,LISTINO!$C:$I,5,FALSE),""))</f>
        <v/>
      </c>
      <c r="R45" s="13">
        <f>IF(AND(ISNUMBER(G45),ISNUMBER(Q45)),G45*Q45,"")</f>
        <v/>
      </c>
    </row>
    <row r="46">
      <c r="A46" s="5" t="inlineStr">
        <is>
          <t>PILASTRO MOTORE</t>
        </is>
      </c>
      <c r="B46" s="5" t="n"/>
      <c r="C46" s="12" t="n">
        <v>2</v>
      </c>
      <c r="D46" s="5" t="inlineStr">
        <is>
          <t>TTS.PM.001.IPE140.37</t>
        </is>
      </c>
      <c r="E46" s="5" t="inlineStr">
        <is>
          <t>Pilastro motore trave ipe140 x 3720 con foratura alloggiamento quadro motore (standard)</t>
        </is>
      </c>
      <c r="F46" s="5" t="inlineStr">
        <is>
          <t>Carpenteria metallica</t>
        </is>
      </c>
      <c r="G46" s="12" t="n">
        <v>0</v>
      </c>
      <c r="H46" s="12" t="n"/>
      <c r="I46" s="12" t="n"/>
      <c r="J46" s="12" t="n"/>
      <c r="K46" s="12" t="n"/>
      <c r="L46" s="12" t="n"/>
      <c r="M46" s="12" t="n"/>
      <c r="N46" s="12" t="n"/>
      <c r="O46" s="12" t="inlineStr">
        <is>
          <t>pz</t>
        </is>
      </c>
      <c r="P46" s="10" t="n"/>
      <c r="Q46" s="6">
        <f>IFERROR(VLOOKUP($D46,LISTINO!$B:$I,6,FALSE),IFERROR(VLOOKUP($E46,LISTINO!$C:$I,5,FALSE),""))</f>
        <v/>
      </c>
      <c r="R46" s="13">
        <f>IF(AND(ISNUMBER(G46),ISNUMBER(Q46)),G46*Q46,"")</f>
        <v/>
      </c>
    </row>
    <row r="47">
      <c r="A47" s="5" t="inlineStr">
        <is>
          <t>PILASTRO MOTORE</t>
        </is>
      </c>
      <c r="B47" s="5" t="n"/>
      <c r="C47" s="12" t="n">
        <v>2</v>
      </c>
      <c r="D47" s="5" t="inlineStr">
        <is>
          <t>TTS.PM.001.IPEA140.37</t>
        </is>
      </c>
      <c r="E47" s="5" t="inlineStr">
        <is>
          <t>Pilastro motore trave ipea140 x 3720 con foratura alloggiamento quadro motore (alleggerita)</t>
        </is>
      </c>
      <c r="F47" s="5" t="inlineStr">
        <is>
          <t>Carpenteria metallica</t>
        </is>
      </c>
      <c r="G47" s="12" t="n">
        <v>0</v>
      </c>
      <c r="H47" s="12" t="n"/>
      <c r="I47" s="12" t="n"/>
      <c r="J47" s="12" t="n"/>
      <c r="K47" s="12" t="n"/>
      <c r="L47" s="12" t="n"/>
      <c r="M47" s="12" t="n"/>
      <c r="N47" s="12" t="n"/>
      <c r="O47" s="12" t="inlineStr">
        <is>
          <t>pz</t>
        </is>
      </c>
      <c r="P47" s="10" t="n"/>
      <c r="Q47" s="6">
        <f>IFERROR(VLOOKUP($D47,LISTINO!$B:$I,6,FALSE),IFERROR(VLOOKUP($E47,LISTINO!$C:$I,5,FALSE),""))</f>
        <v/>
      </c>
      <c r="R47" s="13">
        <f>IF(AND(ISNUMBER(G47),ISNUMBER(Q47)),G47*Q47,"")</f>
        <v/>
      </c>
    </row>
    <row r="48">
      <c r="A48" s="5" t="inlineStr">
        <is>
          <t>PILASTRO MOTORE</t>
        </is>
      </c>
      <c r="B48" s="5" t="n"/>
      <c r="C48" s="12" t="n">
        <v>2</v>
      </c>
      <c r="D48" s="5" t="inlineStr">
        <is>
          <t>TTS.PM.001.IPE140.38</t>
        </is>
      </c>
      <c r="E48" s="5" t="inlineStr">
        <is>
          <t>Pilastro motore trave ipe140 x 3820 con foratura alloggiamento quadro motore (standard)</t>
        </is>
      </c>
      <c r="F48" s="5" t="inlineStr">
        <is>
          <t>Carpenteria metallica</t>
        </is>
      </c>
      <c r="G48" s="12" t="n">
        <v>0</v>
      </c>
      <c r="H48" s="12" t="n"/>
      <c r="I48" s="12" t="n"/>
      <c r="J48" s="12" t="n"/>
      <c r="K48" s="12" t="n"/>
      <c r="L48" s="12" t="n"/>
      <c r="M48" s="12" t="n"/>
      <c r="N48" s="12" t="n"/>
      <c r="O48" s="12" t="inlineStr">
        <is>
          <t>pz</t>
        </is>
      </c>
      <c r="P48" s="10" t="n"/>
      <c r="Q48" s="6">
        <f>IFERROR(VLOOKUP($D48,LISTINO!$B:$I,6,FALSE),IFERROR(VLOOKUP($E48,LISTINO!$C:$I,5,FALSE),""))</f>
        <v/>
      </c>
      <c r="R48" s="13">
        <f>IF(AND(ISNUMBER(G48),ISNUMBER(Q48)),G48*Q48,"")</f>
        <v/>
      </c>
    </row>
    <row r="49">
      <c r="A49" s="5" t="inlineStr">
        <is>
          <t>PILASTRO MOTORE</t>
        </is>
      </c>
      <c r="B49" s="5" t="n"/>
      <c r="C49" s="12" t="n">
        <v>2</v>
      </c>
      <c r="D49" s="5" t="inlineStr">
        <is>
          <t>TTS.PM.001.IPEA140.38</t>
        </is>
      </c>
      <c r="E49" s="5" t="inlineStr">
        <is>
          <t>Pilastro motore trave ipea140 x 3820 con foratura alloggiamento quadro motore (alleggerita)</t>
        </is>
      </c>
      <c r="F49" s="5" t="inlineStr">
        <is>
          <t>Carpenteria metallica</t>
        </is>
      </c>
      <c r="G49" s="12" t="n">
        <v>0</v>
      </c>
      <c r="H49" s="12" t="n"/>
      <c r="I49" s="12" t="n"/>
      <c r="J49" s="12" t="n"/>
      <c r="K49" s="12" t="n"/>
      <c r="L49" s="12" t="n"/>
      <c r="M49" s="12" t="n"/>
      <c r="N49" s="12" t="n"/>
      <c r="O49" s="12" t="inlineStr">
        <is>
          <t>pz</t>
        </is>
      </c>
      <c r="P49" s="10" t="n"/>
      <c r="Q49" s="6">
        <f>IFERROR(VLOOKUP($D49,LISTINO!$B:$I,6,FALSE),IFERROR(VLOOKUP($E49,LISTINO!$C:$I,5,FALSE),""))</f>
        <v/>
      </c>
      <c r="R49" s="13">
        <f>IF(AND(ISNUMBER(G49),ISNUMBER(Q49)),G49*Q49,"")</f>
        <v/>
      </c>
    </row>
    <row r="50">
      <c r="A50" s="5" t="inlineStr">
        <is>
          <t>PILASTRO MOTORE</t>
        </is>
      </c>
      <c r="B50" s="5" t="n"/>
      <c r="C50" s="12" t="n">
        <v>2</v>
      </c>
      <c r="D50" s="5" t="inlineStr">
        <is>
          <t>TTS.PM.001.IPE140.39</t>
        </is>
      </c>
      <c r="E50" s="5" t="inlineStr">
        <is>
          <t>Pilastro motore trave ipe140 x 3920 con foratura alloggiamento quadro motore (standard)</t>
        </is>
      </c>
      <c r="F50" s="5" t="inlineStr">
        <is>
          <t>Carpenteria metallica</t>
        </is>
      </c>
      <c r="G50" s="12" t="n">
        <v>0</v>
      </c>
      <c r="H50" s="12" t="n"/>
      <c r="I50" s="12" t="n"/>
      <c r="J50" s="12" t="n"/>
      <c r="K50" s="12" t="n"/>
      <c r="L50" s="12" t="n"/>
      <c r="M50" s="12" t="n"/>
      <c r="N50" s="12" t="n"/>
      <c r="O50" s="12" t="inlineStr">
        <is>
          <t>pz</t>
        </is>
      </c>
      <c r="P50" s="10" t="n"/>
      <c r="Q50" s="6">
        <f>IFERROR(VLOOKUP($D50,LISTINO!$B:$I,6,FALSE),IFERROR(VLOOKUP($E50,LISTINO!$C:$I,5,FALSE),""))</f>
        <v/>
      </c>
      <c r="R50" s="13">
        <f>IF(AND(ISNUMBER(G50),ISNUMBER(Q50)),G50*Q50,"")</f>
        <v/>
      </c>
    </row>
    <row r="51">
      <c r="A51" s="5" t="inlineStr">
        <is>
          <t>PILASTRO MOTORE</t>
        </is>
      </c>
      <c r="B51" s="5" t="n"/>
      <c r="C51" s="12" t="n">
        <v>2</v>
      </c>
      <c r="D51" s="5" t="inlineStr">
        <is>
          <t>TTS.PM.001.IPEA140.39</t>
        </is>
      </c>
      <c r="E51" s="5" t="inlineStr">
        <is>
          <t>Pilastro motore trave ipea140 x 3920 con foratura alloggiamento quadro motore (alleggerita)</t>
        </is>
      </c>
      <c r="F51" s="5" t="inlineStr">
        <is>
          <t>Carpenteria metallica</t>
        </is>
      </c>
      <c r="G51" s="12" t="n">
        <v>0</v>
      </c>
      <c r="H51" s="12" t="n"/>
      <c r="I51" s="12" t="n"/>
      <c r="J51" s="12" t="n"/>
      <c r="K51" s="12" t="n"/>
      <c r="L51" s="12" t="n"/>
      <c r="M51" s="12" t="n"/>
      <c r="N51" s="12" t="n"/>
      <c r="O51" s="12" t="inlineStr">
        <is>
          <t>pz</t>
        </is>
      </c>
      <c r="P51" s="10" t="n"/>
      <c r="Q51" s="6">
        <f>IFERROR(VLOOKUP($D51,LISTINO!$B:$I,6,FALSE),IFERROR(VLOOKUP($E51,LISTINO!$C:$I,5,FALSE),""))</f>
        <v/>
      </c>
      <c r="R51" s="13">
        <f>IF(AND(ISNUMBER(G51),ISNUMBER(Q51)),G51*Q51,"")</f>
        <v/>
      </c>
    </row>
    <row r="52">
      <c r="A52" s="5" t="inlineStr">
        <is>
          <t>PILASTRO MOTORE</t>
        </is>
      </c>
      <c r="B52" s="5" t="n"/>
      <c r="C52" s="12" t="n">
        <v>2</v>
      </c>
      <c r="D52" s="5" t="inlineStr">
        <is>
          <t>TTS.PM.001.IPE140.40</t>
        </is>
      </c>
      <c r="E52" s="5" t="inlineStr">
        <is>
          <t>Pilastro motore trave ipe140 x 4020 con foratura alloggiamento quadro motore (standard)</t>
        </is>
      </c>
      <c r="F52" s="5" t="inlineStr">
        <is>
          <t>Carpenteria metallica</t>
        </is>
      </c>
      <c r="G52" s="12" t="n">
        <v>0</v>
      </c>
      <c r="H52" s="12" t="n"/>
      <c r="I52" s="12" t="n"/>
      <c r="J52" s="12" t="n"/>
      <c r="K52" s="12" t="n"/>
      <c r="L52" s="12" t="n"/>
      <c r="M52" s="12" t="n"/>
      <c r="N52" s="12" t="n"/>
      <c r="O52" s="12" t="inlineStr">
        <is>
          <t>pz</t>
        </is>
      </c>
      <c r="P52" s="10" t="n"/>
      <c r="Q52" s="6">
        <f>IFERROR(VLOOKUP($D52,LISTINO!$B:$I,6,FALSE),IFERROR(VLOOKUP($E52,LISTINO!$C:$I,5,FALSE),""))</f>
        <v/>
      </c>
      <c r="R52" s="13">
        <f>IF(AND(ISNUMBER(G52),ISNUMBER(Q52)),G52*Q52,"")</f>
        <v/>
      </c>
    </row>
    <row r="53">
      <c r="A53" s="5" t="inlineStr">
        <is>
          <t>PILASTRO MOTORE</t>
        </is>
      </c>
      <c r="B53" s="5" t="n"/>
      <c r="C53" s="12" t="n">
        <v>2</v>
      </c>
      <c r="D53" s="5" t="inlineStr">
        <is>
          <t>TTS.PM.001.IPEA140.40</t>
        </is>
      </c>
      <c r="E53" s="5" t="inlineStr">
        <is>
          <t>Pilastro motore trave ipea140 x 4020 con foratura alloggiamento quadro motore (alleggerita)</t>
        </is>
      </c>
      <c r="F53" s="5" t="inlineStr">
        <is>
          <t>Carpenteria metallica</t>
        </is>
      </c>
      <c r="G53" s="12" t="n">
        <v>0</v>
      </c>
      <c r="H53" s="12" t="n"/>
      <c r="I53" s="12" t="n"/>
      <c r="J53" s="12" t="n"/>
      <c r="K53" s="12" t="n"/>
      <c r="L53" s="12" t="n"/>
      <c r="M53" s="12" t="n"/>
      <c r="N53" s="12" t="n"/>
      <c r="O53" s="12" t="inlineStr">
        <is>
          <t>pz</t>
        </is>
      </c>
      <c r="P53" s="10" t="n"/>
      <c r="Q53" s="6">
        <f>IFERROR(VLOOKUP($D53,LISTINO!$B:$I,6,FALSE),IFERROR(VLOOKUP($E53,LISTINO!$C:$I,5,FALSE),""))</f>
        <v/>
      </c>
      <c r="R53" s="13">
        <f>IF(AND(ISNUMBER(G53),ISNUMBER(Q53)),G53*Q53,"")</f>
        <v/>
      </c>
    </row>
    <row r="54">
      <c r="A54" s="5" t="inlineStr">
        <is>
          <t>PILASTRO MOTORE</t>
        </is>
      </c>
      <c r="B54" s="5" t="n"/>
      <c r="C54" s="12" t="n">
        <v>2</v>
      </c>
      <c r="D54" s="5" t="inlineStr">
        <is>
          <t>TTS.PM.001.IPE140.41</t>
        </is>
      </c>
      <c r="E54" s="5" t="inlineStr">
        <is>
          <t>Pilastro motore trave ipe140 x 4120 con foratura alloggiamento quadro motore (standard)</t>
        </is>
      </c>
      <c r="F54" s="5" t="inlineStr">
        <is>
          <t>Carpenteria metallica</t>
        </is>
      </c>
      <c r="G54" s="12" t="n">
        <v>0</v>
      </c>
      <c r="H54" s="12" t="n"/>
      <c r="I54" s="12" t="n"/>
      <c r="J54" s="12" t="n"/>
      <c r="K54" s="12" t="n"/>
      <c r="L54" s="12" t="n"/>
      <c r="M54" s="12" t="n"/>
      <c r="N54" s="12" t="n"/>
      <c r="O54" s="12" t="inlineStr">
        <is>
          <t>pz</t>
        </is>
      </c>
      <c r="P54" s="10" t="n"/>
      <c r="Q54" s="6">
        <f>IFERROR(VLOOKUP($D54,LISTINO!$B:$I,6,FALSE),IFERROR(VLOOKUP($E54,LISTINO!$C:$I,5,FALSE),""))</f>
        <v/>
      </c>
      <c r="R54" s="13">
        <f>IF(AND(ISNUMBER(G54),ISNUMBER(Q54)),G54*Q54,"")</f>
        <v/>
      </c>
    </row>
    <row r="55">
      <c r="A55" s="5" t="inlineStr">
        <is>
          <t>PILASTRO MOTORE</t>
        </is>
      </c>
      <c r="B55" s="5" t="n"/>
      <c r="C55" s="12" t="n">
        <v>2</v>
      </c>
      <c r="D55" s="5" t="inlineStr">
        <is>
          <t>TTS.PM.001.IPEA140.41</t>
        </is>
      </c>
      <c r="E55" s="5" t="inlineStr">
        <is>
          <t>Pilastro motore trave ipea140 x 4120 con foratura alloggiamento quadro motore (alleggerita)</t>
        </is>
      </c>
      <c r="F55" s="5" t="inlineStr">
        <is>
          <t>Carpenteria metallica</t>
        </is>
      </c>
      <c r="G55" s="12" t="n">
        <v>0</v>
      </c>
      <c r="H55" s="12" t="n"/>
      <c r="I55" s="12" t="n"/>
      <c r="J55" s="12" t="n"/>
      <c r="K55" s="12" t="n"/>
      <c r="L55" s="12" t="n"/>
      <c r="M55" s="12" t="n"/>
      <c r="N55" s="12" t="n"/>
      <c r="O55" s="12" t="inlineStr">
        <is>
          <t>pz</t>
        </is>
      </c>
      <c r="P55" s="10" t="n"/>
      <c r="Q55" s="6">
        <f>IFERROR(VLOOKUP($D55,LISTINO!$B:$I,6,FALSE),IFERROR(VLOOKUP($E55,LISTINO!$C:$I,5,FALSE),""))</f>
        <v/>
      </c>
      <c r="R55" s="13">
        <f>IF(AND(ISNUMBER(G55),ISNUMBER(Q55)),G55*Q55,"")</f>
        <v/>
      </c>
    </row>
    <row r="56">
      <c r="A56" s="5" t="inlineStr">
        <is>
          <t>PILASTRO MOTORE</t>
        </is>
      </c>
      <c r="B56" s="5" t="n"/>
      <c r="C56" s="12" t="n">
        <v>2</v>
      </c>
      <c r="D56" s="5" t="inlineStr">
        <is>
          <t>TTS.PM.001.IPE140.42</t>
        </is>
      </c>
      <c r="E56" s="5" t="inlineStr">
        <is>
          <t>Pilastro motore trave ipe140 x 4220 con foratura alloggiamento quadro motore (standard)</t>
        </is>
      </c>
      <c r="F56" s="5" t="inlineStr">
        <is>
          <t>Carpenteria metallica</t>
        </is>
      </c>
      <c r="G56" s="12" t="n">
        <v>0</v>
      </c>
      <c r="H56" s="12" t="n"/>
      <c r="I56" s="12" t="n"/>
      <c r="J56" s="12" t="n"/>
      <c r="K56" s="12" t="n"/>
      <c r="L56" s="12" t="n"/>
      <c r="M56" s="12" t="n"/>
      <c r="N56" s="12" t="n"/>
      <c r="O56" s="12" t="inlineStr">
        <is>
          <t>pz</t>
        </is>
      </c>
      <c r="P56" s="10" t="n"/>
      <c r="Q56" s="6">
        <f>IFERROR(VLOOKUP($D56,LISTINO!$B:$I,6,FALSE),IFERROR(VLOOKUP($E56,LISTINO!$C:$I,5,FALSE),""))</f>
        <v/>
      </c>
      <c r="R56" s="13">
        <f>IF(AND(ISNUMBER(G56),ISNUMBER(Q56)),G56*Q56,"")</f>
        <v/>
      </c>
    </row>
    <row r="57">
      <c r="A57" s="5" t="inlineStr">
        <is>
          <t>PILASTRO MOTORE</t>
        </is>
      </c>
      <c r="B57" s="5" t="n"/>
      <c r="C57" s="12" t="n">
        <v>2</v>
      </c>
      <c r="D57" s="5" t="inlineStr">
        <is>
          <t>TTS.PM.001.IPEA140.42</t>
        </is>
      </c>
      <c r="E57" s="5" t="inlineStr">
        <is>
          <t>Pilastro motore trave ipea140 x 4220 con foratura alloggiamento quadro motore (alleggerita)</t>
        </is>
      </c>
      <c r="F57" s="5" t="inlineStr">
        <is>
          <t>Carpenteria metallica</t>
        </is>
      </c>
      <c r="G57" s="12" t="n">
        <v>0</v>
      </c>
      <c r="H57" s="12" t="n"/>
      <c r="I57" s="12" t="n"/>
      <c r="J57" s="12" t="n"/>
      <c r="K57" s="12" t="n"/>
      <c r="L57" s="12" t="n"/>
      <c r="M57" s="12" t="n"/>
      <c r="N57" s="12" t="n"/>
      <c r="O57" s="12" t="inlineStr">
        <is>
          <t>pz</t>
        </is>
      </c>
      <c r="P57" s="10" t="n"/>
      <c r="Q57" s="6">
        <f>IFERROR(VLOOKUP($D57,LISTINO!$B:$I,6,FALSE),IFERROR(VLOOKUP($E57,LISTINO!$C:$I,5,FALSE),""))</f>
        <v/>
      </c>
      <c r="R57" s="13">
        <f>IF(AND(ISNUMBER(G57),ISNUMBER(Q57)),G57*Q57,"")</f>
        <v/>
      </c>
    </row>
    <row r="58">
      <c r="A58" s="5" t="inlineStr">
        <is>
          <t>PILASTRO MOTORE</t>
        </is>
      </c>
      <c r="B58" s="5" t="n"/>
      <c r="C58" s="12" t="n">
        <v>2</v>
      </c>
      <c r="D58" s="5" t="inlineStr">
        <is>
          <t>TTS.PM.001.IPE140.43</t>
        </is>
      </c>
      <c r="E58" s="5" t="inlineStr">
        <is>
          <t>Pilastro motore trave ipe140 x 4320 con foratura alloggiamento quadro motore (standard)</t>
        </is>
      </c>
      <c r="F58" s="5" t="inlineStr">
        <is>
          <t>Carpenteria metallica</t>
        </is>
      </c>
      <c r="G58" s="12" t="n">
        <v>0</v>
      </c>
      <c r="H58" s="12" t="n"/>
      <c r="I58" s="12" t="n"/>
      <c r="J58" s="12" t="n"/>
      <c r="K58" s="12" t="n"/>
      <c r="L58" s="12" t="n"/>
      <c r="M58" s="12" t="n"/>
      <c r="N58" s="12" t="n"/>
      <c r="O58" s="12" t="inlineStr">
        <is>
          <t>pz</t>
        </is>
      </c>
      <c r="P58" s="10" t="n"/>
      <c r="Q58" s="6">
        <f>IFERROR(VLOOKUP($D58,LISTINO!$B:$I,6,FALSE),IFERROR(VLOOKUP($E58,LISTINO!$C:$I,5,FALSE),""))</f>
        <v/>
      </c>
      <c r="R58" s="13">
        <f>IF(AND(ISNUMBER(G58),ISNUMBER(Q58)),G58*Q58,"")</f>
        <v/>
      </c>
    </row>
    <row r="59">
      <c r="A59" s="5" t="inlineStr">
        <is>
          <t>PILASTRO MOTORE</t>
        </is>
      </c>
      <c r="B59" s="5" t="n"/>
      <c r="C59" s="12" t="n">
        <v>2</v>
      </c>
      <c r="D59" s="5" t="inlineStr">
        <is>
          <t>TTS.PM.001.IPEA140.43</t>
        </is>
      </c>
      <c r="E59" s="5" t="inlineStr">
        <is>
          <t>Pilastro motore trave ipea140 x 4320 con foratura alloggiamento quadro motore (alleggerita)</t>
        </is>
      </c>
      <c r="F59" s="5" t="inlineStr">
        <is>
          <t>Carpenteria metallica</t>
        </is>
      </c>
      <c r="G59" s="12" t="n">
        <v>0</v>
      </c>
      <c r="H59" s="12" t="n"/>
      <c r="I59" s="12" t="n"/>
      <c r="J59" s="12" t="n"/>
      <c r="K59" s="12" t="n"/>
      <c r="L59" s="12" t="n"/>
      <c r="M59" s="12" t="n"/>
      <c r="N59" s="12" t="n"/>
      <c r="O59" s="12" t="inlineStr">
        <is>
          <t>pz</t>
        </is>
      </c>
      <c r="P59" s="10" t="n"/>
      <c r="Q59" s="6">
        <f>IFERROR(VLOOKUP($D59,LISTINO!$B:$I,6,FALSE),IFERROR(VLOOKUP($E59,LISTINO!$C:$I,5,FALSE),""))</f>
        <v/>
      </c>
      <c r="R59" s="13">
        <f>IF(AND(ISNUMBER(G59),ISNUMBER(Q59)),G59*Q59,"")</f>
        <v/>
      </c>
    </row>
    <row r="60">
      <c r="A60" s="5" t="inlineStr">
        <is>
          <t>PILASTRO MOTORE</t>
        </is>
      </c>
      <c r="B60" s="5" t="n"/>
      <c r="C60" s="12" t="n">
        <v>2</v>
      </c>
      <c r="D60" s="5" t="inlineStr">
        <is>
          <t>TTS.PM.001.IPE140.44</t>
        </is>
      </c>
      <c r="E60" s="5" t="inlineStr">
        <is>
          <t>Pilastro motore trave ipe140 x 4420 con foratura alloggiamento quadro motore (standard)</t>
        </is>
      </c>
      <c r="F60" s="5" t="inlineStr">
        <is>
          <t>Carpenteria metallica</t>
        </is>
      </c>
      <c r="G60" s="12" t="n">
        <v>0</v>
      </c>
      <c r="H60" s="12" t="n"/>
      <c r="I60" s="12" t="n"/>
      <c r="J60" s="12" t="n"/>
      <c r="K60" s="12" t="n"/>
      <c r="L60" s="12" t="n"/>
      <c r="M60" s="12" t="n"/>
      <c r="N60" s="12" t="n"/>
      <c r="O60" s="12" t="inlineStr">
        <is>
          <t>pz</t>
        </is>
      </c>
      <c r="P60" s="10" t="n"/>
      <c r="Q60" s="6">
        <f>IFERROR(VLOOKUP($D60,LISTINO!$B:$I,6,FALSE),IFERROR(VLOOKUP($E60,LISTINO!$C:$I,5,FALSE),""))</f>
        <v/>
      </c>
      <c r="R60" s="13">
        <f>IF(AND(ISNUMBER(G60),ISNUMBER(Q60)),G60*Q60,"")</f>
        <v/>
      </c>
    </row>
    <row r="61">
      <c r="A61" s="5" t="inlineStr">
        <is>
          <t>PILASTRO MOTORE</t>
        </is>
      </c>
      <c r="B61" s="5" t="n"/>
      <c r="C61" s="12" t="n">
        <v>2</v>
      </c>
      <c r="D61" s="5" t="inlineStr">
        <is>
          <t>TTS.PM.001.IPEA140.44</t>
        </is>
      </c>
      <c r="E61" s="5" t="inlineStr">
        <is>
          <t>Pilastro motore trave ipea140 x 4420 con foratura alloggiamento quadro motore (alleggerita)</t>
        </is>
      </c>
      <c r="F61" s="5" t="inlineStr">
        <is>
          <t>Carpenteria metallica</t>
        </is>
      </c>
      <c r="G61" s="12" t="n">
        <v>0</v>
      </c>
      <c r="H61" s="12" t="n"/>
      <c r="I61" s="12" t="n"/>
      <c r="J61" s="12" t="n"/>
      <c r="K61" s="12" t="n"/>
      <c r="L61" s="12" t="n"/>
      <c r="M61" s="12" t="n"/>
      <c r="N61" s="12" t="n"/>
      <c r="O61" s="12" t="inlineStr">
        <is>
          <t>pz</t>
        </is>
      </c>
      <c r="P61" s="10" t="n"/>
      <c r="Q61" s="6">
        <f>IFERROR(VLOOKUP($D61,LISTINO!$B:$I,6,FALSE),IFERROR(VLOOKUP($E61,LISTINO!$C:$I,5,FALSE),""))</f>
        <v/>
      </c>
      <c r="R61" s="13">
        <f>IF(AND(ISNUMBER(G61),ISNUMBER(Q61)),G61*Q61,"")</f>
        <v/>
      </c>
    </row>
    <row r="62">
      <c r="A62" s="5" t="inlineStr">
        <is>
          <t>PILASTRO MOTORE</t>
        </is>
      </c>
      <c r="B62" s="5" t="n"/>
      <c r="C62" s="12" t="n">
        <v>3</v>
      </c>
      <c r="D62" s="5" t="inlineStr">
        <is>
          <t>TTS.PF.002.IPE140</t>
        </is>
      </c>
      <c r="E62" s="5" t="inlineStr">
        <is>
          <t>Piastra giunzione montanti centrali 200x100x4 (8 fori Ø 11)</t>
        </is>
      </c>
      <c r="F62" s="5" t="inlineStr">
        <is>
          <t>Carpenteria metallica</t>
        </is>
      </c>
      <c r="G62" s="12" t="n">
        <v>2</v>
      </c>
      <c r="H62" s="12" t="n"/>
      <c r="I62" s="12" t="n"/>
      <c r="J62" s="12" t="n"/>
      <c r="K62" s="12" t="n"/>
      <c r="L62" s="12" t="n"/>
      <c r="M62" s="12" t="n"/>
      <c r="N62" s="12" t="n"/>
      <c r="O62" s="12" t="inlineStr">
        <is>
          <t>pz</t>
        </is>
      </c>
      <c r="P62" s="10" t="n"/>
      <c r="Q62" s="6">
        <f>IFERROR(VLOOKUP($D62,LISTINO!$B:$I,6,FALSE),IFERROR(VLOOKUP($E62,LISTINO!$C:$I,5,FALSE),""))</f>
        <v/>
      </c>
      <c r="R62" s="13">
        <f>IF(AND(ISNUMBER(G62),ISNUMBER(Q62)),G62*Q62,"")</f>
        <v/>
      </c>
    </row>
    <row r="63">
      <c r="A63" s="5" t="inlineStr">
        <is>
          <t>PILASTRO MOTORE</t>
        </is>
      </c>
      <c r="B63" s="5" t="n"/>
      <c r="C63" s="12" t="n">
        <v>4</v>
      </c>
      <c r="D63" s="5" t="inlineStr">
        <is>
          <t>10BZ10X40</t>
        </is>
      </c>
      <c r="E63" s="5" t="inlineStr">
        <is>
          <t>Bullone testa esagonale zn M10X40</t>
        </is>
      </c>
      <c r="F63" s="5" t="inlineStr">
        <is>
          <t>Bulloneria e minuteria</t>
        </is>
      </c>
      <c r="G63" s="12" t="n">
        <v>8</v>
      </c>
      <c r="H63" s="12" t="n"/>
      <c r="I63" s="12" t="n"/>
      <c r="J63" s="12" t="n"/>
      <c r="K63" s="12" t="n"/>
      <c r="L63" s="12" t="n"/>
      <c r="M63" s="12" t="n"/>
      <c r="N63" s="12" t="n"/>
      <c r="O63" s="12" t="inlineStr">
        <is>
          <t>pz</t>
        </is>
      </c>
      <c r="P63" s="10" t="n"/>
      <c r="Q63" s="6">
        <f>IFERROR(VLOOKUP($D63,LISTINO!$B:$I,6,FALSE),IFERROR(VLOOKUP($E63,LISTINO!$C:$I,5,FALSE),""))</f>
        <v/>
      </c>
      <c r="R63" s="13">
        <f>IF(AND(ISNUMBER(G63),ISNUMBER(Q63)),G63*Q63,"")</f>
        <v/>
      </c>
    </row>
    <row r="64">
      <c r="A64" s="5" t="inlineStr">
        <is>
          <t>PILASTRO MOTORE</t>
        </is>
      </c>
      <c r="B64" s="5" t="n"/>
      <c r="C64" s="12" t="n">
        <v>5</v>
      </c>
      <c r="D64" s="5" t="inlineStr">
        <is>
          <t>10ROND10</t>
        </is>
      </c>
      <c r="E64" s="5" t="inlineStr">
        <is>
          <t>Rondella zn da 10</t>
        </is>
      </c>
      <c r="F64" s="5" t="inlineStr">
        <is>
          <t>Bulloneria e minuteria</t>
        </is>
      </c>
      <c r="G64" s="12" t="n">
        <v>8</v>
      </c>
      <c r="H64" s="12" t="n"/>
      <c r="I64" s="12" t="n"/>
      <c r="J64" s="12" t="n"/>
      <c r="K64" s="12" t="n"/>
      <c r="L64" s="12" t="n"/>
      <c r="M64" s="12" t="n"/>
      <c r="N64" s="12" t="n"/>
      <c r="O64" s="12" t="inlineStr">
        <is>
          <t>pz</t>
        </is>
      </c>
      <c r="P64" s="10" t="n"/>
      <c r="Q64" s="6">
        <f>IFERROR(VLOOKUP($D64,LISTINO!$B:$I,6,FALSE),IFERROR(VLOOKUP($E64,LISTINO!$C:$I,5,FALSE),""))</f>
        <v/>
      </c>
      <c r="R64" s="13">
        <f>IF(AND(ISNUMBER(G64),ISNUMBER(Q64)),G64*Q64,"")</f>
        <v/>
      </c>
    </row>
    <row r="65">
      <c r="A65" s="5" t="inlineStr">
        <is>
          <t>PILASTRO MOTORE</t>
        </is>
      </c>
      <c r="B65" s="5" t="n"/>
      <c r="C65" s="12" t="n">
        <v>6</v>
      </c>
      <c r="D65" s="5" t="inlineStr">
        <is>
          <t>10ROND10</t>
        </is>
      </c>
      <c r="E65" s="5" t="inlineStr">
        <is>
          <t>Rondella zn da 10</t>
        </is>
      </c>
      <c r="F65" s="5" t="inlineStr">
        <is>
          <t>Bulloneria e minuteria</t>
        </is>
      </c>
      <c r="G65" s="12" t="n">
        <v>8</v>
      </c>
      <c r="H65" s="12" t="n"/>
      <c r="I65" s="12" t="n"/>
      <c r="J65" s="12" t="n"/>
      <c r="K65" s="12" t="n"/>
      <c r="L65" s="12" t="n"/>
      <c r="M65" s="12" t="n"/>
      <c r="N65" s="12" t="n"/>
      <c r="O65" s="12" t="inlineStr">
        <is>
          <t>pz</t>
        </is>
      </c>
      <c r="P65" s="10" t="n"/>
      <c r="Q65" s="6">
        <f>IFERROR(VLOOKUP($D65,LISTINO!$B:$I,6,FALSE),IFERROR(VLOOKUP($E65,LISTINO!$C:$I,5,FALSE),""))</f>
        <v/>
      </c>
      <c r="R65" s="13">
        <f>IF(AND(ISNUMBER(G65),ISNUMBER(Q65)),G65*Q65,"")</f>
        <v/>
      </c>
    </row>
    <row r="66">
      <c r="A66" s="5" t="inlineStr">
        <is>
          <t>PILASTRO MOTORE</t>
        </is>
      </c>
      <c r="B66" s="5" t="n"/>
      <c r="C66" s="12" t="n">
        <v>7</v>
      </c>
      <c r="D66" s="5" t="inlineStr">
        <is>
          <t>10DAZAM10</t>
        </is>
      </c>
      <c r="E66" s="5" t="inlineStr">
        <is>
          <t>Dado autobloccante M10</t>
        </is>
      </c>
      <c r="F66" s="5" t="inlineStr">
        <is>
          <t>Bulloneria e minuteria</t>
        </is>
      </c>
      <c r="G66" s="12" t="n">
        <v>8</v>
      </c>
      <c r="H66" s="12" t="n"/>
      <c r="I66" s="12" t="n"/>
      <c r="J66" s="12" t="n"/>
      <c r="K66" s="12" t="n"/>
      <c r="L66" s="12" t="n"/>
      <c r="M66" s="12" t="n"/>
      <c r="N66" s="12" t="n"/>
      <c r="O66" s="12" t="inlineStr">
        <is>
          <t>pz</t>
        </is>
      </c>
      <c r="P66" s="10" t="n"/>
      <c r="Q66" s="6">
        <f>IFERROR(VLOOKUP($D66,LISTINO!$B:$I,6,FALSE),IFERROR(VLOOKUP($E66,LISTINO!$C:$I,5,FALSE),""))</f>
        <v/>
      </c>
      <c r="R66" s="13">
        <f>IF(AND(ISNUMBER(G66),ISNUMBER(Q66)),G66*Q66,"")</f>
        <v/>
      </c>
    </row>
    <row r="67">
      <c r="A67" s="5" t="inlineStr">
        <is>
          <t>PILASTRO MOTORE</t>
        </is>
      </c>
      <c r="B67" s="5" t="n"/>
      <c r="C67" s="12" t="n">
        <v>1</v>
      </c>
      <c r="D67" s="5" t="inlineStr">
        <is>
          <t>TTS.PF.003.IPE140</t>
        </is>
      </c>
      <c r="E67" s="5" t="inlineStr">
        <is>
          <t>Piastra giunzione montanti esterna 240x70x6 (12 fori Ø 11)</t>
        </is>
      </c>
      <c r="F67" s="5" t="inlineStr">
        <is>
          <t>Carpenteria metallica</t>
        </is>
      </c>
      <c r="G67" s="12" t="n">
        <v>2</v>
      </c>
      <c r="H67" s="12" t="n"/>
      <c r="I67" s="12" t="n"/>
      <c r="J67" s="12" t="n"/>
      <c r="K67" s="12" t="n"/>
      <c r="L67" s="12" t="n"/>
      <c r="M67" s="12" t="n"/>
      <c r="N67" s="12" t="n"/>
      <c r="O67" s="12" t="inlineStr">
        <is>
          <t>pz</t>
        </is>
      </c>
      <c r="P67" s="10" t="n"/>
      <c r="Q67" s="6">
        <f>IFERROR(VLOOKUP($D67,LISTINO!$B:$I,6,FALSE),IFERROR(VLOOKUP($E67,LISTINO!$C:$I,5,FALSE),""))</f>
        <v/>
      </c>
      <c r="R67" s="13">
        <f>IF(AND(ISNUMBER(G67),ISNUMBER(Q67)),G67*Q67,"")</f>
        <v/>
      </c>
    </row>
    <row r="68">
      <c r="A68" s="5" t="inlineStr">
        <is>
          <t>PILASTRO MOTORE</t>
        </is>
      </c>
      <c r="B68" s="5" t="n"/>
      <c r="C68" s="12" t="n">
        <v>2</v>
      </c>
      <c r="D68" s="5" t="inlineStr">
        <is>
          <t>TTS.PF.004.IPE140</t>
        </is>
      </c>
      <c r="E68" s="5" t="inlineStr">
        <is>
          <t>Piastra giunzione interna240x25x6 (6 fori Ø 11)</t>
        </is>
      </c>
      <c r="F68" s="5" t="inlineStr">
        <is>
          <t>Carpenteria metallica</t>
        </is>
      </c>
      <c r="G68" s="12" t="n">
        <v>4</v>
      </c>
      <c r="H68" s="12" t="n"/>
      <c r="I68" s="12" t="n"/>
      <c r="J68" s="12" t="n"/>
      <c r="K68" s="12" t="n"/>
      <c r="L68" s="12" t="n"/>
      <c r="M68" s="12" t="n"/>
      <c r="N68" s="12" t="n"/>
      <c r="O68" s="12" t="inlineStr">
        <is>
          <t>pz</t>
        </is>
      </c>
      <c r="P68" s="10" t="n"/>
      <c r="Q68" s="6">
        <f>IFERROR(VLOOKUP($D68,LISTINO!$B:$I,6,FALSE),IFERROR(VLOOKUP($E68,LISTINO!$C:$I,5,FALSE),""))</f>
        <v/>
      </c>
      <c r="R68" s="13">
        <f>IF(AND(ISNUMBER(G68),ISNUMBER(Q68)),G68*Q68,"")</f>
        <v/>
      </c>
    </row>
    <row r="69">
      <c r="A69" s="5" t="inlineStr">
        <is>
          <t>PILASTRO MOTORE</t>
        </is>
      </c>
      <c r="B69" s="5" t="n"/>
      <c r="C69" s="12" t="n">
        <v>3</v>
      </c>
      <c r="D69" s="5" t="inlineStr">
        <is>
          <t>10BZ10X40</t>
        </is>
      </c>
      <c r="E69" s="5" t="inlineStr">
        <is>
          <t>Bullone testa esagonale M10X40</t>
        </is>
      </c>
      <c r="F69" s="5" t="inlineStr">
        <is>
          <t>Bulloneria e minuteria</t>
        </is>
      </c>
      <c r="G69" s="12" t="n">
        <v>24</v>
      </c>
      <c r="H69" s="12" t="n"/>
      <c r="I69" s="12" t="n"/>
      <c r="J69" s="12" t="n"/>
      <c r="K69" s="12" t="n"/>
      <c r="L69" s="12" t="n"/>
      <c r="M69" s="12" t="n"/>
      <c r="N69" s="12" t="n"/>
      <c r="O69" s="12" t="inlineStr">
        <is>
          <t>pz</t>
        </is>
      </c>
      <c r="P69" s="10" t="n"/>
      <c r="Q69" s="6">
        <f>IFERROR(VLOOKUP($D69,LISTINO!$B:$I,6,FALSE),IFERROR(VLOOKUP($E69,LISTINO!$C:$I,5,FALSE),""))</f>
        <v/>
      </c>
      <c r="R69" s="13">
        <f>IF(AND(ISNUMBER(G69),ISNUMBER(Q69)),G69*Q69,"")</f>
        <v/>
      </c>
    </row>
    <row r="70">
      <c r="A70" s="5" t="inlineStr">
        <is>
          <t>PILASTRO MOTORE</t>
        </is>
      </c>
      <c r="B70" s="5" t="n"/>
      <c r="C70" s="12" t="n">
        <v>4</v>
      </c>
      <c r="D70" s="5" t="inlineStr">
        <is>
          <t>10ROND10</t>
        </is>
      </c>
      <c r="E70" s="5" t="inlineStr">
        <is>
          <t>Rondella zn da 10</t>
        </is>
      </c>
      <c r="F70" s="5" t="inlineStr">
        <is>
          <t>Bulloneria e minuteria</t>
        </is>
      </c>
      <c r="G70" s="12" t="n">
        <v>24</v>
      </c>
      <c r="H70" s="12" t="n"/>
      <c r="I70" s="12" t="n"/>
      <c r="J70" s="12" t="n"/>
      <c r="K70" s="12" t="n"/>
      <c r="L70" s="12" t="n"/>
      <c r="M70" s="12" t="n"/>
      <c r="N70" s="12" t="n"/>
      <c r="O70" s="12" t="inlineStr">
        <is>
          <t>pz</t>
        </is>
      </c>
      <c r="P70" s="10" t="n"/>
      <c r="Q70" s="6">
        <f>IFERROR(VLOOKUP($D70,LISTINO!$B:$I,6,FALSE),IFERROR(VLOOKUP($E70,LISTINO!$C:$I,5,FALSE),""))</f>
        <v/>
      </c>
      <c r="R70" s="13">
        <f>IF(AND(ISNUMBER(G70),ISNUMBER(Q70)),G70*Q70,"")</f>
        <v/>
      </c>
    </row>
    <row r="71">
      <c r="A71" s="5" t="inlineStr">
        <is>
          <t>PILASTRO MOTORE</t>
        </is>
      </c>
      <c r="B71" s="5" t="n"/>
      <c r="C71" s="12" t="n">
        <v>5</v>
      </c>
      <c r="D71" s="5" t="inlineStr">
        <is>
          <t>10ROND10</t>
        </is>
      </c>
      <c r="E71" s="5" t="inlineStr">
        <is>
          <t>Rondella zn da 10</t>
        </is>
      </c>
      <c r="F71" s="5" t="inlineStr">
        <is>
          <t>Bulloneria e minuteria</t>
        </is>
      </c>
      <c r="G71" s="12" t="n">
        <v>24</v>
      </c>
      <c r="H71" s="12" t="n"/>
      <c r="I71" s="12" t="n"/>
      <c r="J71" s="12" t="n"/>
      <c r="K71" s="12" t="n"/>
      <c r="L71" s="12" t="n"/>
      <c r="M71" s="12" t="n"/>
      <c r="N71" s="12" t="n"/>
      <c r="O71" s="12" t="inlineStr">
        <is>
          <t>pz</t>
        </is>
      </c>
      <c r="P71" s="10" t="n"/>
      <c r="Q71" s="6">
        <f>IFERROR(VLOOKUP($D71,LISTINO!$B:$I,6,FALSE),IFERROR(VLOOKUP($E71,LISTINO!$C:$I,5,FALSE),""))</f>
        <v/>
      </c>
      <c r="R71" s="13">
        <f>IF(AND(ISNUMBER(G71),ISNUMBER(Q71)),G71*Q71,"")</f>
        <v/>
      </c>
    </row>
    <row r="72">
      <c r="A72" s="5" t="inlineStr">
        <is>
          <t>PILASTRO MOTORE</t>
        </is>
      </c>
      <c r="B72" s="5" t="n"/>
      <c r="C72" s="12" t="n">
        <v>6</v>
      </c>
      <c r="D72" s="5" t="inlineStr">
        <is>
          <t>10DAZAM10</t>
        </is>
      </c>
      <c r="E72" s="5" t="inlineStr">
        <is>
          <t>Dado autobloccante M10</t>
        </is>
      </c>
      <c r="F72" s="5" t="inlineStr">
        <is>
          <t>Bulloneria e minuteria</t>
        </is>
      </c>
      <c r="G72" s="12" t="n">
        <v>24</v>
      </c>
      <c r="H72" s="12" t="n"/>
      <c r="I72" s="12" t="n"/>
      <c r="J72" s="12" t="n"/>
      <c r="K72" s="12" t="n"/>
      <c r="L72" s="12" t="n"/>
      <c r="M72" s="12" t="n"/>
      <c r="N72" s="12" t="n"/>
      <c r="O72" s="12" t="inlineStr">
        <is>
          <t>pz</t>
        </is>
      </c>
      <c r="P72" s="10" t="n"/>
      <c r="Q72" s="6">
        <f>IFERROR(VLOOKUP($D72,LISTINO!$B:$I,6,FALSE),IFERROR(VLOOKUP($E72,LISTINO!$C:$I,5,FALSE),""))</f>
        <v/>
      </c>
      <c r="R72" s="13">
        <f>IF(AND(ISNUMBER(G72),ISNUMBER(Q72)),G72*Q72,"")</f>
        <v/>
      </c>
    </row>
    <row r="73">
      <c r="A73" s="5" t="inlineStr">
        <is>
          <t>PILASTRO MOTORE</t>
        </is>
      </c>
      <c r="B73" s="5" t="n"/>
      <c r="C73" s="12" t="n">
        <v>2</v>
      </c>
      <c r="D73" s="5" t="inlineStr">
        <is>
          <t>TTS.PM.002.IPE140</t>
        </is>
      </c>
      <c r="E73" s="5" t="inlineStr">
        <is>
          <t>Supporto laterale testa riduttore</t>
        </is>
      </c>
      <c r="F73" s="5" t="inlineStr">
        <is>
          <t>Carpenteria metallica</t>
        </is>
      </c>
      <c r="G73" s="12" t="n">
        <v>2</v>
      </c>
      <c r="H73" s="12" t="n"/>
      <c r="I73" s="12" t="n"/>
      <c r="J73" s="12" t="n"/>
      <c r="K73" s="12" t="n"/>
      <c r="L73" s="12" t="n"/>
      <c r="M73" s="12" t="n"/>
      <c r="N73" s="12" t="n"/>
      <c r="O73" s="12" t="inlineStr">
        <is>
          <t>pz</t>
        </is>
      </c>
      <c r="P73" s="10" t="n"/>
      <c r="Q73" s="6">
        <f>IFERROR(VLOOKUP($D73,LISTINO!$B:$I,6,FALSE),IFERROR(VLOOKUP($E73,LISTINO!$C:$I,5,FALSE),""))</f>
        <v/>
      </c>
      <c r="R73" s="13">
        <f>IF(AND(ISNUMBER(G73),ISNUMBER(Q73)),G73*Q73,"")</f>
        <v/>
      </c>
    </row>
    <row r="74">
      <c r="A74" s="5" t="inlineStr">
        <is>
          <t>PILASTRO MOTORE</t>
        </is>
      </c>
      <c r="B74" s="5" t="n"/>
      <c r="C74" s="12" t="n">
        <v>2</v>
      </c>
      <c r="D74" s="5" t="inlineStr">
        <is>
          <t>TTS.PM.002.IPEA140</t>
        </is>
      </c>
      <c r="E74" s="5" t="inlineStr">
        <is>
          <t>Supporto laterale testa riduttore (alleggerita)</t>
        </is>
      </c>
      <c r="F74" s="5" t="inlineStr">
        <is>
          <t>Carpenteria metallica</t>
        </is>
      </c>
      <c r="G74" s="12" t="n">
        <v>0</v>
      </c>
      <c r="H74" s="12" t="n"/>
      <c r="I74" s="12" t="n"/>
      <c r="J74" s="12" t="n"/>
      <c r="K74" s="12" t="n"/>
      <c r="L74" s="12" t="n"/>
      <c r="M74" s="12" t="n"/>
      <c r="N74" s="12" t="n"/>
      <c r="O74" s="12" t="inlineStr">
        <is>
          <t>pz</t>
        </is>
      </c>
      <c r="P74" s="10" t="n"/>
      <c r="Q74" s="6">
        <f>IFERROR(VLOOKUP($D74,LISTINO!$B:$I,6,FALSE),IFERROR(VLOOKUP($E74,LISTINO!$C:$I,5,FALSE),""))</f>
        <v/>
      </c>
      <c r="R74" s="13">
        <f>IF(AND(ISNUMBER(G74),ISNUMBER(Q74)),G74*Q74,"")</f>
        <v/>
      </c>
    </row>
    <row r="75">
      <c r="A75" s="5" t="inlineStr">
        <is>
          <t>PILASTRO MOTORE</t>
        </is>
      </c>
      <c r="B75" s="5" t="n"/>
      <c r="C75" s="12" t="n">
        <v>3</v>
      </c>
      <c r="D75" s="5" t="inlineStr">
        <is>
          <t>10BZM10X40</t>
        </is>
      </c>
      <c r="E75" s="5" t="inlineStr">
        <is>
          <t>Bullone testa esagonale M10X40</t>
        </is>
      </c>
      <c r="F75" s="5" t="inlineStr">
        <is>
          <t>Bulloneria e minuteria</t>
        </is>
      </c>
      <c r="G75" s="12" t="n">
        <v>8</v>
      </c>
      <c r="H75" s="12" t="n"/>
      <c r="I75" s="12" t="n"/>
      <c r="J75" s="12" t="n"/>
      <c r="K75" s="12" t="n"/>
      <c r="L75" s="12" t="n"/>
      <c r="M75" s="12" t="n"/>
      <c r="N75" s="12" t="n"/>
      <c r="O75" s="12" t="inlineStr">
        <is>
          <t>pz</t>
        </is>
      </c>
      <c r="P75" s="10" t="n"/>
      <c r="Q75" s="6">
        <f>IFERROR(VLOOKUP($D75,LISTINO!$B:$I,6,FALSE),IFERROR(VLOOKUP($E75,LISTINO!$C:$I,5,FALSE),""))</f>
        <v/>
      </c>
      <c r="R75" s="13">
        <f>IF(AND(ISNUMBER(G75),ISNUMBER(Q75)),G75*Q75,"")</f>
        <v/>
      </c>
    </row>
    <row r="76">
      <c r="A76" s="5" t="inlineStr">
        <is>
          <t>PILASTRO MOTORE</t>
        </is>
      </c>
      <c r="B76" s="5" t="n"/>
      <c r="C76" s="12" t="n">
        <v>4</v>
      </c>
      <c r="D76" s="5" t="inlineStr">
        <is>
          <t>10ROND10</t>
        </is>
      </c>
      <c r="E76" s="5" t="inlineStr">
        <is>
          <t>Rondella zn da 10</t>
        </is>
      </c>
      <c r="F76" s="5" t="inlineStr">
        <is>
          <t>Bulloneria e minuteria</t>
        </is>
      </c>
      <c r="G76" s="12" t="n">
        <v>16</v>
      </c>
      <c r="H76" s="12" t="n"/>
      <c r="I76" s="12" t="n"/>
      <c r="J76" s="12" t="n"/>
      <c r="K76" s="12" t="n"/>
      <c r="L76" s="12" t="n"/>
      <c r="M76" s="12" t="n"/>
      <c r="N76" s="12" t="n"/>
      <c r="O76" s="12" t="inlineStr">
        <is>
          <t>pz</t>
        </is>
      </c>
      <c r="P76" s="10" t="n"/>
      <c r="Q76" s="6">
        <f>IFERROR(VLOOKUP($D76,LISTINO!$B:$I,6,FALSE),IFERROR(VLOOKUP($E76,LISTINO!$C:$I,5,FALSE),""))</f>
        <v/>
      </c>
      <c r="R76" s="13">
        <f>IF(AND(ISNUMBER(G76),ISNUMBER(Q76)),G76*Q76,"")</f>
        <v/>
      </c>
    </row>
    <row r="77">
      <c r="A77" s="5" t="inlineStr">
        <is>
          <t>PILASTRO MOTORE</t>
        </is>
      </c>
      <c r="B77" s="5" t="n"/>
      <c r="C77" s="12" t="n">
        <v>5</v>
      </c>
      <c r="D77" s="5" t="inlineStr">
        <is>
          <t>10DAZAM10</t>
        </is>
      </c>
      <c r="E77" s="5" t="inlineStr">
        <is>
          <t>Dado autobloccante M10</t>
        </is>
      </c>
      <c r="F77" s="5" t="inlineStr">
        <is>
          <t>Bulloneria e minuteria</t>
        </is>
      </c>
      <c r="G77" s="12" t="n">
        <v>8</v>
      </c>
      <c r="H77" s="12" t="n"/>
      <c r="I77" s="12" t="n"/>
      <c r="J77" s="12" t="n"/>
      <c r="K77" s="12" t="n"/>
      <c r="L77" s="12" t="n"/>
      <c r="M77" s="12" t="n"/>
      <c r="N77" s="12" t="n"/>
      <c r="O77" s="12" t="inlineStr">
        <is>
          <t>pz</t>
        </is>
      </c>
      <c r="P77" s="10" t="n"/>
      <c r="Q77" s="6">
        <f>IFERROR(VLOOKUP($D77,LISTINO!$B:$I,6,FALSE),IFERROR(VLOOKUP($E77,LISTINO!$C:$I,5,FALSE),""))</f>
        <v/>
      </c>
      <c r="R77" s="13">
        <f>IF(AND(ISNUMBER(G77),ISNUMBER(Q77)),G77*Q77,"")</f>
        <v/>
      </c>
    </row>
    <row r="78">
      <c r="A78" s="5" t="inlineStr">
        <is>
          <t>PILASTRO MOTORE</t>
        </is>
      </c>
      <c r="B78" s="5" t="n"/>
      <c r="C78" s="12" t="n">
        <v>2</v>
      </c>
      <c r="D78" s="5" t="inlineStr">
        <is>
          <t>CHSD7-60-S112-24.15.300-L1.2</t>
        </is>
      </c>
      <c r="E78" s="5" t="inlineStr">
        <is>
          <t>Motoriduttore</t>
        </is>
      </c>
      <c r="F78" s="5" t="inlineStr">
        <is>
          <t>Motorizzazione</t>
        </is>
      </c>
      <c r="G78" s="12" t="n">
        <v>1</v>
      </c>
      <c r="H78" s="12" t="n"/>
      <c r="I78" s="12" t="n"/>
      <c r="J78" s="12" t="n"/>
      <c r="K78" s="12" t="n"/>
      <c r="L78" s="12" t="n"/>
      <c r="M78" s="12" t="n"/>
      <c r="N78" s="12" t="n"/>
      <c r="O78" s="12" t="inlineStr">
        <is>
          <t>pz</t>
        </is>
      </c>
      <c r="P78" s="10" t="n"/>
      <c r="Q78" s="6">
        <f>IFERROR(VLOOKUP($D78,LISTINO!$B:$I,6,FALSE),IFERROR(VLOOKUP($E78,LISTINO!$C:$I,5,FALSE),""))</f>
        <v/>
      </c>
      <c r="R78" s="13">
        <f>IF(AND(ISNUMBER(G78),ISNUMBER(Q78)),G78*Q78,"")</f>
        <v/>
      </c>
    </row>
    <row r="79">
      <c r="A79" s="5" t="inlineStr">
        <is>
          <t>PILASTRO MOTORE</t>
        </is>
      </c>
      <c r="B79" s="5" t="n"/>
      <c r="C79" s="12" t="n">
        <v>3</v>
      </c>
      <c r="D79" s="5" t="inlineStr">
        <is>
          <t>10BZM16X60</t>
        </is>
      </c>
      <c r="E79" s="5" t="inlineStr">
        <is>
          <t>Bullone testa esagonale M16X60</t>
        </is>
      </c>
      <c r="F79" s="5" t="inlineStr">
        <is>
          <t>Bulloneria e minuteria</t>
        </is>
      </c>
      <c r="G79" s="12" t="n">
        <v>4</v>
      </c>
      <c r="H79" s="12" t="n"/>
      <c r="I79" s="12" t="n"/>
      <c r="J79" s="12" t="n"/>
      <c r="K79" s="12" t="n"/>
      <c r="L79" s="12" t="n"/>
      <c r="M79" s="12" t="n"/>
      <c r="N79" s="12" t="n"/>
      <c r="O79" s="12" t="inlineStr">
        <is>
          <t>pz</t>
        </is>
      </c>
      <c r="P79" s="10" t="n"/>
      <c r="Q79" s="6">
        <f>IFERROR(VLOOKUP($D79,LISTINO!$B:$I,6,FALSE),IFERROR(VLOOKUP($E79,LISTINO!$C:$I,5,FALSE),""))</f>
        <v/>
      </c>
      <c r="R79" s="13">
        <f>IF(AND(ISNUMBER(G79),ISNUMBER(Q79)),G79*Q79,"")</f>
        <v/>
      </c>
    </row>
    <row r="80">
      <c r="A80" s="5" t="inlineStr">
        <is>
          <t>PILASTRO MOTORE</t>
        </is>
      </c>
      <c r="B80" s="5" t="n"/>
      <c r="C80" s="12" t="n">
        <v>4</v>
      </c>
      <c r="D80" s="5" t="inlineStr">
        <is>
          <t>10ROND16</t>
        </is>
      </c>
      <c r="E80" s="5" t="inlineStr">
        <is>
          <t>Rondella zn da 16</t>
        </is>
      </c>
      <c r="F80" s="5" t="inlineStr">
        <is>
          <t>Bulloneria e minuteria</t>
        </is>
      </c>
      <c r="G80" s="12" t="n">
        <v>4</v>
      </c>
      <c r="H80" s="12" t="n"/>
      <c r="I80" s="12" t="n"/>
      <c r="J80" s="12" t="n"/>
      <c r="K80" s="12" t="n"/>
      <c r="L80" s="12" t="n"/>
      <c r="M80" s="12" t="n"/>
      <c r="N80" s="12" t="n"/>
      <c r="O80" s="12" t="inlineStr">
        <is>
          <t>pz</t>
        </is>
      </c>
      <c r="P80" s="10" t="n"/>
      <c r="Q80" s="6">
        <f>IFERROR(VLOOKUP($D80,LISTINO!$B:$I,6,FALSE),IFERROR(VLOOKUP($E80,LISTINO!$C:$I,5,FALSE),""))</f>
        <v/>
      </c>
      <c r="R80" s="13">
        <f>IF(AND(ISNUMBER(G80),ISNUMBER(Q80)),G80*Q80,"")</f>
        <v/>
      </c>
    </row>
    <row r="81">
      <c r="A81" s="5" t="inlineStr">
        <is>
          <t>PILASTRO MOTORE</t>
        </is>
      </c>
      <c r="B81" s="5" t="n"/>
      <c r="C81" s="12" t="n">
        <v>1</v>
      </c>
      <c r="D81" s="5" t="inlineStr">
        <is>
          <t>TTS.PM.003.IPE140</t>
        </is>
      </c>
      <c r="E81" s="5" t="inlineStr">
        <is>
          <t>Testa riduttore pilastro motore</t>
        </is>
      </c>
      <c r="F81" s="5" t="inlineStr">
        <is>
          <t>Carpenteria metallica</t>
        </is>
      </c>
      <c r="G81" s="12" t="n">
        <v>1</v>
      </c>
      <c r="H81" s="12" t="n"/>
      <c r="I81" s="12" t="n"/>
      <c r="J81" s="12" t="n"/>
      <c r="K81" s="12" t="n"/>
      <c r="L81" s="12" t="n"/>
      <c r="M81" s="12" t="n"/>
      <c r="N81" s="12" t="n"/>
      <c r="O81" s="12" t="inlineStr">
        <is>
          <t>pz</t>
        </is>
      </c>
      <c r="P81" s="10" t="n"/>
      <c r="Q81" s="6">
        <f>IFERROR(VLOOKUP($D81,LISTINO!$B:$I,6,FALSE),IFERROR(VLOOKUP($E81,LISTINO!$C:$I,5,FALSE),""))</f>
        <v/>
      </c>
      <c r="R81" s="13">
        <f>IF(AND(ISNUMBER(G81),ISNUMBER(Q81)),G81*Q81,"")</f>
        <v/>
      </c>
    </row>
    <row r="82">
      <c r="A82" s="5" t="inlineStr">
        <is>
          <t>PILASTRO MOTORE</t>
        </is>
      </c>
      <c r="B82" s="5" t="n"/>
      <c r="C82" s="12" t="n">
        <v>1</v>
      </c>
      <c r="D82" s="5" t="inlineStr">
        <is>
          <t>TTS.PM.003.IPEA140</t>
        </is>
      </c>
      <c r="E82" s="5" t="inlineStr">
        <is>
          <t>Testa riduttore pilastro motore (alleggerita)</t>
        </is>
      </c>
      <c r="F82" s="5" t="inlineStr">
        <is>
          <t>Carpenteria metallica</t>
        </is>
      </c>
      <c r="G82" s="12" t="n">
        <v>0</v>
      </c>
      <c r="H82" s="12" t="n"/>
      <c r="I82" s="12" t="n"/>
      <c r="J82" s="12" t="n"/>
      <c r="K82" s="12" t="n"/>
      <c r="L82" s="12" t="n"/>
      <c r="M82" s="12" t="n"/>
      <c r="N82" s="12" t="n"/>
      <c r="O82" s="12" t="inlineStr">
        <is>
          <t>pz</t>
        </is>
      </c>
      <c r="P82" s="10" t="n"/>
      <c r="Q82" s="6">
        <f>IFERROR(VLOOKUP($D82,LISTINO!$B:$I,6,FALSE),IFERROR(VLOOKUP($E82,LISTINO!$C:$I,5,FALSE),""))</f>
        <v/>
      </c>
      <c r="R82" s="13">
        <f>IF(AND(ISNUMBER(G82),ISNUMBER(Q82)),G82*Q82,"")</f>
        <v/>
      </c>
    </row>
    <row r="83">
      <c r="A83" s="5" t="inlineStr">
        <is>
          <t>PILASTRO MOTORE</t>
        </is>
      </c>
      <c r="B83" s="5" t="n"/>
      <c r="C83" s="12" t="n">
        <v>5</v>
      </c>
      <c r="D83" s="5" t="inlineStr">
        <is>
          <t>10ROND16</t>
        </is>
      </c>
      <c r="E83" s="5" t="inlineStr">
        <is>
          <t>Rondella zn da 16</t>
        </is>
      </c>
      <c r="F83" s="5" t="inlineStr">
        <is>
          <t>Bulloneria e minuteria</t>
        </is>
      </c>
      <c r="G83" s="12" t="n">
        <v>4</v>
      </c>
      <c r="H83" s="12" t="n"/>
      <c r="I83" s="12" t="n"/>
      <c r="J83" s="12" t="n"/>
      <c r="K83" s="12" t="n"/>
      <c r="L83" s="12" t="n"/>
      <c r="M83" s="12" t="n"/>
      <c r="N83" s="12" t="n"/>
      <c r="O83" s="12" t="inlineStr">
        <is>
          <t>pz</t>
        </is>
      </c>
      <c r="P83" s="10" t="n"/>
      <c r="Q83" s="6">
        <f>IFERROR(VLOOKUP($D83,LISTINO!$B:$I,6,FALSE),IFERROR(VLOOKUP($E83,LISTINO!$C:$I,5,FALSE),""))</f>
        <v/>
      </c>
      <c r="R83" s="13">
        <f>IF(AND(ISNUMBER(G83),ISNUMBER(Q83)),G83*Q83,"")</f>
        <v/>
      </c>
    </row>
    <row r="84">
      <c r="A84" s="5" t="inlineStr">
        <is>
          <t>PILASTRO MOTORE</t>
        </is>
      </c>
      <c r="B84" s="5" t="n"/>
      <c r="C84" s="12" t="n">
        <v>6</v>
      </c>
      <c r="D84" s="5" t="inlineStr">
        <is>
          <t>10DAZAM16</t>
        </is>
      </c>
      <c r="E84" s="5" t="inlineStr">
        <is>
          <t>Dado autobloccante M16</t>
        </is>
      </c>
      <c r="F84" s="5" t="inlineStr">
        <is>
          <t>Bulloneria e minuteria</t>
        </is>
      </c>
      <c r="G84" s="12" t="n">
        <v>4</v>
      </c>
      <c r="H84" s="12" t="n"/>
      <c r="I84" s="12" t="n"/>
      <c r="J84" s="12" t="n"/>
      <c r="K84" s="12" t="n"/>
      <c r="L84" s="12" t="n"/>
      <c r="M84" s="12" t="n"/>
      <c r="N84" s="12" t="n"/>
      <c r="O84" s="12" t="inlineStr">
        <is>
          <t>pz</t>
        </is>
      </c>
      <c r="P84" s="10" t="n"/>
      <c r="Q84" s="6">
        <f>IFERROR(VLOOKUP($D84,LISTINO!$B:$I,6,FALSE),IFERROR(VLOOKUP($E84,LISTINO!$C:$I,5,FALSE),""))</f>
        <v/>
      </c>
      <c r="R84" s="13">
        <f>IF(AND(ISNUMBER(G84),ISNUMBER(Q84)),G84*Q84,"")</f>
        <v/>
      </c>
    </row>
    <row r="85">
      <c r="A85" s="5" t="inlineStr">
        <is>
          <t>PILASTRO CUSCINETTO</t>
        </is>
      </c>
      <c r="B85" s="5" t="n"/>
      <c r="C85" s="12" t="n">
        <v>1</v>
      </c>
      <c r="D85" s="5" t="inlineStr">
        <is>
          <t>TTS.PF.001.IPE140.30</t>
        </is>
      </c>
      <c r="E85" s="5" t="inlineStr">
        <is>
          <t>Pilastro fondazione trave IPE140 mt3,00</t>
        </is>
      </c>
      <c r="F85" s="5" t="inlineStr">
        <is>
          <t>Carpenteria metallica</t>
        </is>
      </c>
      <c r="G85" s="12" t="n">
        <v>1</v>
      </c>
      <c r="H85" s="12" t="n">
        <v>2</v>
      </c>
      <c r="I85" s="12" t="n">
        <v>4</v>
      </c>
      <c r="J85" s="12" t="n">
        <v>4</v>
      </c>
      <c r="K85" s="12" t="n">
        <v>4</v>
      </c>
      <c r="L85" s="12" t="n">
        <v>8</v>
      </c>
      <c r="M85" s="12" t="n">
        <v>10</v>
      </c>
      <c r="N85" s="12" t="n"/>
      <c r="O85" s="12" t="inlineStr">
        <is>
          <t>pz</t>
        </is>
      </c>
      <c r="P85" s="10" t="n"/>
      <c r="Q85" s="6">
        <f>IFERROR(VLOOKUP($D85,LISTINO!$B:$I,6,FALSE),IFERROR(VLOOKUP($E85,LISTINO!$C:$I,5,FALSE),""))</f>
        <v/>
      </c>
      <c r="R85" s="13">
        <f>IF(AND(ISNUMBER(G85),ISNUMBER(Q85)),G85*Q85,"")</f>
        <v/>
      </c>
    </row>
    <row r="86">
      <c r="A86" s="5" t="inlineStr">
        <is>
          <t>PILASTRO CUSCINETTO</t>
        </is>
      </c>
      <c r="B86" s="5" t="n"/>
      <c r="C86" s="12" t="n">
        <v>2</v>
      </c>
      <c r="D86" s="5" t="inlineStr">
        <is>
          <t>TTS.PC.001.IPE140.23</t>
        </is>
      </c>
      <c r="E86" s="5" t="inlineStr">
        <is>
          <t>Pilastro cuscinetto trave IPE 140 mt.2,30</t>
        </is>
      </c>
      <c r="F86" s="5" t="inlineStr">
        <is>
          <t>Carpenteria metallica</t>
        </is>
      </c>
      <c r="G86" s="12" t="n">
        <v>1</v>
      </c>
      <c r="H86" s="12" t="n">
        <v>2</v>
      </c>
      <c r="I86" s="12" t="n">
        <v>4</v>
      </c>
      <c r="J86" s="12" t="n">
        <v>4</v>
      </c>
      <c r="K86" s="12" t="n">
        <v>4</v>
      </c>
      <c r="L86" s="12" t="n">
        <v>8</v>
      </c>
      <c r="M86" s="12" t="n">
        <v>10</v>
      </c>
      <c r="N86" s="12" t="n"/>
      <c r="O86" s="12" t="inlineStr">
        <is>
          <t>pz</t>
        </is>
      </c>
      <c r="P86" s="10" t="n"/>
      <c r="Q86" s="6">
        <f>IFERROR(VLOOKUP($D86,LISTINO!$B:$I,6,FALSE),IFERROR(VLOOKUP($E86,LISTINO!$C:$I,5,FALSE),""))</f>
        <v/>
      </c>
      <c r="R86" s="13">
        <f>IF(AND(ISNUMBER(G86),ISNUMBER(Q86)),G86*Q86,"")</f>
        <v/>
      </c>
    </row>
    <row r="87">
      <c r="A87" s="5" t="inlineStr">
        <is>
          <t>PILASTRO CUSCINETTO</t>
        </is>
      </c>
      <c r="B87" s="5" t="n"/>
      <c r="C87" s="12" t="n">
        <v>2</v>
      </c>
      <c r="D87" s="5" t="inlineStr">
        <is>
          <t>TTS.PC.001.IPEA140.23</t>
        </is>
      </c>
      <c r="E87" s="5" t="inlineStr">
        <is>
          <t>Pilastro cuscinetto trave IPEA 140 mt.2,30 (alleggerita)</t>
        </is>
      </c>
      <c r="F87" s="5" t="inlineStr">
        <is>
          <t>Carpenteria metallica</t>
        </is>
      </c>
      <c r="G87" s="12" t="n">
        <v>0</v>
      </c>
      <c r="H87" s="12" t="n"/>
      <c r="I87" s="12" t="n"/>
      <c r="J87" s="12" t="n"/>
      <c r="K87" s="12" t="n"/>
      <c r="L87" s="12" t="n"/>
      <c r="M87" s="12" t="n"/>
      <c r="N87" s="12" t="n"/>
      <c r="O87" s="12" t="inlineStr">
        <is>
          <t>pz</t>
        </is>
      </c>
      <c r="P87" s="10" t="n"/>
      <c r="Q87" s="6">
        <f>IFERROR(VLOOKUP($D87,LISTINO!$B:$I,6,FALSE),IFERROR(VLOOKUP($E87,LISTINO!$C:$I,5,FALSE),""))</f>
        <v/>
      </c>
      <c r="R87" s="13">
        <f>IF(AND(ISNUMBER(G87),ISNUMBER(Q87)),G87*Q87,"")</f>
        <v/>
      </c>
    </row>
    <row r="88">
      <c r="A88" s="5" t="inlineStr">
        <is>
          <t>PILASTRO CUSCINETTO</t>
        </is>
      </c>
      <c r="B88" s="5" t="n"/>
      <c r="C88" s="12" t="n">
        <v>2</v>
      </c>
      <c r="D88" s="5" t="inlineStr">
        <is>
          <t>TTS.PC.001.IPE140.28</t>
        </is>
      </c>
      <c r="E88" s="5" t="inlineStr">
        <is>
          <t>Pilastro cuscinetto trave IPE 140 mt.2,80</t>
        </is>
      </c>
      <c r="F88" s="5" t="inlineStr">
        <is>
          <t>Carpenteria metallica</t>
        </is>
      </c>
      <c r="G88" s="12" t="n">
        <v>0</v>
      </c>
      <c r="H88" s="12" t="n"/>
      <c r="I88" s="12" t="n"/>
      <c r="J88" s="12" t="n"/>
      <c r="K88" s="12" t="n"/>
      <c r="L88" s="12" t="n"/>
      <c r="M88" s="12" t="n"/>
      <c r="N88" s="12" t="n"/>
      <c r="O88" s="12" t="inlineStr">
        <is>
          <t>pz</t>
        </is>
      </c>
      <c r="P88" s="10" t="n"/>
      <c r="Q88" s="6">
        <f>IFERROR(VLOOKUP($D88,LISTINO!$B:$I,6,FALSE),IFERROR(VLOOKUP($E88,LISTINO!$C:$I,5,FALSE),""))</f>
        <v/>
      </c>
      <c r="R88" s="13">
        <f>IF(AND(ISNUMBER(G88),ISNUMBER(Q88)),G88*Q88,"")</f>
        <v/>
      </c>
    </row>
    <row r="89">
      <c r="A89" s="5" t="inlineStr">
        <is>
          <t>PILASTRO CUSCINETTO</t>
        </is>
      </c>
      <c r="B89" s="5" t="n"/>
      <c r="C89" s="12" t="n">
        <v>2</v>
      </c>
      <c r="D89" s="5" t="inlineStr">
        <is>
          <t>TTS.PC.001.IPEA140.28</t>
        </is>
      </c>
      <c r="E89" s="5" t="inlineStr">
        <is>
          <t>Pilastro cuscinetto trave IPEA 140 mt.2,80 (alleggerita)</t>
        </is>
      </c>
      <c r="F89" s="5" t="inlineStr">
        <is>
          <t>Carpenteria metallica</t>
        </is>
      </c>
      <c r="G89" s="12" t="n">
        <v>0</v>
      </c>
      <c r="H89" s="12" t="n"/>
      <c r="I89" s="12" t="n"/>
      <c r="J89" s="12" t="n"/>
      <c r="K89" s="12" t="n"/>
      <c r="L89" s="12" t="n"/>
      <c r="M89" s="12" t="n"/>
      <c r="N89" s="12" t="n"/>
      <c r="O89" s="12" t="inlineStr">
        <is>
          <t>pz</t>
        </is>
      </c>
      <c r="P89" s="10" t="n"/>
      <c r="Q89" s="6">
        <f>IFERROR(VLOOKUP($D89,LISTINO!$B:$I,6,FALSE),IFERROR(VLOOKUP($E89,LISTINO!$C:$I,5,FALSE),""))</f>
        <v/>
      </c>
      <c r="R89" s="13">
        <f>IF(AND(ISNUMBER(G89),ISNUMBER(Q89)),G89*Q89,"")</f>
        <v/>
      </c>
    </row>
    <row r="90">
      <c r="A90" s="5" t="inlineStr">
        <is>
          <t>PILASTRO CUSCINETTO</t>
        </is>
      </c>
      <c r="B90" s="5" t="n"/>
      <c r="C90" s="12" t="n">
        <v>2</v>
      </c>
      <c r="D90" s="5" t="inlineStr">
        <is>
          <t>TTS.PC.001.IPE140.29</t>
        </is>
      </c>
      <c r="E90" s="5" t="inlineStr">
        <is>
          <t>Pilastro cuscinetto trave IPE 140 mt.2,90</t>
        </is>
      </c>
      <c r="F90" s="5" t="inlineStr">
        <is>
          <t>Carpenteria metallica</t>
        </is>
      </c>
      <c r="G90" s="12" t="n">
        <v>0</v>
      </c>
      <c r="H90" s="12" t="n"/>
      <c r="I90" s="12" t="n"/>
      <c r="J90" s="12" t="n"/>
      <c r="K90" s="12" t="n"/>
      <c r="L90" s="12" t="n"/>
      <c r="M90" s="12" t="n"/>
      <c r="N90" s="12" t="n"/>
      <c r="O90" s="12" t="inlineStr">
        <is>
          <t>pz</t>
        </is>
      </c>
      <c r="P90" s="10" t="n"/>
      <c r="Q90" s="6">
        <f>IFERROR(VLOOKUP($D90,LISTINO!$B:$I,6,FALSE),IFERROR(VLOOKUP($E90,LISTINO!$C:$I,5,FALSE),""))</f>
        <v/>
      </c>
      <c r="R90" s="13">
        <f>IF(AND(ISNUMBER(G90),ISNUMBER(Q90)),G90*Q90,"")</f>
        <v/>
      </c>
    </row>
    <row r="91">
      <c r="A91" s="5" t="inlineStr">
        <is>
          <t>PILASTRO CUSCINETTO</t>
        </is>
      </c>
      <c r="B91" s="5" t="n"/>
      <c r="C91" s="12" t="n">
        <v>2</v>
      </c>
      <c r="D91" s="5" t="inlineStr">
        <is>
          <t>TTS.PC.001.IPEA140.29</t>
        </is>
      </c>
      <c r="E91" s="5" t="inlineStr">
        <is>
          <t>Pilastro cuscinetto trave IPEA 140 mt.2,90 (alleggerita)</t>
        </is>
      </c>
      <c r="F91" s="5" t="inlineStr">
        <is>
          <t>Carpenteria metallica</t>
        </is>
      </c>
      <c r="G91" s="12" t="n">
        <v>0</v>
      </c>
      <c r="H91" s="12" t="n"/>
      <c r="I91" s="12" t="n"/>
      <c r="J91" s="12" t="n"/>
      <c r="K91" s="12" t="n"/>
      <c r="L91" s="12" t="n"/>
      <c r="M91" s="12" t="n"/>
      <c r="N91" s="12" t="n"/>
      <c r="O91" s="12" t="inlineStr">
        <is>
          <t>pz</t>
        </is>
      </c>
      <c r="P91" s="10" t="n"/>
      <c r="Q91" s="6">
        <f>IFERROR(VLOOKUP($D91,LISTINO!$B:$I,6,FALSE),IFERROR(VLOOKUP($E91,LISTINO!$C:$I,5,FALSE),""))</f>
        <v/>
      </c>
      <c r="R91" s="13">
        <f>IF(AND(ISNUMBER(G91),ISNUMBER(Q91)),G91*Q91,"")</f>
        <v/>
      </c>
    </row>
    <row r="92">
      <c r="A92" s="5" t="inlineStr">
        <is>
          <t>PILASTRO CUSCINETTO</t>
        </is>
      </c>
      <c r="B92" s="5" t="n"/>
      <c r="C92" s="12" t="n">
        <v>2</v>
      </c>
      <c r="D92" s="5" t="inlineStr">
        <is>
          <t>TTS.PC.001.IPE140.30</t>
        </is>
      </c>
      <c r="E92" s="5" t="inlineStr">
        <is>
          <t>Pilastro cuscinetto trave IPE 140 mt.3,00</t>
        </is>
      </c>
      <c r="F92" s="5" t="inlineStr">
        <is>
          <t>Carpenteria metallica</t>
        </is>
      </c>
      <c r="G92" s="12" t="n">
        <v>0</v>
      </c>
      <c r="H92" s="12" t="n"/>
      <c r="I92" s="12" t="n"/>
      <c r="J92" s="12" t="n"/>
      <c r="K92" s="12" t="n"/>
      <c r="L92" s="12" t="n"/>
      <c r="M92" s="12" t="n"/>
      <c r="N92" s="12" t="n"/>
      <c r="O92" s="12" t="inlineStr">
        <is>
          <t>pz</t>
        </is>
      </c>
      <c r="P92" s="10" t="n"/>
      <c r="Q92" s="6">
        <f>IFERROR(VLOOKUP($D92,LISTINO!$B:$I,6,FALSE),IFERROR(VLOOKUP($E92,LISTINO!$C:$I,5,FALSE),""))</f>
        <v/>
      </c>
      <c r="R92" s="13">
        <f>IF(AND(ISNUMBER(G92),ISNUMBER(Q92)),G92*Q92,"")</f>
        <v/>
      </c>
    </row>
    <row r="93">
      <c r="A93" s="5" t="inlineStr">
        <is>
          <t>PILASTRO CUSCINETTO</t>
        </is>
      </c>
      <c r="B93" s="5" t="n"/>
      <c r="C93" s="12" t="n">
        <v>2</v>
      </c>
      <c r="D93" s="5" t="inlineStr">
        <is>
          <t>TTS.PC.001.IPEA140.30</t>
        </is>
      </c>
      <c r="E93" s="5" t="inlineStr">
        <is>
          <t>Pilastro cuscinetto trave IPEA 140 mt.3,00 (alleggerita)</t>
        </is>
      </c>
      <c r="F93" s="5" t="inlineStr">
        <is>
          <t>Carpenteria metallica</t>
        </is>
      </c>
      <c r="G93" s="12" t="n">
        <v>0</v>
      </c>
      <c r="H93" s="12" t="n"/>
      <c r="I93" s="12" t="n"/>
      <c r="J93" s="12" t="n"/>
      <c r="K93" s="12" t="n"/>
      <c r="L93" s="12" t="n"/>
      <c r="M93" s="12" t="n"/>
      <c r="N93" s="12" t="n"/>
      <c r="O93" s="12" t="inlineStr">
        <is>
          <t>pz</t>
        </is>
      </c>
      <c r="P93" s="10" t="n"/>
      <c r="Q93" s="6">
        <f>IFERROR(VLOOKUP($D93,LISTINO!$B:$I,6,FALSE),IFERROR(VLOOKUP($E93,LISTINO!$C:$I,5,FALSE),""))</f>
        <v/>
      </c>
      <c r="R93" s="13">
        <f>IF(AND(ISNUMBER(G93),ISNUMBER(Q93)),G93*Q93,"")</f>
        <v/>
      </c>
    </row>
    <row r="94">
      <c r="A94" s="5" t="inlineStr">
        <is>
          <t>PILASTRO CUSCINETTO</t>
        </is>
      </c>
      <c r="B94" s="5" t="n"/>
      <c r="C94" s="12" t="n">
        <v>2</v>
      </c>
      <c r="D94" s="5" t="inlineStr">
        <is>
          <t>TTS.PC.001.IPE140.31</t>
        </is>
      </c>
      <c r="E94" s="5" t="inlineStr">
        <is>
          <t>Pilastro cuscinetto trave IPE 140 mt.3,10</t>
        </is>
      </c>
      <c r="F94" s="5" t="inlineStr">
        <is>
          <t>Carpenteria metallica</t>
        </is>
      </c>
      <c r="G94" s="12" t="n">
        <v>0</v>
      </c>
      <c r="H94" s="12" t="n"/>
      <c r="I94" s="12" t="n"/>
      <c r="J94" s="12" t="n"/>
      <c r="K94" s="12" t="n"/>
      <c r="L94" s="12" t="n"/>
      <c r="M94" s="12" t="n"/>
      <c r="N94" s="12" t="n"/>
      <c r="O94" s="12" t="inlineStr">
        <is>
          <t>pz</t>
        </is>
      </c>
      <c r="P94" s="10" t="n"/>
      <c r="Q94" s="6">
        <f>IFERROR(VLOOKUP($D94,LISTINO!$B:$I,6,FALSE),IFERROR(VLOOKUP($E94,LISTINO!$C:$I,5,FALSE),""))</f>
        <v/>
      </c>
      <c r="R94" s="13">
        <f>IF(AND(ISNUMBER(G94),ISNUMBER(Q94)),G94*Q94,"")</f>
        <v/>
      </c>
    </row>
    <row r="95">
      <c r="A95" s="5" t="inlineStr">
        <is>
          <t>PILASTRO CUSCINETTO</t>
        </is>
      </c>
      <c r="B95" s="5" t="n"/>
      <c r="C95" s="12" t="n">
        <v>2</v>
      </c>
      <c r="D95" s="5" t="inlineStr">
        <is>
          <t>TTS.PC.001.IPEA140.31</t>
        </is>
      </c>
      <c r="E95" s="5" t="inlineStr">
        <is>
          <t>Pilastro cuscinetto trave IPEA 140 mt.3,10 (alleggerita)</t>
        </is>
      </c>
      <c r="F95" s="5" t="inlineStr">
        <is>
          <t>Carpenteria metallica</t>
        </is>
      </c>
      <c r="G95" s="12" t="n">
        <v>0</v>
      </c>
      <c r="H95" s="12" t="n"/>
      <c r="I95" s="12" t="n"/>
      <c r="J95" s="12" t="n"/>
      <c r="K95" s="12" t="n"/>
      <c r="L95" s="12" t="n"/>
      <c r="M95" s="12" t="n"/>
      <c r="N95" s="12" t="n"/>
      <c r="O95" s="12" t="inlineStr">
        <is>
          <t>pz</t>
        </is>
      </c>
      <c r="P95" s="10" t="n"/>
      <c r="Q95" s="6">
        <f>IFERROR(VLOOKUP($D95,LISTINO!$B:$I,6,FALSE),IFERROR(VLOOKUP($E95,LISTINO!$C:$I,5,FALSE),""))</f>
        <v/>
      </c>
      <c r="R95" s="13">
        <f>IF(AND(ISNUMBER(G95),ISNUMBER(Q95)),G95*Q95,"")</f>
        <v/>
      </c>
    </row>
    <row r="96">
      <c r="A96" s="5" t="inlineStr">
        <is>
          <t>PILASTRO CUSCINETTO</t>
        </is>
      </c>
      <c r="B96" s="5" t="n"/>
      <c r="C96" s="12" t="n">
        <v>2</v>
      </c>
      <c r="D96" s="5" t="inlineStr">
        <is>
          <t>TTS.PC.001.IPE140.32</t>
        </is>
      </c>
      <c r="E96" s="5" t="inlineStr">
        <is>
          <t>Pilastro cuscinetto trave IPE 140 mt.3,20</t>
        </is>
      </c>
      <c r="F96" s="5" t="inlineStr">
        <is>
          <t>Carpenteria metallica</t>
        </is>
      </c>
      <c r="G96" s="12" t="n">
        <v>0</v>
      </c>
      <c r="H96" s="12" t="n"/>
      <c r="I96" s="12" t="n"/>
      <c r="J96" s="12" t="n"/>
      <c r="K96" s="12" t="n"/>
      <c r="L96" s="12" t="n"/>
      <c r="M96" s="12" t="n"/>
      <c r="N96" s="12" t="n"/>
      <c r="O96" s="12" t="inlineStr">
        <is>
          <t>pz</t>
        </is>
      </c>
      <c r="P96" s="10" t="n"/>
      <c r="Q96" s="6">
        <f>IFERROR(VLOOKUP($D96,LISTINO!$B:$I,6,FALSE),IFERROR(VLOOKUP($E96,LISTINO!$C:$I,5,FALSE),""))</f>
        <v/>
      </c>
      <c r="R96" s="13">
        <f>IF(AND(ISNUMBER(G96),ISNUMBER(Q96)),G96*Q96,"")</f>
        <v/>
      </c>
    </row>
    <row r="97">
      <c r="A97" s="5" t="inlineStr">
        <is>
          <t>PILASTRO CUSCINETTO</t>
        </is>
      </c>
      <c r="B97" s="5" t="n"/>
      <c r="C97" s="12" t="n">
        <v>2</v>
      </c>
      <c r="D97" s="5" t="inlineStr">
        <is>
          <t>TTS.PC.001.IPEA140.32</t>
        </is>
      </c>
      <c r="E97" s="5" t="inlineStr">
        <is>
          <t>Pilastro cuscinetto trave IPEA 140 mt.3,20 (alleggerita)</t>
        </is>
      </c>
      <c r="F97" s="5" t="inlineStr">
        <is>
          <t>Carpenteria metallica</t>
        </is>
      </c>
      <c r="G97" s="12" t="n">
        <v>0</v>
      </c>
      <c r="H97" s="12" t="n"/>
      <c r="I97" s="12" t="n"/>
      <c r="J97" s="12" t="n"/>
      <c r="K97" s="12" t="n"/>
      <c r="L97" s="12" t="n"/>
      <c r="M97" s="12" t="n"/>
      <c r="N97" s="12" t="n"/>
      <c r="O97" s="12" t="inlineStr">
        <is>
          <t>pz</t>
        </is>
      </c>
      <c r="P97" s="10" t="n"/>
      <c r="Q97" s="6">
        <f>IFERROR(VLOOKUP($D97,LISTINO!$B:$I,6,FALSE),IFERROR(VLOOKUP($E97,LISTINO!$C:$I,5,FALSE),""))</f>
        <v/>
      </c>
      <c r="R97" s="13">
        <f>IF(AND(ISNUMBER(G97),ISNUMBER(Q97)),G97*Q97,"")</f>
        <v/>
      </c>
    </row>
    <row r="98">
      <c r="A98" s="5" t="inlineStr">
        <is>
          <t>PILASTRO CUSCINETTO</t>
        </is>
      </c>
      <c r="B98" s="5" t="n"/>
      <c r="C98" s="12" t="n">
        <v>2</v>
      </c>
      <c r="D98" s="5" t="inlineStr">
        <is>
          <t>TTS.PC.001.IPE140.33</t>
        </is>
      </c>
      <c r="E98" s="5" t="inlineStr">
        <is>
          <t>Pilastro cuscinetto trave IPE 140 mt.3,30</t>
        </is>
      </c>
      <c r="F98" s="5" t="inlineStr">
        <is>
          <t>Carpenteria metallica</t>
        </is>
      </c>
      <c r="G98" s="12" t="n">
        <v>0</v>
      </c>
      <c r="H98" s="12" t="n"/>
      <c r="I98" s="12" t="n"/>
      <c r="J98" s="12" t="n"/>
      <c r="K98" s="12" t="n"/>
      <c r="L98" s="12" t="n"/>
      <c r="M98" s="12" t="n"/>
      <c r="N98" s="12" t="n"/>
      <c r="O98" s="12" t="inlineStr">
        <is>
          <t>pz</t>
        </is>
      </c>
      <c r="P98" s="10" t="n"/>
      <c r="Q98" s="6">
        <f>IFERROR(VLOOKUP($D98,LISTINO!$B:$I,6,FALSE),IFERROR(VLOOKUP($E98,LISTINO!$C:$I,5,FALSE),""))</f>
        <v/>
      </c>
      <c r="R98" s="13">
        <f>IF(AND(ISNUMBER(G98),ISNUMBER(Q98)),G98*Q98,"")</f>
        <v/>
      </c>
    </row>
    <row r="99">
      <c r="A99" s="5" t="inlineStr">
        <is>
          <t>PILASTRO CUSCINETTO</t>
        </is>
      </c>
      <c r="B99" s="5" t="n"/>
      <c r="C99" s="12" t="n">
        <v>2</v>
      </c>
      <c r="D99" s="5" t="inlineStr">
        <is>
          <t>TTS.PC.001.IPEA140.33</t>
        </is>
      </c>
      <c r="E99" s="5" t="inlineStr">
        <is>
          <t>Pilastro cuscinetto trave IPEA 140 mt.3,30 (alleggerita)</t>
        </is>
      </c>
      <c r="F99" s="5" t="inlineStr">
        <is>
          <t>Carpenteria metallica</t>
        </is>
      </c>
      <c r="G99" s="12" t="n">
        <v>0</v>
      </c>
      <c r="H99" s="12" t="n"/>
      <c r="I99" s="12" t="n"/>
      <c r="J99" s="12" t="n"/>
      <c r="K99" s="12" t="n"/>
      <c r="L99" s="12" t="n"/>
      <c r="M99" s="12" t="n"/>
      <c r="N99" s="12" t="n"/>
      <c r="O99" s="12" t="inlineStr">
        <is>
          <t>pz</t>
        </is>
      </c>
      <c r="P99" s="10" t="n"/>
      <c r="Q99" s="6">
        <f>IFERROR(VLOOKUP($D99,LISTINO!$B:$I,6,FALSE),IFERROR(VLOOKUP($E99,LISTINO!$C:$I,5,FALSE),""))</f>
        <v/>
      </c>
      <c r="R99" s="13">
        <f>IF(AND(ISNUMBER(G99),ISNUMBER(Q99)),G99*Q99,"")</f>
        <v/>
      </c>
    </row>
    <row r="100">
      <c r="A100" s="5" t="inlineStr">
        <is>
          <t>PILASTRO CUSCINETTO</t>
        </is>
      </c>
      <c r="B100" s="5" t="n"/>
      <c r="C100" s="12" t="n">
        <v>2</v>
      </c>
      <c r="D100" s="5" t="inlineStr">
        <is>
          <t>TTS.PC.001.IPE140.34</t>
        </is>
      </c>
      <c r="E100" s="5" t="inlineStr">
        <is>
          <t>Pilastro cuscinetto trave IPE 140 mt.3,40</t>
        </is>
      </c>
      <c r="F100" s="5" t="inlineStr">
        <is>
          <t>Carpenteria metallica</t>
        </is>
      </c>
      <c r="G100" s="12" t="n">
        <v>0</v>
      </c>
      <c r="H100" s="12" t="n"/>
      <c r="I100" s="12" t="n"/>
      <c r="J100" s="12" t="n"/>
      <c r="K100" s="12" t="n"/>
      <c r="L100" s="12" t="n"/>
      <c r="M100" s="12" t="n"/>
      <c r="N100" s="12" t="n"/>
      <c r="O100" s="12" t="inlineStr">
        <is>
          <t>pz</t>
        </is>
      </c>
      <c r="P100" s="10" t="n"/>
      <c r="Q100" s="6">
        <f>IFERROR(VLOOKUP($D100,LISTINO!$B:$I,6,FALSE),IFERROR(VLOOKUP($E100,LISTINO!$C:$I,5,FALSE),""))</f>
        <v/>
      </c>
      <c r="R100" s="13">
        <f>IF(AND(ISNUMBER(G100),ISNUMBER(Q100)),G100*Q100,"")</f>
        <v/>
      </c>
    </row>
    <row r="101">
      <c r="A101" s="5" t="inlineStr">
        <is>
          <t>PILASTRO CUSCINETTO</t>
        </is>
      </c>
      <c r="B101" s="5" t="n"/>
      <c r="C101" s="12" t="n">
        <v>2</v>
      </c>
      <c r="D101" s="5" t="inlineStr">
        <is>
          <t>TTS.PC.001.IPEA140.34</t>
        </is>
      </c>
      <c r="E101" s="5" t="inlineStr">
        <is>
          <t>Pilastro cuscinetto trave IPEA 140 mt.3,40 (alleggerita)</t>
        </is>
      </c>
      <c r="F101" s="5" t="inlineStr">
        <is>
          <t>Carpenteria metallica</t>
        </is>
      </c>
      <c r="G101" s="12" t="n">
        <v>0</v>
      </c>
      <c r="H101" s="12" t="n"/>
      <c r="I101" s="12" t="n"/>
      <c r="J101" s="12" t="n"/>
      <c r="K101" s="12" t="n"/>
      <c r="L101" s="12" t="n"/>
      <c r="M101" s="12" t="n"/>
      <c r="N101" s="12" t="n"/>
      <c r="O101" s="12" t="inlineStr">
        <is>
          <t>pz</t>
        </is>
      </c>
      <c r="P101" s="10" t="n"/>
      <c r="Q101" s="6">
        <f>IFERROR(VLOOKUP($D101,LISTINO!$B:$I,6,FALSE),IFERROR(VLOOKUP($E101,LISTINO!$C:$I,5,FALSE),""))</f>
        <v/>
      </c>
      <c r="R101" s="13">
        <f>IF(AND(ISNUMBER(G101),ISNUMBER(Q101)),G101*Q101,"")</f>
        <v/>
      </c>
    </row>
    <row r="102">
      <c r="A102" s="5" t="inlineStr">
        <is>
          <t>PILASTRO CUSCINETTO</t>
        </is>
      </c>
      <c r="B102" s="5" t="n"/>
      <c r="C102" s="12" t="n">
        <v>2</v>
      </c>
      <c r="D102" s="5" t="inlineStr">
        <is>
          <t>TTS.PC.001.IPE140.35</t>
        </is>
      </c>
      <c r="E102" s="5" t="inlineStr">
        <is>
          <t>Pilastro cuscinetto trave IPE 140 mt.3,50</t>
        </is>
      </c>
      <c r="F102" s="5" t="inlineStr">
        <is>
          <t>Carpenteria metallica</t>
        </is>
      </c>
      <c r="G102" s="12" t="n">
        <v>0</v>
      </c>
      <c r="H102" s="12" t="n"/>
      <c r="I102" s="12" t="n"/>
      <c r="J102" s="12" t="n"/>
      <c r="K102" s="12" t="n"/>
      <c r="L102" s="12" t="n"/>
      <c r="M102" s="12" t="n"/>
      <c r="N102" s="12" t="n"/>
      <c r="O102" s="12" t="inlineStr">
        <is>
          <t>pz</t>
        </is>
      </c>
      <c r="P102" s="10" t="n"/>
      <c r="Q102" s="6">
        <f>IFERROR(VLOOKUP($D102,LISTINO!$B:$I,6,FALSE),IFERROR(VLOOKUP($E102,LISTINO!$C:$I,5,FALSE),""))</f>
        <v/>
      </c>
      <c r="R102" s="13">
        <f>IF(AND(ISNUMBER(G102),ISNUMBER(Q102)),G102*Q102,"")</f>
        <v/>
      </c>
    </row>
    <row r="103">
      <c r="A103" s="5" t="inlineStr">
        <is>
          <t>PILASTRO CUSCINETTO</t>
        </is>
      </c>
      <c r="B103" s="5" t="n"/>
      <c r="C103" s="12" t="n">
        <v>2</v>
      </c>
      <c r="D103" s="5" t="inlineStr">
        <is>
          <t>TTS.PC.001.IPEA140.35</t>
        </is>
      </c>
      <c r="E103" s="5" t="inlineStr">
        <is>
          <t>Pilastro cuscinetto trave IPEA 140 mt.3,50 (alleggerita)</t>
        </is>
      </c>
      <c r="F103" s="5" t="inlineStr">
        <is>
          <t>Carpenteria metallica</t>
        </is>
      </c>
      <c r="G103" s="12" t="n">
        <v>0</v>
      </c>
      <c r="H103" s="12" t="n"/>
      <c r="I103" s="12" t="n"/>
      <c r="J103" s="12" t="n"/>
      <c r="K103" s="12" t="n"/>
      <c r="L103" s="12" t="n"/>
      <c r="M103" s="12" t="n"/>
      <c r="N103" s="12" t="n"/>
      <c r="O103" s="12" t="inlineStr">
        <is>
          <t>pz</t>
        </is>
      </c>
      <c r="P103" s="10" t="n"/>
      <c r="Q103" s="6">
        <f>IFERROR(VLOOKUP($D103,LISTINO!$B:$I,6,FALSE),IFERROR(VLOOKUP($E103,LISTINO!$C:$I,5,FALSE),""))</f>
        <v/>
      </c>
      <c r="R103" s="13">
        <f>IF(AND(ISNUMBER(G103),ISNUMBER(Q103)),G103*Q103,"")</f>
        <v/>
      </c>
    </row>
    <row r="104">
      <c r="A104" s="5" t="inlineStr">
        <is>
          <t>PILASTRO CUSCINETTO</t>
        </is>
      </c>
      <c r="B104" s="5" t="n"/>
      <c r="C104" s="12" t="n">
        <v>2</v>
      </c>
      <c r="D104" s="5" t="inlineStr">
        <is>
          <t>TTS.PC.001.IPE140.36</t>
        </is>
      </c>
      <c r="E104" s="5" t="inlineStr">
        <is>
          <t>Pilastro cuscinetto trave IPE 140 mt.3,60</t>
        </is>
      </c>
      <c r="F104" s="5" t="inlineStr">
        <is>
          <t>Carpenteria metallica</t>
        </is>
      </c>
      <c r="G104" s="12" t="n">
        <v>0</v>
      </c>
      <c r="H104" s="12" t="n"/>
      <c r="I104" s="12" t="n"/>
      <c r="J104" s="12" t="n"/>
      <c r="K104" s="12" t="n"/>
      <c r="L104" s="12" t="n"/>
      <c r="M104" s="12" t="n"/>
      <c r="N104" s="12" t="n"/>
      <c r="O104" s="12" t="inlineStr">
        <is>
          <t>pz</t>
        </is>
      </c>
      <c r="P104" s="10" t="n"/>
      <c r="Q104" s="6">
        <f>IFERROR(VLOOKUP($D104,LISTINO!$B:$I,6,FALSE),IFERROR(VLOOKUP($E104,LISTINO!$C:$I,5,FALSE),""))</f>
        <v/>
      </c>
      <c r="R104" s="13">
        <f>IF(AND(ISNUMBER(G104),ISNUMBER(Q104)),G104*Q104,"")</f>
        <v/>
      </c>
    </row>
    <row r="105">
      <c r="A105" s="5" t="inlineStr">
        <is>
          <t>PILASTRO CUSCINETTO</t>
        </is>
      </c>
      <c r="B105" s="5" t="n"/>
      <c r="C105" s="12" t="n">
        <v>2</v>
      </c>
      <c r="D105" s="5" t="inlineStr">
        <is>
          <t>TTS.PC.001.IPEA140.36</t>
        </is>
      </c>
      <c r="E105" s="5" t="inlineStr">
        <is>
          <t>Pilastro cuscinetto trave IPEA 140 mt.3,60 (alleggerita)</t>
        </is>
      </c>
      <c r="F105" s="5" t="inlineStr">
        <is>
          <t>Carpenteria metallica</t>
        </is>
      </c>
      <c r="G105" s="12" t="n">
        <v>0</v>
      </c>
      <c r="H105" s="12" t="n"/>
      <c r="I105" s="12" t="n"/>
      <c r="J105" s="12" t="n"/>
      <c r="K105" s="12" t="n"/>
      <c r="L105" s="12" t="n"/>
      <c r="M105" s="12" t="n"/>
      <c r="N105" s="12" t="n"/>
      <c r="O105" s="12" t="inlineStr">
        <is>
          <t>pz</t>
        </is>
      </c>
      <c r="P105" s="10" t="n"/>
      <c r="Q105" s="6">
        <f>IFERROR(VLOOKUP($D105,LISTINO!$B:$I,6,FALSE),IFERROR(VLOOKUP($E105,LISTINO!$C:$I,5,FALSE),""))</f>
        <v/>
      </c>
      <c r="R105" s="13">
        <f>IF(AND(ISNUMBER(G105),ISNUMBER(Q105)),G105*Q105,"")</f>
        <v/>
      </c>
    </row>
    <row r="106">
      <c r="A106" s="5" t="inlineStr">
        <is>
          <t>PILASTRO CUSCINETTO</t>
        </is>
      </c>
      <c r="B106" s="5" t="n"/>
      <c r="C106" s="12" t="n">
        <v>2</v>
      </c>
      <c r="D106" s="5" t="inlineStr">
        <is>
          <t>TTS.PC.001.IPE140.37</t>
        </is>
      </c>
      <c r="E106" s="5" t="inlineStr">
        <is>
          <t>Pilastro cuscinetto trave IPE 140 mt.3,70</t>
        </is>
      </c>
      <c r="F106" s="5" t="inlineStr">
        <is>
          <t>Carpenteria metallica</t>
        </is>
      </c>
      <c r="G106" s="12" t="n">
        <v>0</v>
      </c>
      <c r="H106" s="12" t="n"/>
      <c r="I106" s="12" t="n"/>
      <c r="J106" s="12" t="n"/>
      <c r="K106" s="12" t="n"/>
      <c r="L106" s="12" t="n"/>
      <c r="M106" s="12" t="n"/>
      <c r="N106" s="12" t="n"/>
      <c r="O106" s="12" t="inlineStr">
        <is>
          <t>pz</t>
        </is>
      </c>
      <c r="P106" s="10" t="n"/>
      <c r="Q106" s="6">
        <f>IFERROR(VLOOKUP($D106,LISTINO!$B:$I,6,FALSE),IFERROR(VLOOKUP($E106,LISTINO!$C:$I,5,FALSE),""))</f>
        <v/>
      </c>
      <c r="R106" s="13">
        <f>IF(AND(ISNUMBER(G106),ISNUMBER(Q106)),G106*Q106,"")</f>
        <v/>
      </c>
    </row>
    <row r="107">
      <c r="A107" s="5" t="inlineStr">
        <is>
          <t>PILASTRO CUSCINETTO</t>
        </is>
      </c>
      <c r="B107" s="5" t="n"/>
      <c r="C107" s="12" t="n">
        <v>2</v>
      </c>
      <c r="D107" s="5" t="inlineStr">
        <is>
          <t>TTS.PC.001.IPEA140.37</t>
        </is>
      </c>
      <c r="E107" s="5" t="inlineStr">
        <is>
          <t>Pilastro cuscinetto trave IPEA 140 mt.3,70 (alleggerita)</t>
        </is>
      </c>
      <c r="F107" s="5" t="inlineStr">
        <is>
          <t>Carpenteria metallica</t>
        </is>
      </c>
      <c r="G107" s="12" t="n">
        <v>0</v>
      </c>
      <c r="H107" s="12" t="n"/>
      <c r="I107" s="12" t="n"/>
      <c r="J107" s="12" t="n"/>
      <c r="K107" s="12" t="n"/>
      <c r="L107" s="12" t="n"/>
      <c r="M107" s="12" t="n"/>
      <c r="N107" s="12" t="n"/>
      <c r="O107" s="12" t="inlineStr">
        <is>
          <t>pz</t>
        </is>
      </c>
      <c r="P107" s="10" t="n"/>
      <c r="Q107" s="6">
        <f>IFERROR(VLOOKUP($D107,LISTINO!$B:$I,6,FALSE),IFERROR(VLOOKUP($E107,LISTINO!$C:$I,5,FALSE),""))</f>
        <v/>
      </c>
      <c r="R107" s="13">
        <f>IF(AND(ISNUMBER(G107),ISNUMBER(Q107)),G107*Q107,"")</f>
        <v/>
      </c>
    </row>
    <row r="108">
      <c r="A108" s="5" t="inlineStr">
        <is>
          <t>PILASTRO CUSCINETTO</t>
        </is>
      </c>
      <c r="B108" s="5" t="n"/>
      <c r="C108" s="12" t="n">
        <v>2</v>
      </c>
      <c r="D108" s="5" t="inlineStr">
        <is>
          <t>TTS.PC.001.IPE140.38</t>
        </is>
      </c>
      <c r="E108" s="5" t="inlineStr">
        <is>
          <t>Pilastro cuscinetto trave IPE 140 mt.3,80</t>
        </is>
      </c>
      <c r="F108" s="5" t="inlineStr">
        <is>
          <t>Carpenteria metallica</t>
        </is>
      </c>
      <c r="G108" s="12" t="n">
        <v>0</v>
      </c>
      <c r="H108" s="12" t="n"/>
      <c r="I108" s="12" t="n"/>
      <c r="J108" s="12" t="n"/>
      <c r="K108" s="12" t="n"/>
      <c r="L108" s="12" t="n"/>
      <c r="M108" s="12" t="n"/>
      <c r="N108" s="12" t="n"/>
      <c r="O108" s="12" t="inlineStr">
        <is>
          <t>pz</t>
        </is>
      </c>
      <c r="P108" s="10" t="n"/>
      <c r="Q108" s="6">
        <f>IFERROR(VLOOKUP($D108,LISTINO!$B:$I,6,FALSE),IFERROR(VLOOKUP($E108,LISTINO!$C:$I,5,FALSE),""))</f>
        <v/>
      </c>
      <c r="R108" s="13">
        <f>IF(AND(ISNUMBER(G108),ISNUMBER(Q108)),G108*Q108,"")</f>
        <v/>
      </c>
    </row>
    <row r="109">
      <c r="A109" s="5" t="inlineStr">
        <is>
          <t>PILASTRO CUSCINETTO</t>
        </is>
      </c>
      <c r="B109" s="5" t="n"/>
      <c r="C109" s="12" t="n">
        <v>2</v>
      </c>
      <c r="D109" s="5" t="inlineStr">
        <is>
          <t>TTS.PC.001.IPEA140.38</t>
        </is>
      </c>
      <c r="E109" s="5" t="inlineStr">
        <is>
          <t>Pilastro cuscinetto trave IPEA 140 mt.3,80 (alleggerita)</t>
        </is>
      </c>
      <c r="F109" s="5" t="inlineStr">
        <is>
          <t>Carpenteria metallica</t>
        </is>
      </c>
      <c r="G109" s="12" t="n">
        <v>0</v>
      </c>
      <c r="H109" s="12" t="n"/>
      <c r="I109" s="12" t="n"/>
      <c r="J109" s="12" t="n"/>
      <c r="K109" s="12" t="n"/>
      <c r="L109" s="12" t="n"/>
      <c r="M109" s="12" t="n"/>
      <c r="N109" s="12" t="n"/>
      <c r="O109" s="12" t="inlineStr">
        <is>
          <t>pz</t>
        </is>
      </c>
      <c r="P109" s="10" t="n"/>
      <c r="Q109" s="6">
        <f>IFERROR(VLOOKUP($D109,LISTINO!$B:$I,6,FALSE),IFERROR(VLOOKUP($E109,LISTINO!$C:$I,5,FALSE),""))</f>
        <v/>
      </c>
      <c r="R109" s="13">
        <f>IF(AND(ISNUMBER(G109),ISNUMBER(Q109)),G109*Q109,"")</f>
        <v/>
      </c>
    </row>
    <row r="110">
      <c r="A110" s="5" t="inlineStr">
        <is>
          <t>PILASTRO CUSCINETTO</t>
        </is>
      </c>
      <c r="B110" s="5" t="n"/>
      <c r="C110" s="12" t="n">
        <v>2</v>
      </c>
      <c r="D110" s="5" t="inlineStr">
        <is>
          <t>TTS.PC.001.IPE140.39</t>
        </is>
      </c>
      <c r="E110" s="5" t="inlineStr">
        <is>
          <t>Pilastro cuscinetto trave IPE 140 mt.3,90</t>
        </is>
      </c>
      <c r="F110" s="5" t="inlineStr">
        <is>
          <t>Carpenteria metallica</t>
        </is>
      </c>
      <c r="G110" s="12" t="n">
        <v>0</v>
      </c>
      <c r="H110" s="12" t="n"/>
      <c r="I110" s="12" t="n"/>
      <c r="J110" s="12" t="n"/>
      <c r="K110" s="12" t="n"/>
      <c r="L110" s="12" t="n"/>
      <c r="M110" s="12" t="n"/>
      <c r="N110" s="12" t="n"/>
      <c r="O110" s="12" t="inlineStr">
        <is>
          <t>pz</t>
        </is>
      </c>
      <c r="P110" s="10" t="n"/>
      <c r="Q110" s="6">
        <f>IFERROR(VLOOKUP($D110,LISTINO!$B:$I,6,FALSE),IFERROR(VLOOKUP($E110,LISTINO!$C:$I,5,FALSE),""))</f>
        <v/>
      </c>
      <c r="R110" s="13">
        <f>IF(AND(ISNUMBER(G110),ISNUMBER(Q110)),G110*Q110,"")</f>
        <v/>
      </c>
    </row>
    <row r="111">
      <c r="A111" s="5" t="inlineStr">
        <is>
          <t>PILASTRO CUSCINETTO</t>
        </is>
      </c>
      <c r="B111" s="5" t="n"/>
      <c r="C111" s="12" t="n">
        <v>2</v>
      </c>
      <c r="D111" s="5" t="inlineStr">
        <is>
          <t>TTS.PC.001.IPEA140.39</t>
        </is>
      </c>
      <c r="E111" s="5" t="inlineStr">
        <is>
          <t>Pilastro cuscinetto trave IPEA 140 mt.3,90 (alleggerita)</t>
        </is>
      </c>
      <c r="F111" s="5" t="inlineStr">
        <is>
          <t>Carpenteria metallica</t>
        </is>
      </c>
      <c r="G111" s="12" t="n">
        <v>0</v>
      </c>
      <c r="H111" s="12" t="n"/>
      <c r="I111" s="12" t="n"/>
      <c r="J111" s="12" t="n"/>
      <c r="K111" s="12" t="n"/>
      <c r="L111" s="12" t="n"/>
      <c r="M111" s="12" t="n"/>
      <c r="N111" s="12" t="n"/>
      <c r="O111" s="12" t="inlineStr">
        <is>
          <t>pz</t>
        </is>
      </c>
      <c r="P111" s="10" t="n"/>
      <c r="Q111" s="6">
        <f>IFERROR(VLOOKUP($D111,LISTINO!$B:$I,6,FALSE),IFERROR(VLOOKUP($E111,LISTINO!$C:$I,5,FALSE),""))</f>
        <v/>
      </c>
      <c r="R111" s="13">
        <f>IF(AND(ISNUMBER(G111),ISNUMBER(Q111)),G111*Q111,"")</f>
        <v/>
      </c>
    </row>
    <row r="112">
      <c r="A112" s="5" t="inlineStr">
        <is>
          <t>PILASTRO CUSCINETTO</t>
        </is>
      </c>
      <c r="B112" s="5" t="n"/>
      <c r="C112" s="12" t="n">
        <v>2</v>
      </c>
      <c r="D112" s="5" t="inlineStr">
        <is>
          <t>TTS.PC.001.IPE140.40</t>
        </is>
      </c>
      <c r="E112" s="5" t="inlineStr">
        <is>
          <t>Pilastro cuscinetto trave IPE 140 mt.4,00</t>
        </is>
      </c>
      <c r="F112" s="5" t="inlineStr">
        <is>
          <t>Carpenteria metallica</t>
        </is>
      </c>
      <c r="G112" s="12" t="n">
        <v>0</v>
      </c>
      <c r="H112" s="12" t="n"/>
      <c r="I112" s="12" t="n"/>
      <c r="J112" s="12" t="n"/>
      <c r="K112" s="12" t="n"/>
      <c r="L112" s="12" t="n"/>
      <c r="M112" s="12" t="n"/>
      <c r="N112" s="12" t="n"/>
      <c r="O112" s="12" t="inlineStr">
        <is>
          <t>pz</t>
        </is>
      </c>
      <c r="P112" s="10" t="n"/>
      <c r="Q112" s="6">
        <f>IFERROR(VLOOKUP($D112,LISTINO!$B:$I,6,FALSE),IFERROR(VLOOKUP($E112,LISTINO!$C:$I,5,FALSE),""))</f>
        <v/>
      </c>
      <c r="R112" s="13">
        <f>IF(AND(ISNUMBER(G112),ISNUMBER(Q112)),G112*Q112,"")</f>
        <v/>
      </c>
    </row>
    <row r="113">
      <c r="A113" s="5" t="inlineStr">
        <is>
          <t>PILASTRO CUSCINETTO</t>
        </is>
      </c>
      <c r="B113" s="5" t="n"/>
      <c r="C113" s="12" t="n">
        <v>2</v>
      </c>
      <c r="D113" s="5" t="inlineStr">
        <is>
          <t>TTS.PC.001.IPEA140.40</t>
        </is>
      </c>
      <c r="E113" s="5" t="inlineStr">
        <is>
          <t>Pilastro cuscinetto trave IPEA 140 mt.4,00 (alleggerita)</t>
        </is>
      </c>
      <c r="F113" s="5" t="inlineStr">
        <is>
          <t>Carpenteria metallica</t>
        </is>
      </c>
      <c r="G113" s="12" t="n">
        <v>0</v>
      </c>
      <c r="H113" s="12" t="n"/>
      <c r="I113" s="12" t="n"/>
      <c r="J113" s="12" t="n"/>
      <c r="K113" s="12" t="n"/>
      <c r="L113" s="12" t="n"/>
      <c r="M113" s="12" t="n"/>
      <c r="N113" s="12" t="n"/>
      <c r="O113" s="12" t="inlineStr">
        <is>
          <t>pz</t>
        </is>
      </c>
      <c r="P113" s="10" t="n"/>
      <c r="Q113" s="6">
        <f>IFERROR(VLOOKUP($D113,LISTINO!$B:$I,6,FALSE),IFERROR(VLOOKUP($E113,LISTINO!$C:$I,5,FALSE),""))</f>
        <v/>
      </c>
      <c r="R113" s="13">
        <f>IF(AND(ISNUMBER(G113),ISNUMBER(Q113)),G113*Q113,"")</f>
        <v/>
      </c>
    </row>
    <row r="114">
      <c r="A114" s="5" t="inlineStr">
        <is>
          <t>PILASTRO CUSCINETTO</t>
        </is>
      </c>
      <c r="B114" s="5" t="n"/>
      <c r="C114" s="12" t="n">
        <v>2</v>
      </c>
      <c r="D114" s="5" t="inlineStr">
        <is>
          <t>TTS.PC.001.IPE140.41</t>
        </is>
      </c>
      <c r="E114" s="5" t="inlineStr">
        <is>
          <t>Pilastro cuscinetto trave IPE 140 mt.4,10</t>
        </is>
      </c>
      <c r="F114" s="5" t="inlineStr">
        <is>
          <t>Carpenteria metallica</t>
        </is>
      </c>
      <c r="G114" s="12" t="n">
        <v>0</v>
      </c>
      <c r="H114" s="12" t="n"/>
      <c r="I114" s="12" t="n"/>
      <c r="J114" s="12" t="n"/>
      <c r="K114" s="12" t="n"/>
      <c r="L114" s="12" t="n"/>
      <c r="M114" s="12" t="n"/>
      <c r="N114" s="12" t="n"/>
      <c r="O114" s="12" t="inlineStr">
        <is>
          <t>pz</t>
        </is>
      </c>
      <c r="P114" s="10" t="n"/>
      <c r="Q114" s="6">
        <f>IFERROR(VLOOKUP($D114,LISTINO!$B:$I,6,FALSE),IFERROR(VLOOKUP($E114,LISTINO!$C:$I,5,FALSE),""))</f>
        <v/>
      </c>
      <c r="R114" s="13">
        <f>IF(AND(ISNUMBER(G114),ISNUMBER(Q114)),G114*Q114,"")</f>
        <v/>
      </c>
    </row>
    <row r="115">
      <c r="A115" s="5" t="inlineStr">
        <is>
          <t>PILASTRO CUSCINETTO</t>
        </is>
      </c>
      <c r="B115" s="5" t="n"/>
      <c r="C115" s="12" t="n">
        <v>2</v>
      </c>
      <c r="D115" s="5" t="inlineStr">
        <is>
          <t>TTS.PC.001.IPEA140.41</t>
        </is>
      </c>
      <c r="E115" s="5" t="inlineStr">
        <is>
          <t>Pilastro cuscinetto trave IPEA 140 mt.4,10 (alleggerita)</t>
        </is>
      </c>
      <c r="F115" s="5" t="inlineStr">
        <is>
          <t>Carpenteria metallica</t>
        </is>
      </c>
      <c r="G115" s="12" t="n">
        <v>0</v>
      </c>
      <c r="H115" s="12" t="n"/>
      <c r="I115" s="12" t="n"/>
      <c r="J115" s="12" t="n"/>
      <c r="K115" s="12" t="n"/>
      <c r="L115" s="12" t="n"/>
      <c r="M115" s="12" t="n"/>
      <c r="N115" s="12" t="n"/>
      <c r="O115" s="12" t="inlineStr">
        <is>
          <t>pz</t>
        </is>
      </c>
      <c r="P115" s="10" t="n"/>
      <c r="Q115" s="6">
        <f>IFERROR(VLOOKUP($D115,LISTINO!$B:$I,6,FALSE),IFERROR(VLOOKUP($E115,LISTINO!$C:$I,5,FALSE),""))</f>
        <v/>
      </c>
      <c r="R115" s="13">
        <f>IF(AND(ISNUMBER(G115),ISNUMBER(Q115)),G115*Q115,"")</f>
        <v/>
      </c>
    </row>
    <row r="116">
      <c r="A116" s="5" t="inlineStr">
        <is>
          <t>PILASTRO CUSCINETTO</t>
        </is>
      </c>
      <c r="B116" s="5" t="n"/>
      <c r="C116" s="12" t="n">
        <v>2</v>
      </c>
      <c r="D116" s="5" t="inlineStr">
        <is>
          <t>TTS.PC.001.IPE140.42</t>
        </is>
      </c>
      <c r="E116" s="5" t="inlineStr">
        <is>
          <t>Pilastro cuscinetto trave IPE 140 mt.4,20</t>
        </is>
      </c>
      <c r="F116" s="5" t="inlineStr">
        <is>
          <t>Carpenteria metallica</t>
        </is>
      </c>
      <c r="G116" s="12" t="n">
        <v>0</v>
      </c>
      <c r="H116" s="12" t="n"/>
      <c r="I116" s="12" t="n"/>
      <c r="J116" s="12" t="n"/>
      <c r="K116" s="12" t="n"/>
      <c r="L116" s="12" t="n"/>
      <c r="M116" s="12" t="n"/>
      <c r="N116" s="12" t="n"/>
      <c r="O116" s="12" t="inlineStr">
        <is>
          <t>pz</t>
        </is>
      </c>
      <c r="P116" s="10" t="n"/>
      <c r="Q116" s="6">
        <f>IFERROR(VLOOKUP($D116,LISTINO!$B:$I,6,FALSE),IFERROR(VLOOKUP($E116,LISTINO!$C:$I,5,FALSE),""))</f>
        <v/>
      </c>
      <c r="R116" s="13">
        <f>IF(AND(ISNUMBER(G116),ISNUMBER(Q116)),G116*Q116,"")</f>
        <v/>
      </c>
    </row>
    <row r="117">
      <c r="A117" s="5" t="inlineStr">
        <is>
          <t>PILASTRO CUSCINETTO</t>
        </is>
      </c>
      <c r="B117" s="5" t="n"/>
      <c r="C117" s="12" t="n">
        <v>2</v>
      </c>
      <c r="D117" s="5" t="inlineStr">
        <is>
          <t>TTS.PC.001.IPEA140.42</t>
        </is>
      </c>
      <c r="E117" s="5" t="inlineStr">
        <is>
          <t>Pilastro cuscinetto trave IPEA 140 mt.4,20 (alleggerita)</t>
        </is>
      </c>
      <c r="F117" s="5" t="inlineStr">
        <is>
          <t>Carpenteria metallica</t>
        </is>
      </c>
      <c r="G117" s="12" t="n">
        <v>0</v>
      </c>
      <c r="H117" s="12" t="n"/>
      <c r="I117" s="12" t="n"/>
      <c r="J117" s="12" t="n"/>
      <c r="K117" s="12" t="n"/>
      <c r="L117" s="12" t="n"/>
      <c r="M117" s="12" t="n"/>
      <c r="N117" s="12" t="n"/>
      <c r="O117" s="12" t="inlineStr">
        <is>
          <t>pz</t>
        </is>
      </c>
      <c r="P117" s="10" t="n"/>
      <c r="Q117" s="6">
        <f>IFERROR(VLOOKUP($D117,LISTINO!$B:$I,6,FALSE),IFERROR(VLOOKUP($E117,LISTINO!$C:$I,5,FALSE),""))</f>
        <v/>
      </c>
      <c r="R117" s="13">
        <f>IF(AND(ISNUMBER(G117),ISNUMBER(Q117)),G117*Q117,"")</f>
        <v/>
      </c>
    </row>
    <row r="118">
      <c r="A118" s="5" t="inlineStr">
        <is>
          <t>PILASTRO CUSCINETTO</t>
        </is>
      </c>
      <c r="B118" s="5" t="n"/>
      <c r="C118" s="12" t="n">
        <v>2</v>
      </c>
      <c r="D118" s="5" t="inlineStr">
        <is>
          <t>TTS.PC.001.IPE140.43</t>
        </is>
      </c>
      <c r="E118" s="5" t="inlineStr">
        <is>
          <t>Pilastro cuscinetto trave IPE 140 mt.4,30</t>
        </is>
      </c>
      <c r="F118" s="5" t="inlineStr">
        <is>
          <t>Carpenteria metallica</t>
        </is>
      </c>
      <c r="G118" s="12" t="n">
        <v>0</v>
      </c>
      <c r="H118" s="12" t="n"/>
      <c r="I118" s="12" t="n"/>
      <c r="J118" s="12" t="n"/>
      <c r="K118" s="12" t="n"/>
      <c r="L118" s="12" t="n"/>
      <c r="M118" s="12" t="n"/>
      <c r="N118" s="12" t="n"/>
      <c r="O118" s="12" t="inlineStr">
        <is>
          <t>pz</t>
        </is>
      </c>
      <c r="P118" s="10" t="n"/>
      <c r="Q118" s="6">
        <f>IFERROR(VLOOKUP($D118,LISTINO!$B:$I,6,FALSE),IFERROR(VLOOKUP($E118,LISTINO!$C:$I,5,FALSE),""))</f>
        <v/>
      </c>
      <c r="R118" s="13">
        <f>IF(AND(ISNUMBER(G118),ISNUMBER(Q118)),G118*Q118,"")</f>
        <v/>
      </c>
    </row>
    <row r="119">
      <c r="A119" s="5" t="inlineStr">
        <is>
          <t>PILASTRO CUSCINETTO</t>
        </is>
      </c>
      <c r="B119" s="5" t="n"/>
      <c r="C119" s="12" t="n">
        <v>2</v>
      </c>
      <c r="D119" s="5" t="inlineStr">
        <is>
          <t>TTS.PC.001.IPEA140.43</t>
        </is>
      </c>
      <c r="E119" s="5" t="inlineStr">
        <is>
          <t>Pilastro cuscinetto trave IPEA 140 mt.4,30 (alleggerita)</t>
        </is>
      </c>
      <c r="F119" s="5" t="inlineStr">
        <is>
          <t>Carpenteria metallica</t>
        </is>
      </c>
      <c r="G119" s="12" t="n">
        <v>0</v>
      </c>
      <c r="H119" s="12" t="n"/>
      <c r="I119" s="12" t="n"/>
      <c r="J119" s="12" t="n"/>
      <c r="K119" s="12" t="n"/>
      <c r="L119" s="12" t="n"/>
      <c r="M119" s="12" t="n"/>
      <c r="N119" s="12" t="n"/>
      <c r="O119" s="12" t="inlineStr">
        <is>
          <t>pz</t>
        </is>
      </c>
      <c r="P119" s="10" t="n"/>
      <c r="Q119" s="6">
        <f>IFERROR(VLOOKUP($D119,LISTINO!$B:$I,6,FALSE),IFERROR(VLOOKUP($E119,LISTINO!$C:$I,5,FALSE),""))</f>
        <v/>
      </c>
      <c r="R119" s="13">
        <f>IF(AND(ISNUMBER(G119),ISNUMBER(Q119)),G119*Q119,"")</f>
        <v/>
      </c>
    </row>
    <row r="120">
      <c r="A120" s="5" t="inlineStr">
        <is>
          <t>PILASTRO CUSCINETTO</t>
        </is>
      </c>
      <c r="B120" s="5" t="n"/>
      <c r="C120" s="12" t="n">
        <v>2</v>
      </c>
      <c r="D120" s="5" t="inlineStr">
        <is>
          <t>TTS.PC.001.IPE140.44</t>
        </is>
      </c>
      <c r="E120" s="5" t="inlineStr">
        <is>
          <t>Pilastro cuscinetto trave IPE 140 mt.4,40</t>
        </is>
      </c>
      <c r="F120" s="5" t="inlineStr">
        <is>
          <t>Carpenteria metallica</t>
        </is>
      </c>
      <c r="G120" s="12" t="n">
        <v>0</v>
      </c>
      <c r="H120" s="12" t="n"/>
      <c r="I120" s="12" t="n"/>
      <c r="J120" s="12" t="n"/>
      <c r="K120" s="12" t="n"/>
      <c r="L120" s="12" t="n"/>
      <c r="M120" s="12" t="n"/>
      <c r="N120" s="12" t="n"/>
      <c r="O120" s="12" t="inlineStr">
        <is>
          <t>pz</t>
        </is>
      </c>
      <c r="P120" s="10" t="n"/>
      <c r="Q120" s="6">
        <f>IFERROR(VLOOKUP($D120,LISTINO!$B:$I,6,FALSE),IFERROR(VLOOKUP($E120,LISTINO!$C:$I,5,FALSE),""))</f>
        <v/>
      </c>
      <c r="R120" s="13">
        <f>IF(AND(ISNUMBER(G120),ISNUMBER(Q120)),G120*Q120,"")</f>
        <v/>
      </c>
    </row>
    <row r="121">
      <c r="A121" s="5" t="inlineStr">
        <is>
          <t>PILASTRO CUSCINETTO</t>
        </is>
      </c>
      <c r="B121" s="5" t="n"/>
      <c r="C121" s="12" t="n">
        <v>2</v>
      </c>
      <c r="D121" s="5" t="inlineStr">
        <is>
          <t>TTS.PC.001.IPEA140.44</t>
        </is>
      </c>
      <c r="E121" s="5" t="inlineStr">
        <is>
          <t>Pilastro cuscinetto trave IPEA 140 mt.4,40 (alleggerita)</t>
        </is>
      </c>
      <c r="F121" s="5" t="inlineStr">
        <is>
          <t>Carpenteria metallica</t>
        </is>
      </c>
      <c r="G121" s="12" t="n">
        <v>0</v>
      </c>
      <c r="H121" s="12" t="n"/>
      <c r="I121" s="12" t="n"/>
      <c r="J121" s="12" t="n"/>
      <c r="K121" s="12" t="n"/>
      <c r="L121" s="12" t="n"/>
      <c r="M121" s="12" t="n"/>
      <c r="N121" s="12" t="n"/>
      <c r="O121" s="12" t="inlineStr">
        <is>
          <t>pz</t>
        </is>
      </c>
      <c r="P121" s="10" t="n"/>
      <c r="Q121" s="6">
        <f>IFERROR(VLOOKUP($D121,LISTINO!$B:$I,6,FALSE),IFERROR(VLOOKUP($E121,LISTINO!$C:$I,5,FALSE),""))</f>
        <v/>
      </c>
      <c r="R121" s="13">
        <f>IF(AND(ISNUMBER(G121),ISNUMBER(Q121)),G121*Q121,"")</f>
        <v/>
      </c>
    </row>
    <row r="122">
      <c r="A122" s="5" t="inlineStr">
        <is>
          <t>PILASTRO CUSCINETTO</t>
        </is>
      </c>
      <c r="B122" s="5" t="n"/>
      <c r="C122" s="12" t="n">
        <v>2</v>
      </c>
      <c r="D122" s="5" t="inlineStr">
        <is>
          <t>TTS.PC.001.IPE140.45</t>
        </is>
      </c>
      <c r="E122" s="5" t="inlineStr">
        <is>
          <t>Pilastro cuscinetto trave IPE 140 mt.4,50</t>
        </is>
      </c>
      <c r="F122" s="5" t="inlineStr">
        <is>
          <t>Carpenteria metallica</t>
        </is>
      </c>
      <c r="G122" s="12" t="n">
        <v>0</v>
      </c>
      <c r="H122" s="12" t="n"/>
      <c r="I122" s="12" t="n"/>
      <c r="J122" s="12" t="n"/>
      <c r="K122" s="12" t="n"/>
      <c r="L122" s="12" t="n"/>
      <c r="M122" s="12" t="n"/>
      <c r="N122" s="12" t="n"/>
      <c r="O122" s="12" t="inlineStr">
        <is>
          <t>pz</t>
        </is>
      </c>
      <c r="P122" s="10" t="n"/>
      <c r="Q122" s="6">
        <f>IFERROR(VLOOKUP($D122,LISTINO!$B:$I,6,FALSE),IFERROR(VLOOKUP($E122,LISTINO!$C:$I,5,FALSE),""))</f>
        <v/>
      </c>
      <c r="R122" s="13">
        <f>IF(AND(ISNUMBER(G122),ISNUMBER(Q122)),G122*Q122,"")</f>
        <v/>
      </c>
    </row>
    <row r="123">
      <c r="A123" s="5" t="inlineStr">
        <is>
          <t>PILASTRO CUSCINETTO</t>
        </is>
      </c>
      <c r="B123" s="5" t="n"/>
      <c r="C123" s="12" t="n">
        <v>2</v>
      </c>
      <c r="D123" s="5" t="inlineStr">
        <is>
          <t>TTS.PC.001.IPEA140.45</t>
        </is>
      </c>
      <c r="E123" s="5" t="inlineStr">
        <is>
          <t>Pilastro cuscinetto trave IPEA 140 mt.4,50 (alleggerita)</t>
        </is>
      </c>
      <c r="F123" s="5" t="inlineStr">
        <is>
          <t>Carpenteria metallica</t>
        </is>
      </c>
      <c r="G123" s="12" t="n">
        <v>0</v>
      </c>
      <c r="H123" s="12" t="n"/>
      <c r="I123" s="12" t="n"/>
      <c r="J123" s="12" t="n"/>
      <c r="K123" s="12" t="n"/>
      <c r="L123" s="12" t="n"/>
      <c r="M123" s="12" t="n"/>
      <c r="N123" s="12" t="n"/>
      <c r="O123" s="12" t="inlineStr">
        <is>
          <t>pz</t>
        </is>
      </c>
      <c r="P123" s="10" t="n"/>
      <c r="Q123" s="6">
        <f>IFERROR(VLOOKUP($D123,LISTINO!$B:$I,6,FALSE),IFERROR(VLOOKUP($E123,LISTINO!$C:$I,5,FALSE),""))</f>
        <v/>
      </c>
      <c r="R123" s="13">
        <f>IF(AND(ISNUMBER(G123),ISNUMBER(Q123)),G123*Q123,"")</f>
        <v/>
      </c>
    </row>
    <row r="124">
      <c r="A124" s="5" t="inlineStr">
        <is>
          <t>PILASTRO CUSCINETTO</t>
        </is>
      </c>
      <c r="B124" s="5" t="n"/>
      <c r="C124" s="12" t="n">
        <v>3</v>
      </c>
      <c r="D124" s="5" t="inlineStr">
        <is>
          <t>TTS.PF.002.IPE140</t>
        </is>
      </c>
      <c r="E124" s="5" t="inlineStr">
        <is>
          <t>Piastra giunzione montanti centrale 200x100x4 (8 fori Ø 11)</t>
        </is>
      </c>
      <c r="F124" s="5" t="inlineStr">
        <is>
          <t>Carpenteria metallica</t>
        </is>
      </c>
      <c r="G124" s="12" t="n">
        <v>2</v>
      </c>
      <c r="H124" s="12" t="n">
        <v>4</v>
      </c>
      <c r="I124" s="12" t="n">
        <v>8</v>
      </c>
      <c r="J124" s="12" t="n">
        <v>8</v>
      </c>
      <c r="K124" s="12" t="n">
        <v>8</v>
      </c>
      <c r="L124" s="12" t="n">
        <v>16</v>
      </c>
      <c r="M124" s="12" t="n">
        <v>20</v>
      </c>
      <c r="N124" s="12" t="n"/>
      <c r="O124" s="12" t="inlineStr">
        <is>
          <t>pz</t>
        </is>
      </c>
      <c r="P124" s="10" t="n"/>
      <c r="Q124" s="6">
        <f>IFERROR(VLOOKUP($D124,LISTINO!$B:$I,6,FALSE),IFERROR(VLOOKUP($E124,LISTINO!$C:$I,5,FALSE),""))</f>
        <v/>
      </c>
      <c r="R124" s="13">
        <f>IF(AND(ISNUMBER(G124),ISNUMBER(Q124)),G124*Q124,"")</f>
        <v/>
      </c>
    </row>
    <row r="125">
      <c r="A125" s="5" t="inlineStr">
        <is>
          <t>PILASTRO CUSCINETTO</t>
        </is>
      </c>
      <c r="B125" s="5" t="n"/>
      <c r="C125" s="12" t="n">
        <v>4</v>
      </c>
      <c r="D125" s="5" t="inlineStr">
        <is>
          <t>10BZM10X40</t>
        </is>
      </c>
      <c r="E125" s="5" t="inlineStr">
        <is>
          <t>Bullone testa esagonale M10X40</t>
        </is>
      </c>
      <c r="F125" s="5" t="inlineStr">
        <is>
          <t>Bulloneria e minuteria</t>
        </is>
      </c>
      <c r="G125" s="12" t="n">
        <v>8</v>
      </c>
      <c r="H125" s="12" t="n">
        <v>16</v>
      </c>
      <c r="I125" s="12" t="n">
        <v>32</v>
      </c>
      <c r="J125" s="12" t="n">
        <v>32</v>
      </c>
      <c r="K125" s="12" t="n">
        <v>32</v>
      </c>
      <c r="L125" s="12" t="n">
        <v>64</v>
      </c>
      <c r="M125" s="12" t="n">
        <v>80</v>
      </c>
      <c r="N125" s="12" t="n"/>
      <c r="O125" s="12" t="inlineStr">
        <is>
          <t>pz</t>
        </is>
      </c>
      <c r="P125" s="10" t="n"/>
      <c r="Q125" s="6">
        <f>IFERROR(VLOOKUP($D125,LISTINO!$B:$I,6,FALSE),IFERROR(VLOOKUP($E125,LISTINO!$C:$I,5,FALSE),""))</f>
        <v/>
      </c>
      <c r="R125" s="13">
        <f>IF(AND(ISNUMBER(G125),ISNUMBER(Q125)),G125*Q125,"")</f>
        <v/>
      </c>
    </row>
    <row r="126">
      <c r="A126" s="5" t="inlineStr">
        <is>
          <t>PILASTRO CUSCINETTO</t>
        </is>
      </c>
      <c r="B126" s="5" t="n"/>
      <c r="C126" s="12" t="n">
        <v>5</v>
      </c>
      <c r="D126" s="5" t="inlineStr">
        <is>
          <t>10ROND10</t>
        </is>
      </c>
      <c r="E126" s="5" t="inlineStr">
        <is>
          <t>Rondella zn da 10</t>
        </is>
      </c>
      <c r="F126" s="5" t="inlineStr">
        <is>
          <t>Bulloneria e minuteria</t>
        </is>
      </c>
      <c r="G126" s="12" t="n">
        <v>8</v>
      </c>
      <c r="H126" s="12" t="n">
        <v>16</v>
      </c>
      <c r="I126" s="12" t="n">
        <v>32</v>
      </c>
      <c r="J126" s="12" t="n">
        <v>32</v>
      </c>
      <c r="K126" s="12" t="n">
        <v>32</v>
      </c>
      <c r="L126" s="12" t="n">
        <v>64</v>
      </c>
      <c r="M126" s="12" t="n">
        <v>80</v>
      </c>
      <c r="N126" s="12" t="n"/>
      <c r="O126" s="12" t="inlineStr">
        <is>
          <t>pz</t>
        </is>
      </c>
      <c r="P126" s="10" t="n"/>
      <c r="Q126" s="6">
        <f>IFERROR(VLOOKUP($D126,LISTINO!$B:$I,6,FALSE),IFERROR(VLOOKUP($E126,LISTINO!$C:$I,5,FALSE),""))</f>
        <v/>
      </c>
      <c r="R126" s="13">
        <f>IF(AND(ISNUMBER(G126),ISNUMBER(Q126)),G126*Q126,"")</f>
        <v/>
      </c>
    </row>
    <row r="127">
      <c r="A127" s="5" t="inlineStr">
        <is>
          <t>PILASTRO CUSCINETTO</t>
        </is>
      </c>
      <c r="B127" s="5" t="n"/>
      <c r="C127" s="12" t="n">
        <v>6</v>
      </c>
      <c r="D127" s="5" t="inlineStr">
        <is>
          <t>10ROND10</t>
        </is>
      </c>
      <c r="E127" s="5" t="inlineStr">
        <is>
          <t>Rondella zn da 10</t>
        </is>
      </c>
      <c r="F127" s="5" t="inlineStr">
        <is>
          <t>Bulloneria e minuteria</t>
        </is>
      </c>
      <c r="G127" s="12" t="n">
        <v>8</v>
      </c>
      <c r="H127" s="12" t="n">
        <v>16</v>
      </c>
      <c r="I127" s="12" t="n">
        <v>32</v>
      </c>
      <c r="J127" s="12" t="n">
        <v>32</v>
      </c>
      <c r="K127" s="12" t="n">
        <v>32</v>
      </c>
      <c r="L127" s="12" t="n">
        <v>64</v>
      </c>
      <c r="M127" s="12" t="n">
        <v>80</v>
      </c>
      <c r="N127" s="12" t="n"/>
      <c r="O127" s="12" t="inlineStr">
        <is>
          <t>pz</t>
        </is>
      </c>
      <c r="P127" s="10" t="n"/>
      <c r="Q127" s="6">
        <f>IFERROR(VLOOKUP($D127,LISTINO!$B:$I,6,FALSE),IFERROR(VLOOKUP($E127,LISTINO!$C:$I,5,FALSE),""))</f>
        <v/>
      </c>
      <c r="R127" s="13">
        <f>IF(AND(ISNUMBER(G127),ISNUMBER(Q127)),G127*Q127,"")</f>
        <v/>
      </c>
    </row>
    <row r="128">
      <c r="A128" s="5" t="inlineStr">
        <is>
          <t>PILASTRO CUSCINETTO</t>
        </is>
      </c>
      <c r="B128" s="5" t="n"/>
      <c r="C128" s="12" t="n">
        <v>7</v>
      </c>
      <c r="D128" s="5" t="inlineStr">
        <is>
          <t>10DAZAM10</t>
        </is>
      </c>
      <c r="E128" s="5" t="inlineStr">
        <is>
          <t>Dado autobloccante M10</t>
        </is>
      </c>
      <c r="F128" s="5" t="inlineStr">
        <is>
          <t>Bulloneria e minuteria</t>
        </is>
      </c>
      <c r="G128" s="12" t="n">
        <v>8</v>
      </c>
      <c r="H128" s="12" t="n">
        <v>16</v>
      </c>
      <c r="I128" s="12" t="n">
        <v>32</v>
      </c>
      <c r="J128" s="12" t="n">
        <v>32</v>
      </c>
      <c r="K128" s="12" t="n">
        <v>32</v>
      </c>
      <c r="L128" s="12" t="n">
        <v>64</v>
      </c>
      <c r="M128" s="12" t="n">
        <v>80</v>
      </c>
      <c r="N128" s="12" t="n"/>
      <c r="O128" s="12" t="inlineStr">
        <is>
          <t>pz</t>
        </is>
      </c>
      <c r="P128" s="10" t="n"/>
      <c r="Q128" s="6">
        <f>IFERROR(VLOOKUP($D128,LISTINO!$B:$I,6,FALSE),IFERROR(VLOOKUP($E128,LISTINO!$C:$I,5,FALSE),""))</f>
        <v/>
      </c>
      <c r="R128" s="13">
        <f>IF(AND(ISNUMBER(G128),ISNUMBER(Q128)),G128*Q128,"")</f>
        <v/>
      </c>
    </row>
    <row r="129">
      <c r="A129" s="5" t="inlineStr">
        <is>
          <t>PILASTRO CUSCINETTO</t>
        </is>
      </c>
      <c r="B129" s="5" t="n"/>
      <c r="C129" s="12" t="n">
        <v>1</v>
      </c>
      <c r="D129" s="5" t="inlineStr">
        <is>
          <t>TTS.PF.003.IPE140</t>
        </is>
      </c>
      <c r="E129" s="5" t="inlineStr">
        <is>
          <t>Piastra giunzione montanti esterna 240x70x6 (12 fori Ø 11)</t>
        </is>
      </c>
      <c r="F129" s="5" t="inlineStr">
        <is>
          <t>Carpenteria metallica</t>
        </is>
      </c>
      <c r="G129" s="12" t="n">
        <v>2</v>
      </c>
      <c r="H129" s="12" t="n">
        <v>4</v>
      </c>
      <c r="I129" s="12" t="n">
        <v>8</v>
      </c>
      <c r="J129" s="12" t="n">
        <v>8</v>
      </c>
      <c r="K129" s="12" t="n">
        <v>8</v>
      </c>
      <c r="L129" s="12" t="n">
        <v>16</v>
      </c>
      <c r="M129" s="12" t="n">
        <v>20</v>
      </c>
      <c r="N129" s="12" t="n"/>
      <c r="O129" s="12" t="inlineStr">
        <is>
          <t>pz</t>
        </is>
      </c>
      <c r="P129" s="10" t="n"/>
      <c r="Q129" s="6">
        <f>IFERROR(VLOOKUP($D129,LISTINO!$B:$I,6,FALSE),IFERROR(VLOOKUP($E129,LISTINO!$C:$I,5,FALSE),""))</f>
        <v/>
      </c>
      <c r="R129" s="13">
        <f>IF(AND(ISNUMBER(G129),ISNUMBER(Q129)),G129*Q129,"")</f>
        <v/>
      </c>
    </row>
    <row r="130">
      <c r="A130" s="5" t="inlineStr">
        <is>
          <t>PILASTRO CUSCINETTO</t>
        </is>
      </c>
      <c r="B130" s="5" t="n"/>
      <c r="C130" s="12" t="n">
        <v>2</v>
      </c>
      <c r="D130" s="5" t="inlineStr">
        <is>
          <t>TTS.PF.004.IPE140</t>
        </is>
      </c>
      <c r="E130" s="5" t="inlineStr">
        <is>
          <t>Piastra giunzione montanti interna 240x25x6 (6 fori Ø 11)</t>
        </is>
      </c>
      <c r="F130" s="5" t="inlineStr">
        <is>
          <t>Carpenteria metallica</t>
        </is>
      </c>
      <c r="G130" s="12" t="n">
        <v>4</v>
      </c>
      <c r="H130" s="12" t="n">
        <v>8</v>
      </c>
      <c r="I130" s="12" t="n">
        <v>16</v>
      </c>
      <c r="J130" s="12" t="n">
        <v>16</v>
      </c>
      <c r="K130" s="12" t="n">
        <v>16</v>
      </c>
      <c r="L130" s="12" t="n">
        <v>32</v>
      </c>
      <c r="M130" s="12" t="n">
        <v>40</v>
      </c>
      <c r="N130" s="12" t="n"/>
      <c r="O130" s="12" t="inlineStr">
        <is>
          <t>pz</t>
        </is>
      </c>
      <c r="P130" s="10" t="n"/>
      <c r="Q130" s="6">
        <f>IFERROR(VLOOKUP($D130,LISTINO!$B:$I,6,FALSE),IFERROR(VLOOKUP($E130,LISTINO!$C:$I,5,FALSE),""))</f>
        <v/>
      </c>
      <c r="R130" s="13">
        <f>IF(AND(ISNUMBER(G130),ISNUMBER(Q130)),G130*Q130,"")</f>
        <v/>
      </c>
    </row>
    <row r="131">
      <c r="A131" s="5" t="inlineStr">
        <is>
          <t>PILASTRO CUSCINETTO</t>
        </is>
      </c>
      <c r="B131" s="5" t="n"/>
      <c r="C131" s="12" t="n">
        <v>3</v>
      </c>
      <c r="D131" s="5" t="inlineStr">
        <is>
          <t>10BZM10X40</t>
        </is>
      </c>
      <c r="E131" s="5" t="inlineStr">
        <is>
          <t>Bullone testa esagonale M10X40</t>
        </is>
      </c>
      <c r="F131" s="5" t="inlineStr">
        <is>
          <t>Bulloneria e minuteria</t>
        </is>
      </c>
      <c r="G131" s="12" t="n">
        <v>24</v>
      </c>
      <c r="H131" s="12" t="n">
        <v>48</v>
      </c>
      <c r="I131" s="12" t="n">
        <v>96</v>
      </c>
      <c r="J131" s="12" t="n">
        <v>96</v>
      </c>
      <c r="K131" s="12" t="n">
        <v>96</v>
      </c>
      <c r="L131" s="12" t="n">
        <v>192</v>
      </c>
      <c r="M131" s="12" t="n">
        <v>240</v>
      </c>
      <c r="N131" s="12" t="n"/>
      <c r="O131" s="12" t="inlineStr">
        <is>
          <t>pz</t>
        </is>
      </c>
      <c r="P131" s="10" t="n"/>
      <c r="Q131" s="6">
        <f>IFERROR(VLOOKUP($D131,LISTINO!$B:$I,6,FALSE),IFERROR(VLOOKUP($E131,LISTINO!$C:$I,5,FALSE),""))</f>
        <v/>
      </c>
      <c r="R131" s="13">
        <f>IF(AND(ISNUMBER(G131),ISNUMBER(Q131)),G131*Q131,"")</f>
        <v/>
      </c>
    </row>
    <row r="132">
      <c r="A132" s="5" t="inlineStr">
        <is>
          <t>PILASTRO CUSCINETTO</t>
        </is>
      </c>
      <c r="B132" s="5" t="n"/>
      <c r="C132" s="12" t="n">
        <v>4</v>
      </c>
      <c r="D132" s="5" t="inlineStr">
        <is>
          <t>10ROND10</t>
        </is>
      </c>
      <c r="E132" s="5" t="inlineStr">
        <is>
          <t>Rondella zn da 10</t>
        </is>
      </c>
      <c r="F132" s="5" t="inlineStr">
        <is>
          <t>Bulloneria e minuteria</t>
        </is>
      </c>
      <c r="G132" s="12" t="n">
        <v>24</v>
      </c>
      <c r="H132" s="12" t="n">
        <v>48</v>
      </c>
      <c r="I132" s="12" t="n">
        <v>96</v>
      </c>
      <c r="J132" s="12" t="n">
        <v>96</v>
      </c>
      <c r="K132" s="12" t="n">
        <v>96</v>
      </c>
      <c r="L132" s="12" t="n">
        <v>192</v>
      </c>
      <c r="M132" s="12" t="n">
        <v>240</v>
      </c>
      <c r="N132" s="12" t="n"/>
      <c r="O132" s="12" t="inlineStr">
        <is>
          <t>pz</t>
        </is>
      </c>
      <c r="P132" s="10" t="n"/>
      <c r="Q132" s="6">
        <f>IFERROR(VLOOKUP($D132,LISTINO!$B:$I,6,FALSE),IFERROR(VLOOKUP($E132,LISTINO!$C:$I,5,FALSE),""))</f>
        <v/>
      </c>
      <c r="R132" s="13">
        <f>IF(AND(ISNUMBER(G132),ISNUMBER(Q132)),G132*Q132,"")</f>
        <v/>
      </c>
    </row>
    <row r="133">
      <c r="A133" s="5" t="inlineStr">
        <is>
          <t>PILASTRO CUSCINETTO</t>
        </is>
      </c>
      <c r="B133" s="5" t="n"/>
      <c r="C133" s="12" t="n">
        <v>5</v>
      </c>
      <c r="D133" s="5" t="inlineStr">
        <is>
          <t>10ROND10</t>
        </is>
      </c>
      <c r="E133" s="5" t="inlineStr">
        <is>
          <t>Rondella zn da 10</t>
        </is>
      </c>
      <c r="F133" s="5" t="inlineStr">
        <is>
          <t>Bulloneria e minuteria</t>
        </is>
      </c>
      <c r="G133" s="12" t="n">
        <v>24</v>
      </c>
      <c r="H133" s="12" t="n">
        <v>48</v>
      </c>
      <c r="I133" s="12" t="n">
        <v>96</v>
      </c>
      <c r="J133" s="12" t="n">
        <v>96</v>
      </c>
      <c r="K133" s="12" t="n">
        <v>96</v>
      </c>
      <c r="L133" s="12" t="n">
        <v>192</v>
      </c>
      <c r="M133" s="12" t="n">
        <v>240</v>
      </c>
      <c r="N133" s="12" t="n"/>
      <c r="O133" s="12" t="inlineStr">
        <is>
          <t>pz</t>
        </is>
      </c>
      <c r="P133" s="10" t="n"/>
      <c r="Q133" s="6">
        <f>IFERROR(VLOOKUP($D133,LISTINO!$B:$I,6,FALSE),IFERROR(VLOOKUP($E133,LISTINO!$C:$I,5,FALSE),""))</f>
        <v/>
      </c>
      <c r="R133" s="13">
        <f>IF(AND(ISNUMBER(G133),ISNUMBER(Q133)),G133*Q133,"")</f>
        <v/>
      </c>
    </row>
    <row r="134">
      <c r="A134" s="5" t="inlineStr">
        <is>
          <t>PILASTRO CUSCINETTO</t>
        </is>
      </c>
      <c r="B134" s="5" t="n"/>
      <c r="C134" s="12" t="n">
        <v>6</v>
      </c>
      <c r="D134" s="5" t="inlineStr">
        <is>
          <t>10DAZAM10</t>
        </is>
      </c>
      <c r="E134" s="5" t="inlineStr">
        <is>
          <t>Dado autobloccante M10</t>
        </is>
      </c>
      <c r="F134" s="5" t="inlineStr">
        <is>
          <t>Bulloneria e minuteria</t>
        </is>
      </c>
      <c r="G134" s="12" t="n">
        <v>24</v>
      </c>
      <c r="H134" s="12" t="n">
        <v>48</v>
      </c>
      <c r="I134" s="12" t="n">
        <v>96</v>
      </c>
      <c r="J134" s="12" t="n">
        <v>96</v>
      </c>
      <c r="K134" s="12" t="n">
        <v>96</v>
      </c>
      <c r="L134" s="12" t="n">
        <v>192</v>
      </c>
      <c r="M134" s="12" t="n">
        <v>240</v>
      </c>
      <c r="N134" s="12" t="n"/>
      <c r="O134" s="12" t="inlineStr">
        <is>
          <t>pz</t>
        </is>
      </c>
      <c r="P134" s="10" t="n"/>
      <c r="Q134" s="6">
        <f>IFERROR(VLOOKUP($D134,LISTINO!$B:$I,6,FALSE),IFERROR(VLOOKUP($E134,LISTINO!$C:$I,5,FALSE),""))</f>
        <v/>
      </c>
      <c r="R134" s="13">
        <f>IF(AND(ISNUMBER(G134),ISNUMBER(Q134)),G134*Q134,"")</f>
        <v/>
      </c>
    </row>
    <row r="135">
      <c r="A135" s="5" t="inlineStr">
        <is>
          <t>PILASTRO CUSCINETTO</t>
        </is>
      </c>
      <c r="B135" s="5" t="n"/>
      <c r="C135" s="12" t="n">
        <v>2</v>
      </c>
      <c r="D135" s="5" t="inlineStr">
        <is>
          <t>TTS.PC.002</t>
        </is>
      </c>
      <c r="E135" s="5" t="inlineStr">
        <is>
          <t>Supporto laterale pilastro cuscinetto</t>
        </is>
      </c>
      <c r="F135" s="5" t="inlineStr">
        <is>
          <t>Carpenteria metallica</t>
        </is>
      </c>
      <c r="G135" s="12" t="n">
        <v>2</v>
      </c>
      <c r="H135" s="12" t="n">
        <v>4</v>
      </c>
      <c r="I135" s="12" t="n">
        <v>8</v>
      </c>
      <c r="J135" s="12" t="n">
        <v>8</v>
      </c>
      <c r="K135" s="12" t="n">
        <v>8</v>
      </c>
      <c r="L135" s="12" t="n">
        <v>16</v>
      </c>
      <c r="M135" s="12" t="n">
        <v>20</v>
      </c>
      <c r="N135" s="12" t="n"/>
      <c r="O135" s="12" t="inlineStr">
        <is>
          <t>pz</t>
        </is>
      </c>
      <c r="P135" s="10" t="n"/>
      <c r="Q135" s="6">
        <f>IFERROR(VLOOKUP($D135,LISTINO!$B:$I,6,FALSE),IFERROR(VLOOKUP($E135,LISTINO!$C:$I,5,FALSE),""))</f>
        <v/>
      </c>
      <c r="R135" s="13">
        <f>IF(AND(ISNUMBER(G135),ISNUMBER(Q135)),G135*Q135,"")</f>
        <v/>
      </c>
    </row>
    <row r="136">
      <c r="A136" s="5" t="inlineStr">
        <is>
          <t>PILASTRO CUSCINETTO</t>
        </is>
      </c>
      <c r="B136" s="5" t="n"/>
      <c r="C136" s="12" t="n">
        <v>3</v>
      </c>
      <c r="D136" s="5" t="inlineStr">
        <is>
          <t>10BZ10X40</t>
        </is>
      </c>
      <c r="E136" s="5" t="inlineStr">
        <is>
          <t>Bullone testa esagonale M10X40</t>
        </is>
      </c>
      <c r="F136" s="5" t="inlineStr">
        <is>
          <t>Bulloneria e minuteria</t>
        </is>
      </c>
      <c r="G136" s="12" t="n">
        <v>8</v>
      </c>
      <c r="H136" s="12" t="n">
        <v>16</v>
      </c>
      <c r="I136" s="12" t="n">
        <v>32</v>
      </c>
      <c r="J136" s="12" t="n">
        <v>32</v>
      </c>
      <c r="K136" s="12" t="n">
        <v>32</v>
      </c>
      <c r="L136" s="12" t="n">
        <v>64</v>
      </c>
      <c r="M136" s="12" t="n">
        <v>80</v>
      </c>
      <c r="N136" s="12" t="n"/>
      <c r="O136" s="12" t="inlineStr">
        <is>
          <t>pz</t>
        </is>
      </c>
      <c r="P136" s="10" t="n"/>
      <c r="Q136" s="6">
        <f>IFERROR(VLOOKUP($D136,LISTINO!$B:$I,6,FALSE),IFERROR(VLOOKUP($E136,LISTINO!$C:$I,5,FALSE),""))</f>
        <v/>
      </c>
      <c r="R136" s="13">
        <f>IF(AND(ISNUMBER(G136),ISNUMBER(Q136)),G136*Q136,"")</f>
        <v/>
      </c>
    </row>
    <row r="137">
      <c r="A137" s="5" t="inlineStr">
        <is>
          <t>PILASTRO CUSCINETTO</t>
        </is>
      </c>
      <c r="B137" s="5" t="n"/>
      <c r="C137" s="12" t="n">
        <v>4</v>
      </c>
      <c r="D137" s="5" t="inlineStr">
        <is>
          <t>10ROND10</t>
        </is>
      </c>
      <c r="E137" s="5" t="inlineStr">
        <is>
          <t>Rondella zn da 10</t>
        </is>
      </c>
      <c r="F137" s="5" t="inlineStr">
        <is>
          <t>Bulloneria e minuteria</t>
        </is>
      </c>
      <c r="G137" s="12" t="n">
        <v>8</v>
      </c>
      <c r="H137" s="12" t="n">
        <v>16</v>
      </c>
      <c r="I137" s="12" t="n">
        <v>32</v>
      </c>
      <c r="J137" s="12" t="n">
        <v>32</v>
      </c>
      <c r="K137" s="12" t="n">
        <v>32</v>
      </c>
      <c r="L137" s="12" t="n">
        <v>64</v>
      </c>
      <c r="M137" s="12" t="n">
        <v>80</v>
      </c>
      <c r="N137" s="12" t="n"/>
      <c r="O137" s="12" t="inlineStr">
        <is>
          <t>pz</t>
        </is>
      </c>
      <c r="P137" s="10" t="n"/>
      <c r="Q137" s="6">
        <f>IFERROR(VLOOKUP($D137,LISTINO!$B:$I,6,FALSE),IFERROR(VLOOKUP($E137,LISTINO!$C:$I,5,FALSE),""))</f>
        <v/>
      </c>
      <c r="R137" s="13">
        <f>IF(AND(ISNUMBER(G137),ISNUMBER(Q137)),G137*Q137,"")</f>
        <v/>
      </c>
    </row>
    <row r="138">
      <c r="A138" s="5" t="inlineStr">
        <is>
          <t>PILASTRO CUSCINETTO</t>
        </is>
      </c>
      <c r="B138" s="5" t="n"/>
      <c r="C138" s="12" t="n">
        <v>5</v>
      </c>
      <c r="D138" s="5" t="inlineStr">
        <is>
          <t>10ROND10</t>
        </is>
      </c>
      <c r="E138" s="5" t="inlineStr">
        <is>
          <t>Rondella zn da 10</t>
        </is>
      </c>
      <c r="F138" s="5" t="inlineStr">
        <is>
          <t>Bulloneria e minuteria</t>
        </is>
      </c>
      <c r="G138" s="12" t="n">
        <v>8</v>
      </c>
      <c r="H138" s="12" t="n">
        <v>16</v>
      </c>
      <c r="I138" s="12" t="n">
        <v>32</v>
      </c>
      <c r="J138" s="12" t="n">
        <v>32</v>
      </c>
      <c r="K138" s="12" t="n">
        <v>32</v>
      </c>
      <c r="L138" s="12" t="n">
        <v>64</v>
      </c>
      <c r="M138" s="12" t="n">
        <v>80</v>
      </c>
      <c r="N138" s="12" t="n"/>
      <c r="O138" s="12" t="inlineStr">
        <is>
          <t>pz</t>
        </is>
      </c>
      <c r="P138" s="10" t="n"/>
      <c r="Q138" s="6">
        <f>IFERROR(VLOOKUP($D138,LISTINO!$B:$I,6,FALSE),IFERROR(VLOOKUP($E138,LISTINO!$C:$I,5,FALSE),""))</f>
        <v/>
      </c>
      <c r="R138" s="13">
        <f>IF(AND(ISNUMBER(G138),ISNUMBER(Q138)),G138*Q138,"")</f>
        <v/>
      </c>
    </row>
    <row r="139">
      <c r="A139" s="5" t="inlineStr">
        <is>
          <t>PILASTRO CUSCINETTO</t>
        </is>
      </c>
      <c r="B139" s="5" t="n"/>
      <c r="C139" s="12" t="n">
        <v>6</v>
      </c>
      <c r="D139" s="5" t="inlineStr">
        <is>
          <t>10DAZAM10</t>
        </is>
      </c>
      <c r="E139" s="5" t="inlineStr">
        <is>
          <t>Dado autobloccante M10</t>
        </is>
      </c>
      <c r="F139" s="5" t="inlineStr">
        <is>
          <t>Bulloneria e minuteria</t>
        </is>
      </c>
      <c r="G139" s="12" t="n">
        <v>8</v>
      </c>
      <c r="H139" s="12" t="n">
        <v>16</v>
      </c>
      <c r="I139" s="12" t="n">
        <v>32</v>
      </c>
      <c r="J139" s="12" t="n">
        <v>32</v>
      </c>
      <c r="K139" s="12" t="n">
        <v>32</v>
      </c>
      <c r="L139" s="12" t="n">
        <v>64</v>
      </c>
      <c r="M139" s="12" t="n">
        <v>80</v>
      </c>
      <c r="N139" s="12" t="n"/>
      <c r="O139" s="12" t="inlineStr">
        <is>
          <t>pz</t>
        </is>
      </c>
      <c r="P139" s="10" t="n"/>
      <c r="Q139" s="6">
        <f>IFERROR(VLOOKUP($D139,LISTINO!$B:$I,6,FALSE),IFERROR(VLOOKUP($E139,LISTINO!$C:$I,5,FALSE),""))</f>
        <v/>
      </c>
      <c r="R139" s="13">
        <f>IF(AND(ISNUMBER(G139),ISNUMBER(Q139)),G139*Q139,"")</f>
        <v/>
      </c>
    </row>
    <row r="140">
      <c r="A140" s="5" t="inlineStr">
        <is>
          <t>PILASTRO CUSCINETTO</t>
        </is>
      </c>
      <c r="B140" s="5" t="n"/>
      <c r="C140" s="12" t="n">
        <v>2</v>
      </c>
      <c r="D140" s="5" t="inlineStr">
        <is>
          <t>TTS.PC.002.IPE140</t>
        </is>
      </c>
      <c r="E140" s="5" t="inlineStr">
        <is>
          <t>Supporto laterale testa cuscinetto</t>
        </is>
      </c>
      <c r="F140" s="5" t="inlineStr">
        <is>
          <t>Carpenteria metallica</t>
        </is>
      </c>
      <c r="G140" s="12" t="n">
        <v>2</v>
      </c>
      <c r="H140" s="12" t="n">
        <v>4</v>
      </c>
      <c r="I140" s="12" t="n">
        <v>8</v>
      </c>
      <c r="J140" s="12" t="n">
        <v>8</v>
      </c>
      <c r="K140" s="12" t="n">
        <v>8</v>
      </c>
      <c r="L140" s="12" t="n">
        <v>16</v>
      </c>
      <c r="M140" s="12" t="n">
        <v>20</v>
      </c>
      <c r="N140" s="12" t="n"/>
      <c r="O140" s="12" t="inlineStr">
        <is>
          <t>pz</t>
        </is>
      </c>
      <c r="P140" s="10" t="n"/>
      <c r="Q140" s="6">
        <f>IFERROR(VLOOKUP($D140,LISTINO!$B:$I,6,FALSE),IFERROR(VLOOKUP($E140,LISTINO!$C:$I,5,FALSE),""))</f>
        <v/>
      </c>
      <c r="R140" s="13">
        <f>IF(AND(ISNUMBER(G140),ISNUMBER(Q140)),G140*Q140,"")</f>
        <v/>
      </c>
    </row>
    <row r="141">
      <c r="A141" s="5" t="inlineStr">
        <is>
          <t>PILASTRO CUSCINETTO</t>
        </is>
      </c>
      <c r="B141" s="5" t="n"/>
      <c r="C141" s="12" t="n">
        <v>2</v>
      </c>
      <c r="D141" s="5" t="inlineStr">
        <is>
          <t>TTS.PC.002.IPEA140</t>
        </is>
      </c>
      <c r="E141" s="5" t="inlineStr">
        <is>
          <t>Supporto laterale testa cuscinetto (alleggerita)</t>
        </is>
      </c>
      <c r="F141" s="5" t="inlineStr">
        <is>
          <t>Carpenteria metallica</t>
        </is>
      </c>
      <c r="G141" s="12" t="n">
        <v>0</v>
      </c>
      <c r="H141" s="12" t="n"/>
      <c r="I141" s="12" t="n"/>
      <c r="J141" s="12" t="n"/>
      <c r="K141" s="12" t="n"/>
      <c r="L141" s="12" t="n"/>
      <c r="M141" s="12" t="n"/>
      <c r="N141" s="12" t="n"/>
      <c r="O141" s="12" t="inlineStr">
        <is>
          <t>pz</t>
        </is>
      </c>
      <c r="P141" s="10" t="n"/>
      <c r="Q141" s="6">
        <f>IFERROR(VLOOKUP($D141,LISTINO!$B:$I,6,FALSE),IFERROR(VLOOKUP($E141,LISTINO!$C:$I,5,FALSE),""))</f>
        <v/>
      </c>
      <c r="R141" s="13">
        <f>IF(AND(ISNUMBER(G141),ISNUMBER(Q141)),G141*Q141,"")</f>
        <v/>
      </c>
    </row>
    <row r="142">
      <c r="A142" s="5" t="inlineStr">
        <is>
          <t>PILASTRO CUSCINETTO</t>
        </is>
      </c>
      <c r="B142" s="5" t="n"/>
      <c r="C142" s="12" t="n">
        <v>3</v>
      </c>
      <c r="D142" s="5" t="inlineStr">
        <is>
          <t>TTS.PC.003.IPE140</t>
        </is>
      </c>
      <c r="E142" s="5" t="inlineStr">
        <is>
          <t>Supporto testa cuscinetto</t>
        </is>
      </c>
      <c r="F142" s="5" t="inlineStr">
        <is>
          <t>Carpenteria metallica</t>
        </is>
      </c>
      <c r="G142" s="12" t="n">
        <v>1</v>
      </c>
      <c r="H142" s="12" t="n">
        <v>2</v>
      </c>
      <c r="I142" s="12" t="n">
        <v>4</v>
      </c>
      <c r="J142" s="12" t="n">
        <v>4</v>
      </c>
      <c r="K142" s="12" t="n">
        <v>4</v>
      </c>
      <c r="L142" s="12" t="n">
        <v>8</v>
      </c>
      <c r="M142" s="12" t="n">
        <v>10</v>
      </c>
      <c r="N142" s="12" t="n"/>
      <c r="O142" s="12" t="inlineStr">
        <is>
          <t>pz</t>
        </is>
      </c>
      <c r="P142" s="10" t="n"/>
      <c r="Q142" s="6">
        <f>IFERROR(VLOOKUP($D142,LISTINO!$B:$I,6,FALSE),IFERROR(VLOOKUP($E142,LISTINO!$C:$I,5,FALSE),""))</f>
        <v/>
      </c>
      <c r="R142" s="13">
        <f>IF(AND(ISNUMBER(G142),ISNUMBER(Q142)),G142*Q142,"")</f>
        <v/>
      </c>
    </row>
    <row r="143">
      <c r="A143" s="5" t="inlineStr">
        <is>
          <t>PILASTRO CUSCINETTO</t>
        </is>
      </c>
      <c r="B143" s="5" t="n"/>
      <c r="C143" s="12" t="n">
        <v>3</v>
      </c>
      <c r="D143" s="5" t="inlineStr">
        <is>
          <t>TTS.PC.003.IPEA140</t>
        </is>
      </c>
      <c r="E143" s="5" t="inlineStr">
        <is>
          <t>Supporto testa cuscinetto (alleggerita)</t>
        </is>
      </c>
      <c r="F143" s="5" t="inlineStr">
        <is>
          <t>Carpenteria metallica</t>
        </is>
      </c>
      <c r="G143" s="12" t="n">
        <v>0</v>
      </c>
      <c r="H143" s="12" t="n"/>
      <c r="I143" s="12" t="n"/>
      <c r="J143" s="12" t="n"/>
      <c r="K143" s="12" t="n"/>
      <c r="L143" s="12" t="n"/>
      <c r="M143" s="12" t="n"/>
      <c r="N143" s="12" t="n"/>
      <c r="O143" s="12" t="inlineStr">
        <is>
          <t>pz</t>
        </is>
      </c>
      <c r="P143" s="10" t="n"/>
      <c r="Q143" s="6">
        <f>IFERROR(VLOOKUP($D143,LISTINO!$B:$I,6,FALSE),IFERROR(VLOOKUP($E143,LISTINO!$C:$I,5,FALSE),""))</f>
        <v/>
      </c>
      <c r="R143" s="13">
        <f>IF(AND(ISNUMBER(G143),ISNUMBER(Q143)),G143*Q143,"")</f>
        <v/>
      </c>
    </row>
    <row r="144">
      <c r="A144" s="5" t="inlineStr">
        <is>
          <t>PILASTRO CUSCINETTO</t>
        </is>
      </c>
      <c r="B144" s="5" t="n"/>
      <c r="C144" s="12" t="n">
        <v>4</v>
      </c>
      <c r="D144" s="5" t="inlineStr">
        <is>
          <t>10BZ10X30</t>
        </is>
      </c>
      <c r="E144" s="5" t="inlineStr">
        <is>
          <t>Bullone testa esagonale M10X30</t>
        </is>
      </c>
      <c r="F144" s="5" t="inlineStr">
        <is>
          <t>Bulloneria e minuteria</t>
        </is>
      </c>
      <c r="G144" s="12" t="n">
        <v>4</v>
      </c>
      <c r="H144" s="12" t="n">
        <v>8</v>
      </c>
      <c r="I144" s="12" t="n">
        <v>16</v>
      </c>
      <c r="J144" s="12" t="n">
        <v>16</v>
      </c>
      <c r="K144" s="12" t="n">
        <v>16</v>
      </c>
      <c r="L144" s="12" t="n">
        <v>32</v>
      </c>
      <c r="M144" s="12" t="n">
        <v>40</v>
      </c>
      <c r="N144" s="12" t="n"/>
      <c r="O144" s="12" t="inlineStr">
        <is>
          <t>pz</t>
        </is>
      </c>
      <c r="P144" s="10" t="n"/>
      <c r="Q144" s="6">
        <f>IFERROR(VLOOKUP($D144,LISTINO!$B:$I,6,FALSE),IFERROR(VLOOKUP($E144,LISTINO!$C:$I,5,FALSE),""))</f>
        <v/>
      </c>
      <c r="R144" s="13">
        <f>IF(AND(ISNUMBER(G144),ISNUMBER(Q144)),G144*Q144,"")</f>
        <v/>
      </c>
    </row>
    <row r="145">
      <c r="A145" s="5" t="inlineStr">
        <is>
          <t>PILASTRO CUSCINETTO</t>
        </is>
      </c>
      <c r="B145" s="5" t="n"/>
      <c r="C145" s="12" t="n">
        <v>5</v>
      </c>
      <c r="D145" s="5" t="inlineStr">
        <is>
          <t>10ROND10</t>
        </is>
      </c>
      <c r="E145" s="5" t="inlineStr">
        <is>
          <t>Rondella zn da 10</t>
        </is>
      </c>
      <c r="F145" s="5" t="inlineStr">
        <is>
          <t>Bulloneria e minuteria</t>
        </is>
      </c>
      <c r="G145" s="12" t="n">
        <v>4</v>
      </c>
      <c r="H145" s="12" t="n">
        <v>8</v>
      </c>
      <c r="I145" s="12" t="n">
        <v>16</v>
      </c>
      <c r="J145" s="12" t="n">
        <v>16</v>
      </c>
      <c r="K145" s="12" t="n">
        <v>16</v>
      </c>
      <c r="L145" s="12" t="n">
        <v>32</v>
      </c>
      <c r="M145" s="12" t="n">
        <v>40</v>
      </c>
      <c r="N145" s="12" t="n"/>
      <c r="O145" s="12" t="inlineStr">
        <is>
          <t>pz</t>
        </is>
      </c>
      <c r="P145" s="10" t="n"/>
      <c r="Q145" s="6">
        <f>IFERROR(VLOOKUP($D145,LISTINO!$B:$I,6,FALSE),IFERROR(VLOOKUP($E145,LISTINO!$C:$I,5,FALSE),""))</f>
        <v/>
      </c>
      <c r="R145" s="13">
        <f>IF(AND(ISNUMBER(G145),ISNUMBER(Q145)),G145*Q145,"")</f>
        <v/>
      </c>
    </row>
    <row r="146">
      <c r="A146" s="5" t="inlineStr">
        <is>
          <t>PILASTRO CUSCINETTO</t>
        </is>
      </c>
      <c r="B146" s="5" t="n"/>
      <c r="C146" s="12" t="n">
        <v>6</v>
      </c>
      <c r="D146" s="5" t="inlineStr">
        <is>
          <t>10ROND10</t>
        </is>
      </c>
      <c r="E146" s="5" t="inlineStr">
        <is>
          <t>Rondella zn da 10</t>
        </is>
      </c>
      <c r="F146" s="5" t="inlineStr">
        <is>
          <t>Bulloneria e minuteria</t>
        </is>
      </c>
      <c r="G146" s="12" t="n">
        <v>4</v>
      </c>
      <c r="H146" s="12" t="n">
        <v>8</v>
      </c>
      <c r="I146" s="12" t="n">
        <v>16</v>
      </c>
      <c r="J146" s="12" t="n">
        <v>16</v>
      </c>
      <c r="K146" s="12" t="n">
        <v>16</v>
      </c>
      <c r="L146" s="12" t="n">
        <v>32</v>
      </c>
      <c r="M146" s="12" t="n">
        <v>40</v>
      </c>
      <c r="N146" s="12" t="n"/>
      <c r="O146" s="12" t="inlineStr">
        <is>
          <t>pz</t>
        </is>
      </c>
      <c r="P146" s="10" t="n"/>
      <c r="Q146" s="6">
        <f>IFERROR(VLOOKUP($D146,LISTINO!$B:$I,6,FALSE),IFERROR(VLOOKUP($E146,LISTINO!$C:$I,5,FALSE),""))</f>
        <v/>
      </c>
      <c r="R146" s="13">
        <f>IF(AND(ISNUMBER(G146),ISNUMBER(Q146)),G146*Q146,"")</f>
        <v/>
      </c>
    </row>
    <row r="147">
      <c r="A147" s="5" t="inlineStr">
        <is>
          <t>PILASTRO CUSCINETTO</t>
        </is>
      </c>
      <c r="B147" s="5" t="n"/>
      <c r="C147" s="12" t="n">
        <v>7</v>
      </c>
      <c r="D147" s="5" t="inlineStr">
        <is>
          <t>10DAZAM10</t>
        </is>
      </c>
      <c r="E147" s="5" t="inlineStr">
        <is>
          <t>Dado autobloccante M10</t>
        </is>
      </c>
      <c r="F147" s="5" t="inlineStr">
        <is>
          <t>Bulloneria e minuteria</t>
        </is>
      </c>
      <c r="G147" s="12" t="n">
        <v>4</v>
      </c>
      <c r="H147" s="12" t="n">
        <v>8</v>
      </c>
      <c r="I147" s="12" t="n">
        <v>16</v>
      </c>
      <c r="J147" s="12" t="n">
        <v>16</v>
      </c>
      <c r="K147" s="12" t="n">
        <v>16</v>
      </c>
      <c r="L147" s="12" t="n">
        <v>32</v>
      </c>
      <c r="M147" s="12" t="n">
        <v>40</v>
      </c>
      <c r="N147" s="12" t="n"/>
      <c r="O147" s="12" t="inlineStr">
        <is>
          <t>pz</t>
        </is>
      </c>
      <c r="P147" s="10" t="n"/>
      <c r="Q147" s="6">
        <f>IFERROR(VLOOKUP($D147,LISTINO!$B:$I,6,FALSE),IFERROR(VLOOKUP($E147,LISTINO!$C:$I,5,FALSE),""))</f>
        <v/>
      </c>
      <c r="R147" s="13">
        <f>IF(AND(ISNUMBER(G147),ISNUMBER(Q147)),G147*Q147,"")</f>
        <v/>
      </c>
    </row>
    <row r="148">
      <c r="A148" s="5" t="inlineStr">
        <is>
          <t>PILASTRO CUSCINETTO</t>
        </is>
      </c>
      <c r="B148" s="5" t="n"/>
      <c r="C148" s="12" t="n">
        <v>2</v>
      </c>
      <c r="D148" s="5" t="inlineStr">
        <is>
          <t>ESQM_2_0_120_1</t>
        </is>
      </c>
      <c r="E148" s="5" t="inlineStr">
        <is>
          <t>Cuscinetto asse di rotazione</t>
        </is>
      </c>
      <c r="F148" s="5" t="inlineStr">
        <is>
          <t>Cuscinetti</t>
        </is>
      </c>
      <c r="G148" s="12" t="n">
        <v>1</v>
      </c>
      <c r="H148" s="12" t="n">
        <v>2</v>
      </c>
      <c r="I148" s="12" t="n">
        <v>4</v>
      </c>
      <c r="J148" s="12" t="n">
        <v>4</v>
      </c>
      <c r="K148" s="12" t="n">
        <v>4</v>
      </c>
      <c r="L148" s="12" t="n">
        <v>8</v>
      </c>
      <c r="M148" s="12" t="n">
        <v>10</v>
      </c>
      <c r="N148" s="12" t="n"/>
      <c r="O148" s="12" t="inlineStr">
        <is>
          <t>pz</t>
        </is>
      </c>
      <c r="P148" s="10" t="n"/>
      <c r="Q148" s="6">
        <f>IFERROR(VLOOKUP($D148,LISTINO!$B:$I,6,FALSE),IFERROR(VLOOKUP($E148,LISTINO!$C:$I,5,FALSE),""))</f>
        <v/>
      </c>
      <c r="R148" s="13">
        <f>IF(AND(ISNUMBER(G148),ISNUMBER(Q148)),G148*Q148,"")</f>
        <v/>
      </c>
    </row>
    <row r="149">
      <c r="A149" s="5" t="inlineStr">
        <is>
          <t>PILASTRO CUSCINETTO</t>
        </is>
      </c>
      <c r="B149" s="5" t="n"/>
      <c r="C149" s="12" t="n">
        <v>3</v>
      </c>
      <c r="D149" s="5" t="inlineStr">
        <is>
          <t>10BZ16X140</t>
        </is>
      </c>
      <c r="E149" s="5" t="inlineStr">
        <is>
          <t>Bullone testa esagonale M16x140 mezzo filetto</t>
        </is>
      </c>
      <c r="F149" s="5" t="inlineStr">
        <is>
          <t>Bulloneria e minuteria</t>
        </is>
      </c>
      <c r="G149" s="12" t="n">
        <v>2</v>
      </c>
      <c r="H149" s="12" t="n">
        <v>4</v>
      </c>
      <c r="I149" s="12" t="n">
        <v>8</v>
      </c>
      <c r="J149" s="12" t="n">
        <v>8</v>
      </c>
      <c r="K149" s="12" t="n">
        <v>8</v>
      </c>
      <c r="L149" s="12" t="n">
        <v>16</v>
      </c>
      <c r="M149" s="12" t="n">
        <v>20</v>
      </c>
      <c r="N149" s="12" t="n"/>
      <c r="O149" s="12" t="inlineStr">
        <is>
          <t>pz</t>
        </is>
      </c>
      <c r="P149" s="10" t="n"/>
      <c r="Q149" s="6">
        <f>IFERROR(VLOOKUP($D149,LISTINO!$B:$I,6,FALSE),IFERROR(VLOOKUP($E149,LISTINO!$C:$I,5,FALSE),""))</f>
        <v/>
      </c>
      <c r="R149" s="13">
        <f>IF(AND(ISNUMBER(G149),ISNUMBER(Q149)),G149*Q149,"")</f>
        <v/>
      </c>
    </row>
    <row r="150">
      <c r="A150" s="5" t="inlineStr">
        <is>
          <t>PILASTRO CUSCINETTO</t>
        </is>
      </c>
      <c r="B150" s="5" t="n"/>
      <c r="C150" s="12" t="n">
        <v>4</v>
      </c>
      <c r="D150" s="5" t="inlineStr">
        <is>
          <t>10ROND16</t>
        </is>
      </c>
      <c r="E150" s="5" t="inlineStr">
        <is>
          <t>Rondella zn da 16</t>
        </is>
      </c>
      <c r="F150" s="5" t="inlineStr">
        <is>
          <t>Bulloneria e minuteria</t>
        </is>
      </c>
      <c r="G150" s="12" t="n">
        <v>2</v>
      </c>
      <c r="H150" s="12" t="n">
        <v>4</v>
      </c>
      <c r="I150" s="12" t="n">
        <v>8</v>
      </c>
      <c r="J150" s="12" t="n">
        <v>8</v>
      </c>
      <c r="K150" s="12" t="n">
        <v>8</v>
      </c>
      <c r="L150" s="12" t="n">
        <v>16</v>
      </c>
      <c r="M150" s="12" t="n">
        <v>20</v>
      </c>
      <c r="N150" s="12" t="n"/>
      <c r="O150" s="12" t="inlineStr">
        <is>
          <t>pz</t>
        </is>
      </c>
      <c r="P150" s="10" t="n"/>
      <c r="Q150" s="6">
        <f>IFERROR(VLOOKUP($D150,LISTINO!$B:$I,6,FALSE),IFERROR(VLOOKUP($E150,LISTINO!$C:$I,5,FALSE),""))</f>
        <v/>
      </c>
      <c r="R150" s="13">
        <f>IF(AND(ISNUMBER(G150),ISNUMBER(Q150)),G150*Q150,"")</f>
        <v/>
      </c>
    </row>
    <row r="151">
      <c r="A151" s="5" t="inlineStr">
        <is>
          <t>PILASTRO CUSCINETTO</t>
        </is>
      </c>
      <c r="B151" s="5" t="n"/>
      <c r="C151" s="12" t="n">
        <v>5</v>
      </c>
      <c r="D151" s="5" t="inlineStr">
        <is>
          <t>10ROND16</t>
        </is>
      </c>
      <c r="E151" s="5" t="inlineStr">
        <is>
          <t>Rondella zn da 16</t>
        </is>
      </c>
      <c r="F151" s="5" t="inlineStr">
        <is>
          <t>Bulloneria e minuteria</t>
        </is>
      </c>
      <c r="G151" s="12" t="n">
        <v>2</v>
      </c>
      <c r="H151" s="12" t="n">
        <v>4</v>
      </c>
      <c r="I151" s="12" t="n">
        <v>8</v>
      </c>
      <c r="J151" s="12" t="n">
        <v>8</v>
      </c>
      <c r="K151" s="12" t="n">
        <v>8</v>
      </c>
      <c r="L151" s="12" t="n">
        <v>16</v>
      </c>
      <c r="M151" s="12" t="n">
        <v>20</v>
      </c>
      <c r="N151" s="12" t="n"/>
      <c r="O151" s="12" t="inlineStr">
        <is>
          <t>pz</t>
        </is>
      </c>
      <c r="P151" s="10" t="n"/>
      <c r="Q151" s="6">
        <f>IFERROR(VLOOKUP($D151,LISTINO!$B:$I,6,FALSE),IFERROR(VLOOKUP($E151,LISTINO!$C:$I,5,FALSE),""))</f>
        <v/>
      </c>
      <c r="R151" s="13">
        <f>IF(AND(ISNUMBER(G151),ISNUMBER(Q151)),G151*Q151,"")</f>
        <v/>
      </c>
    </row>
    <row r="152">
      <c r="A152" s="5" t="inlineStr">
        <is>
          <t>PILASTRO CUSCINETTO</t>
        </is>
      </c>
      <c r="B152" s="5" t="n"/>
      <c r="C152" s="12" t="n">
        <v>6</v>
      </c>
      <c r="D152" s="5" t="inlineStr">
        <is>
          <t>10DAZAM16</t>
        </is>
      </c>
      <c r="E152" s="5" t="inlineStr">
        <is>
          <t>Dado autobloccante M16</t>
        </is>
      </c>
      <c r="F152" s="5" t="inlineStr">
        <is>
          <t>Bulloneria e minuteria</t>
        </is>
      </c>
      <c r="G152" s="12" t="n">
        <v>2</v>
      </c>
      <c r="H152" s="12" t="n">
        <v>4</v>
      </c>
      <c r="I152" s="12" t="n">
        <v>8</v>
      </c>
      <c r="J152" s="12" t="n">
        <v>8</v>
      </c>
      <c r="K152" s="12" t="n">
        <v>8</v>
      </c>
      <c r="L152" s="12" t="n">
        <v>16</v>
      </c>
      <c r="M152" s="12" t="n">
        <v>20</v>
      </c>
      <c r="N152" s="12" t="n"/>
      <c r="O152" s="12" t="inlineStr">
        <is>
          <t>pz</t>
        </is>
      </c>
      <c r="P152" s="10" t="n"/>
      <c r="Q152" s="6">
        <f>IFERROR(VLOOKUP($D152,LISTINO!$B:$I,6,FALSE),IFERROR(VLOOKUP($E152,LISTINO!$C:$I,5,FALSE),""))</f>
        <v/>
      </c>
      <c r="R152" s="13">
        <f>IF(AND(ISNUMBER(G152),ISNUMBER(Q152)),G152*Q152,"")</f>
        <v/>
      </c>
    </row>
    <row r="153">
      <c r="A153" s="5" t="inlineStr">
        <is>
          <t>ASSI DI ROTAZIONE 1303</t>
        </is>
      </c>
      <c r="B153" s="5" t="inlineStr">
        <is>
          <t>12 MODULI 1303</t>
        </is>
      </c>
      <c r="C153" s="12" t="n"/>
      <c r="D153" s="5" t="inlineStr">
        <is>
          <t>TTS.AR.001.8250</t>
        </is>
      </c>
      <c r="E153" s="5" t="inlineStr">
        <is>
          <t>Asse lato motore 120x120x3 mm. lunghezza mt.8,25</t>
        </is>
      </c>
      <c r="F153" s="5" t="inlineStr">
        <is>
          <t>Carpenteria metallica</t>
        </is>
      </c>
      <c r="G153" s="12" t="n">
        <v>2</v>
      </c>
      <c r="H153" s="12" t="n"/>
      <c r="I153" s="12" t="n"/>
      <c r="J153" s="12" t="n"/>
      <c r="K153" s="12" t="n"/>
      <c r="L153" s="12" t="n"/>
      <c r="M153" s="12" t="n"/>
      <c r="N153" s="12" t="n"/>
      <c r="O153" s="12" t="inlineStr">
        <is>
          <t>pz</t>
        </is>
      </c>
      <c r="P153" s="10" t="n"/>
      <c r="Q153" s="6">
        <f>IFERROR(VLOOKUP($D153,LISTINO!$B:$I,6,FALSE),IFERROR(VLOOKUP($E153,LISTINO!$C:$I,5,FALSE),""))</f>
        <v/>
      </c>
      <c r="R153" s="13">
        <f>IF(AND(ISNUMBER(G153),ISNUMBER(Q153)),G153*Q153,"")</f>
        <v/>
      </c>
    </row>
    <row r="154">
      <c r="A154" s="5" t="inlineStr">
        <is>
          <t>ASSI DI ROTAZIONE 1303</t>
        </is>
      </c>
      <c r="B154" s="5" t="inlineStr">
        <is>
          <t>12 MODULI 1303</t>
        </is>
      </c>
      <c r="C154" s="12" t="n"/>
      <c r="D154" s="5" t="inlineStr">
        <is>
          <t>TTS.AR.001.8250.25</t>
        </is>
      </c>
      <c r="E154" s="5" t="inlineStr">
        <is>
          <t>Asse lato motore 120x120x2,5 mm. lunghezza mt.8,25</t>
        </is>
      </c>
      <c r="F154" s="5" t="inlineStr">
        <is>
          <t>Carpenteria metallica</t>
        </is>
      </c>
      <c r="G154" s="12" t="n">
        <v>0</v>
      </c>
      <c r="H154" s="12" t="n"/>
      <c r="I154" s="12" t="n"/>
      <c r="J154" s="12" t="n"/>
      <c r="K154" s="12" t="n"/>
      <c r="L154" s="12" t="n"/>
      <c r="M154" s="12" t="n"/>
      <c r="N154" s="12" t="n"/>
      <c r="O154" s="12" t="inlineStr">
        <is>
          <t>pz</t>
        </is>
      </c>
      <c r="P154" s="10" t="n"/>
      <c r="Q154" s="6">
        <f>IFERROR(VLOOKUP($D154,LISTINO!$B:$I,6,FALSE),IFERROR(VLOOKUP($E154,LISTINO!$C:$I,5,FALSE),""))</f>
        <v/>
      </c>
      <c r="R154" s="13">
        <f>IF(AND(ISNUMBER(G154),ISNUMBER(Q154)),G154*Q154,"")</f>
        <v/>
      </c>
    </row>
    <row r="155">
      <c r="A155" s="5" t="inlineStr">
        <is>
          <t>ASSI DI ROTAZIONE 1303</t>
        </is>
      </c>
      <c r="B155" s="5" t="inlineStr">
        <is>
          <t>18 MODULI 1303</t>
        </is>
      </c>
      <c r="C155" s="12" t="n"/>
      <c r="D155" s="5" t="inlineStr">
        <is>
          <t>TTS.AR.001.7200</t>
        </is>
      </c>
      <c r="E155" s="5" t="inlineStr">
        <is>
          <t>Asse lato motore 120x120x3 mm. lunghezza mt.7,20</t>
        </is>
      </c>
      <c r="F155" s="5" t="inlineStr">
        <is>
          <t>Carpenteria metallica</t>
        </is>
      </c>
      <c r="G155" s="12" t="n">
        <v>2</v>
      </c>
      <c r="H155" s="12" t="n"/>
      <c r="I155" s="12" t="n"/>
      <c r="J155" s="12" t="n"/>
      <c r="K155" s="12" t="n"/>
      <c r="L155" s="12" t="n"/>
      <c r="M155" s="12" t="n"/>
      <c r="N155" s="12" t="n"/>
      <c r="O155" s="12" t="inlineStr">
        <is>
          <t>pz</t>
        </is>
      </c>
      <c r="P155" s="10" t="n"/>
      <c r="Q155" s="6">
        <f>IFERROR(VLOOKUP($D155,LISTINO!$B:$I,6,FALSE),IFERROR(VLOOKUP($E155,LISTINO!$C:$I,5,FALSE),""))</f>
        <v/>
      </c>
      <c r="R155" s="13">
        <f>IF(AND(ISNUMBER(G155),ISNUMBER(Q155)),G155*Q155,"")</f>
        <v/>
      </c>
    </row>
    <row r="156">
      <c r="A156" s="5" t="inlineStr">
        <is>
          <t>ASSI DI ROTAZIONE 1303</t>
        </is>
      </c>
      <c r="B156" s="5" t="inlineStr">
        <is>
          <t>18 MODULI 1303</t>
        </is>
      </c>
      <c r="C156" s="12" t="n"/>
      <c r="D156" s="5" t="inlineStr">
        <is>
          <t>TTS.AR.001.7200.25</t>
        </is>
      </c>
      <c r="E156" s="5" t="inlineStr">
        <is>
          <t>Asse lato motore 120x120x2,5 mm. lunghezza mt.7,20</t>
        </is>
      </c>
      <c r="F156" s="5" t="inlineStr">
        <is>
          <t>Carpenteria metallica</t>
        </is>
      </c>
      <c r="G156" s="12" t="n">
        <v>0</v>
      </c>
      <c r="H156" s="12" t="n"/>
      <c r="I156" s="12" t="n"/>
      <c r="J156" s="12" t="n"/>
      <c r="K156" s="12" t="n"/>
      <c r="L156" s="12" t="n"/>
      <c r="M156" s="12" t="n"/>
      <c r="N156" s="12" t="n"/>
      <c r="O156" s="12" t="inlineStr">
        <is>
          <t>pz</t>
        </is>
      </c>
      <c r="P156" s="10" t="n"/>
      <c r="Q156" s="6">
        <f>IFERROR(VLOOKUP($D156,LISTINO!$B:$I,6,FALSE),IFERROR(VLOOKUP($E156,LISTINO!$C:$I,5,FALSE),""))</f>
        <v/>
      </c>
      <c r="R156" s="13">
        <f>IF(AND(ISNUMBER(G156),ISNUMBER(Q156)),G156*Q156,"")</f>
        <v/>
      </c>
    </row>
    <row r="157">
      <c r="A157" s="5" t="inlineStr">
        <is>
          <t>ASSI DI ROTAZIONE 1303</t>
        </is>
      </c>
      <c r="B157" s="5" t="inlineStr">
        <is>
          <t>18 MODULI 1303</t>
        </is>
      </c>
      <c r="C157" s="12" t="n"/>
      <c r="D157" s="5" t="inlineStr">
        <is>
          <t>TTS.AR.002.5000</t>
        </is>
      </c>
      <c r="E157" s="5" t="inlineStr">
        <is>
          <t>Asse esterno 120x120x3 mm. lunghezza mt.5,00</t>
        </is>
      </c>
      <c r="F157" s="5" t="inlineStr">
        <is>
          <t>Carpenteria metallica</t>
        </is>
      </c>
      <c r="G157" s="12" t="n">
        <v>2</v>
      </c>
      <c r="H157" s="12" t="n"/>
      <c r="I157" s="12" t="n"/>
      <c r="J157" s="12" t="n"/>
      <c r="K157" s="12" t="n"/>
      <c r="L157" s="12" t="n"/>
      <c r="M157" s="12" t="n"/>
      <c r="N157" s="12" t="n"/>
      <c r="O157" s="12" t="inlineStr">
        <is>
          <t>pz</t>
        </is>
      </c>
      <c r="P157" s="10" t="n"/>
      <c r="Q157" s="6">
        <f>IFERROR(VLOOKUP($D157,LISTINO!$B:$I,6,FALSE),IFERROR(VLOOKUP($E157,LISTINO!$C:$I,5,FALSE),""))</f>
        <v/>
      </c>
      <c r="R157" s="13">
        <f>IF(AND(ISNUMBER(G157),ISNUMBER(Q157)),G157*Q157,"")</f>
        <v/>
      </c>
    </row>
    <row r="158">
      <c r="A158" s="5" t="inlineStr">
        <is>
          <t>ASSI DI ROTAZIONE 1303</t>
        </is>
      </c>
      <c r="B158" s="5" t="inlineStr">
        <is>
          <t>18 MODULI 1303</t>
        </is>
      </c>
      <c r="C158" s="12" t="n"/>
      <c r="D158" s="5" t="inlineStr">
        <is>
          <t>TTS.AR.002.5000.25</t>
        </is>
      </c>
      <c r="E158" s="5" t="inlineStr">
        <is>
          <t>Asse esterno 120x120x2,5 mm. lunghezza mt.5,00</t>
        </is>
      </c>
      <c r="F158" s="5" t="inlineStr">
        <is>
          <t>Carpenteria metallica</t>
        </is>
      </c>
      <c r="G158" s="12" t="n">
        <v>0</v>
      </c>
      <c r="H158" s="12" t="n"/>
      <c r="I158" s="12" t="n"/>
      <c r="J158" s="12" t="n"/>
      <c r="K158" s="12" t="n"/>
      <c r="L158" s="12" t="n"/>
      <c r="M158" s="12" t="n"/>
      <c r="N158" s="12" t="n"/>
      <c r="O158" s="12" t="inlineStr">
        <is>
          <t>pz</t>
        </is>
      </c>
      <c r="P158" s="10" t="n"/>
      <c r="Q158" s="6">
        <f>IFERROR(VLOOKUP($D158,LISTINO!$B:$I,6,FALSE),IFERROR(VLOOKUP($E158,LISTINO!$C:$I,5,FALSE),""))</f>
        <v/>
      </c>
      <c r="R158" s="13">
        <f>IF(AND(ISNUMBER(G158),ISNUMBER(Q158)),G158*Q158,"")</f>
        <v/>
      </c>
    </row>
    <row r="159">
      <c r="A159" s="5" t="inlineStr">
        <is>
          <t>ASSI DI ROTAZIONE 1303</t>
        </is>
      </c>
      <c r="B159" s="5" t="inlineStr">
        <is>
          <t>18 MODULI 1303</t>
        </is>
      </c>
      <c r="C159" s="12" t="n"/>
      <c r="D159" s="5" t="inlineStr">
        <is>
          <t>TTS.AR.201</t>
        </is>
      </c>
      <c r="E159" s="5" t="inlineStr">
        <is>
          <t>Kit giunzione asse di collegamento</t>
        </is>
      </c>
      <c r="F159" s="5" t="inlineStr">
        <is>
          <t>Carpenteria metallica</t>
        </is>
      </c>
      <c r="G159" s="12" t="n">
        <v>2</v>
      </c>
      <c r="H159" s="12" t="n"/>
      <c r="I159" s="12" t="n"/>
      <c r="J159" s="12" t="n"/>
      <c r="K159" s="12" t="n"/>
      <c r="L159" s="12" t="n"/>
      <c r="M159" s="12" t="n"/>
      <c r="N159" s="12" t="n"/>
      <c r="O159" s="12" t="inlineStr">
        <is>
          <t>pz</t>
        </is>
      </c>
      <c r="P159" s="10" t="n"/>
      <c r="Q159" s="6">
        <f>IFERROR(VLOOKUP($D159,LISTINO!$B:$I,6,FALSE),IFERROR(VLOOKUP($E159,LISTINO!$C:$I,5,FALSE),""))</f>
        <v/>
      </c>
      <c r="R159" s="13">
        <f>IF(AND(ISNUMBER(G159),ISNUMBER(Q159)),G159*Q159,"")</f>
        <v/>
      </c>
    </row>
    <row r="160">
      <c r="A160" s="5" t="inlineStr">
        <is>
          <t>ASSI DI ROTAZIONE 1303</t>
        </is>
      </c>
      <c r="B160" s="5" t="inlineStr">
        <is>
          <t>18 MODULI 1303</t>
        </is>
      </c>
      <c r="C160" s="12" t="n">
        <v>1</v>
      </c>
      <c r="D160" s="5" t="inlineStr">
        <is>
          <t>TTS.AR.2011</t>
        </is>
      </c>
      <c r="E160" s="5" t="inlineStr">
        <is>
          <t>Gaffa giunzione asse</t>
        </is>
      </c>
      <c r="F160" s="5" t="inlineStr">
        <is>
          <t>Carpenteria metallica</t>
        </is>
      </c>
      <c r="G160" s="12" t="n">
        <v>2</v>
      </c>
      <c r="H160" s="12" t="n"/>
      <c r="I160" s="12" t="n">
        <v>4</v>
      </c>
      <c r="J160" s="12" t="n"/>
      <c r="K160" s="12" t="n"/>
      <c r="L160" s="12" t="n"/>
      <c r="M160" s="12" t="n"/>
      <c r="N160" s="12" t="n"/>
      <c r="O160" s="12" t="inlineStr">
        <is>
          <t>pz</t>
        </is>
      </c>
      <c r="P160" s="10" t="n"/>
      <c r="Q160" s="6">
        <f>IFERROR(VLOOKUP($D160,LISTINO!$B:$I,6,FALSE),IFERROR(VLOOKUP($E160,LISTINO!$C:$I,5,FALSE),""))</f>
        <v/>
      </c>
      <c r="R160" s="13">
        <f>IF(AND(ISNUMBER(G160),ISNUMBER(Q160)),G160*Q160,"")</f>
        <v/>
      </c>
    </row>
    <row r="161">
      <c r="A161" s="5" t="inlineStr">
        <is>
          <t>ASSI DI ROTAZIONE 1303</t>
        </is>
      </c>
      <c r="B161" s="5" t="inlineStr">
        <is>
          <t>18 MODULI 1303</t>
        </is>
      </c>
      <c r="C161" s="12" t="n">
        <v>2</v>
      </c>
      <c r="D161" s="5" t="inlineStr">
        <is>
          <t>10BZM8X150</t>
        </is>
      </c>
      <c r="E161" s="5" t="inlineStr">
        <is>
          <t>Bullone testa esagonale zn M8X150</t>
        </is>
      </c>
      <c r="F161" s="5" t="inlineStr">
        <is>
          <t>Bulloneria e minuteria</t>
        </is>
      </c>
      <c r="G161" s="12" t="n">
        <v>2</v>
      </c>
      <c r="H161" s="12" t="n"/>
      <c r="I161" s="12" t="n">
        <v>4</v>
      </c>
      <c r="J161" s="12" t="n"/>
      <c r="K161" s="12" t="n"/>
      <c r="L161" s="12" t="n"/>
      <c r="M161" s="12" t="n"/>
      <c r="N161" s="12" t="n"/>
      <c r="O161" s="12" t="inlineStr">
        <is>
          <t>pz</t>
        </is>
      </c>
      <c r="P161" s="10" t="n"/>
      <c r="Q161" s="6">
        <f>IFERROR(VLOOKUP($D161,LISTINO!$B:$I,6,FALSE),IFERROR(VLOOKUP($E161,LISTINO!$C:$I,5,FALSE),""))</f>
        <v/>
      </c>
      <c r="R161" s="13">
        <f>IF(AND(ISNUMBER(G161),ISNUMBER(Q161)),G161*Q161,"")</f>
        <v/>
      </c>
    </row>
    <row r="162">
      <c r="A162" s="5" t="inlineStr">
        <is>
          <t>ASSI DI ROTAZIONE 1303</t>
        </is>
      </c>
      <c r="B162" s="5" t="inlineStr">
        <is>
          <t>18 MODULI 1303</t>
        </is>
      </c>
      <c r="C162" s="12" t="n">
        <v>3</v>
      </c>
      <c r="D162" s="5" t="inlineStr">
        <is>
          <t>10ROND8</t>
        </is>
      </c>
      <c r="E162" s="5" t="inlineStr">
        <is>
          <t>Rondella zn 8</t>
        </is>
      </c>
      <c r="F162" s="5" t="inlineStr">
        <is>
          <t>Bulloneria e minuteria</t>
        </is>
      </c>
      <c r="G162" s="12" t="n">
        <v>2</v>
      </c>
      <c r="H162" s="12" t="n"/>
      <c r="I162" s="12" t="n">
        <v>4</v>
      </c>
      <c r="J162" s="12" t="n"/>
      <c r="K162" s="12" t="n"/>
      <c r="L162" s="12" t="n"/>
      <c r="M162" s="12" t="n"/>
      <c r="N162" s="12" t="n"/>
      <c r="O162" s="12" t="inlineStr">
        <is>
          <t>pz</t>
        </is>
      </c>
      <c r="P162" s="10" t="n"/>
      <c r="Q162" s="6">
        <f>IFERROR(VLOOKUP($D162,LISTINO!$B:$I,6,FALSE),IFERROR(VLOOKUP($E162,LISTINO!$C:$I,5,FALSE),""))</f>
        <v/>
      </c>
      <c r="R162" s="13">
        <f>IF(AND(ISNUMBER(G162),ISNUMBER(Q162)),G162*Q162,"")</f>
        <v/>
      </c>
    </row>
    <row r="163">
      <c r="A163" s="5" t="inlineStr">
        <is>
          <t>ASSI DI ROTAZIONE 1303</t>
        </is>
      </c>
      <c r="B163" s="5" t="inlineStr">
        <is>
          <t>18 MODULI 1303</t>
        </is>
      </c>
      <c r="C163" s="12" t="n">
        <v>4</v>
      </c>
      <c r="D163" s="5" t="inlineStr">
        <is>
          <t>10ROND8</t>
        </is>
      </c>
      <c r="E163" s="5" t="inlineStr">
        <is>
          <t>Rondella zn 8</t>
        </is>
      </c>
      <c r="F163" s="5" t="inlineStr">
        <is>
          <t>Bulloneria e minuteria</t>
        </is>
      </c>
      <c r="G163" s="12" t="n">
        <v>2</v>
      </c>
      <c r="H163" s="12" t="n"/>
      <c r="I163" s="12" t="n">
        <v>4</v>
      </c>
      <c r="J163" s="12" t="n"/>
      <c r="K163" s="12" t="n"/>
      <c r="L163" s="12" t="n"/>
      <c r="M163" s="12" t="n"/>
      <c r="N163" s="12" t="n"/>
      <c r="O163" s="12" t="inlineStr">
        <is>
          <t>pz</t>
        </is>
      </c>
      <c r="P163" s="10" t="n"/>
      <c r="Q163" s="6">
        <f>IFERROR(VLOOKUP($D163,LISTINO!$B:$I,6,FALSE),IFERROR(VLOOKUP($E163,LISTINO!$C:$I,5,FALSE),""))</f>
        <v/>
      </c>
      <c r="R163" s="13">
        <f>IF(AND(ISNUMBER(G163),ISNUMBER(Q163)),G163*Q163,"")</f>
        <v/>
      </c>
    </row>
    <row r="164">
      <c r="A164" s="5" t="inlineStr">
        <is>
          <t>ASSI DI ROTAZIONE 1303</t>
        </is>
      </c>
      <c r="B164" s="5" t="inlineStr">
        <is>
          <t>18 MODULI 1303</t>
        </is>
      </c>
      <c r="C164" s="12" t="n">
        <v>5</v>
      </c>
      <c r="D164" s="5" t="inlineStr">
        <is>
          <t>10DAZAM8</t>
        </is>
      </c>
      <c r="E164" s="5" t="inlineStr">
        <is>
          <t>Dado autobloccante M8</t>
        </is>
      </c>
      <c r="F164" s="5" t="inlineStr">
        <is>
          <t>Bulloneria e minuteria</t>
        </is>
      </c>
      <c r="G164" s="12" t="n">
        <v>2</v>
      </c>
      <c r="H164" s="12" t="n"/>
      <c r="I164" s="12" t="n">
        <v>4</v>
      </c>
      <c r="J164" s="12" t="n"/>
      <c r="K164" s="12" t="n"/>
      <c r="L164" s="12" t="n"/>
      <c r="M164" s="12" t="n"/>
      <c r="N164" s="12" t="n"/>
      <c r="O164" s="12" t="inlineStr">
        <is>
          <t>pz</t>
        </is>
      </c>
      <c r="P164" s="10" t="n"/>
      <c r="Q164" s="6">
        <f>IFERROR(VLOOKUP($D164,LISTINO!$B:$I,6,FALSE),IFERROR(VLOOKUP($E164,LISTINO!$C:$I,5,FALSE),""))</f>
        <v/>
      </c>
      <c r="R164" s="13">
        <f>IF(AND(ISNUMBER(G164),ISNUMBER(Q164)),G164*Q164,"")</f>
        <v/>
      </c>
    </row>
    <row r="165">
      <c r="A165" s="5" t="inlineStr">
        <is>
          <t>ASSI DI ROTAZIONE 1303</t>
        </is>
      </c>
      <c r="B165" s="5" t="inlineStr">
        <is>
          <t>18 MODULI 1303</t>
        </is>
      </c>
      <c r="C165" s="12" t="n">
        <v>6</v>
      </c>
      <c r="D165" s="5" t="inlineStr">
        <is>
          <t>10BZM10X30</t>
        </is>
      </c>
      <c r="E165" s="5" t="inlineStr">
        <is>
          <t>Bullone testa esagonale zn M10X30</t>
        </is>
      </c>
      <c r="F165" s="5" t="inlineStr">
        <is>
          <t>Bulloneria e minuteria</t>
        </is>
      </c>
      <c r="G165" s="12" t="n">
        <v>8</v>
      </c>
      <c r="H165" s="12" t="n"/>
      <c r="I165" s="12" t="n">
        <v>16</v>
      </c>
      <c r="J165" s="12" t="n"/>
      <c r="K165" s="12" t="n"/>
      <c r="L165" s="12" t="n"/>
      <c r="M165" s="12" t="n"/>
      <c r="N165" s="12" t="n"/>
      <c r="O165" s="12" t="inlineStr">
        <is>
          <t>pz</t>
        </is>
      </c>
      <c r="P165" s="10" t="n"/>
      <c r="Q165" s="6">
        <f>IFERROR(VLOOKUP($D165,LISTINO!$B:$I,6,FALSE),IFERROR(VLOOKUP($E165,LISTINO!$C:$I,5,FALSE),""))</f>
        <v/>
      </c>
      <c r="R165" s="13">
        <f>IF(AND(ISNUMBER(G165),ISNUMBER(Q165)),G165*Q165,"")</f>
        <v/>
      </c>
    </row>
    <row r="166">
      <c r="A166" s="5" t="inlineStr">
        <is>
          <t>ASSI DI ROTAZIONE 1303</t>
        </is>
      </c>
      <c r="B166" s="5" t="inlineStr">
        <is>
          <t>18 MODULI 1303</t>
        </is>
      </c>
      <c r="C166" s="12" t="n">
        <v>7</v>
      </c>
      <c r="D166" s="5" t="inlineStr">
        <is>
          <t>10ROND10</t>
        </is>
      </c>
      <c r="E166" s="5" t="inlineStr">
        <is>
          <t>Rondella zn 10</t>
        </is>
      </c>
      <c r="F166" s="5" t="inlineStr">
        <is>
          <t>Bulloneria e minuteria</t>
        </is>
      </c>
      <c r="G166" s="12" t="n">
        <v>8</v>
      </c>
      <c r="H166" s="12" t="n"/>
      <c r="I166" s="12" t="n">
        <v>16</v>
      </c>
      <c r="J166" s="12" t="n"/>
      <c r="K166" s="12" t="n"/>
      <c r="L166" s="12" t="n"/>
      <c r="M166" s="12" t="n"/>
      <c r="N166" s="12" t="n"/>
      <c r="O166" s="12" t="inlineStr">
        <is>
          <t>pz</t>
        </is>
      </c>
      <c r="P166" s="10" t="n"/>
      <c r="Q166" s="6">
        <f>IFERROR(VLOOKUP($D166,LISTINO!$B:$I,6,FALSE),IFERROR(VLOOKUP($E166,LISTINO!$C:$I,5,FALSE),""))</f>
        <v/>
      </c>
      <c r="R166" s="13">
        <f>IF(AND(ISNUMBER(G166),ISNUMBER(Q166)),G166*Q166,"")</f>
        <v/>
      </c>
    </row>
    <row r="167">
      <c r="A167" s="5" t="inlineStr">
        <is>
          <t>ASSI DI ROTAZIONE 1303</t>
        </is>
      </c>
      <c r="B167" s="5" t="inlineStr">
        <is>
          <t>18 MODULI 1303</t>
        </is>
      </c>
      <c r="C167" s="12" t="n">
        <v>8</v>
      </c>
      <c r="D167" s="5" t="inlineStr">
        <is>
          <t>10ROND10</t>
        </is>
      </c>
      <c r="E167" s="5" t="inlineStr">
        <is>
          <t>Rondella zn 10</t>
        </is>
      </c>
      <c r="F167" s="5" t="inlineStr">
        <is>
          <t>Bulloneria e minuteria</t>
        </is>
      </c>
      <c r="G167" s="12" t="n">
        <v>8</v>
      </c>
      <c r="H167" s="12" t="n"/>
      <c r="I167" s="12" t="n">
        <v>16</v>
      </c>
      <c r="J167" s="12" t="n"/>
      <c r="K167" s="12" t="n"/>
      <c r="L167" s="12" t="n"/>
      <c r="M167" s="12" t="n"/>
      <c r="N167" s="12" t="n"/>
      <c r="O167" s="12" t="inlineStr">
        <is>
          <t>pz</t>
        </is>
      </c>
      <c r="P167" s="10" t="n"/>
      <c r="Q167" s="6">
        <f>IFERROR(VLOOKUP($D167,LISTINO!$B:$I,6,FALSE),IFERROR(VLOOKUP($E167,LISTINO!$C:$I,5,FALSE),""))</f>
        <v/>
      </c>
      <c r="R167" s="13">
        <f>IF(AND(ISNUMBER(G167),ISNUMBER(Q167)),G167*Q167,"")</f>
        <v/>
      </c>
    </row>
    <row r="168">
      <c r="A168" s="5" t="inlineStr">
        <is>
          <t>ASSI DI ROTAZIONE 1303</t>
        </is>
      </c>
      <c r="B168" s="5" t="inlineStr">
        <is>
          <t>18 MODULI 1303</t>
        </is>
      </c>
      <c r="C168" s="12" t="n">
        <v>9</v>
      </c>
      <c r="D168" s="5" t="inlineStr">
        <is>
          <t>10DAZAM10</t>
        </is>
      </c>
      <c r="E168" s="5" t="inlineStr">
        <is>
          <t>Dado autobloccante M10</t>
        </is>
      </c>
      <c r="F168" s="5" t="inlineStr">
        <is>
          <t>Bulloneria e minuteria</t>
        </is>
      </c>
      <c r="G168" s="12" t="n">
        <v>8</v>
      </c>
      <c r="H168" s="12" t="n"/>
      <c r="I168" s="12" t="n">
        <v>16</v>
      </c>
      <c r="J168" s="12" t="n"/>
      <c r="K168" s="12" t="n"/>
      <c r="L168" s="12" t="n"/>
      <c r="M168" s="12" t="n"/>
      <c r="N168" s="12" t="n"/>
      <c r="O168" s="12" t="inlineStr">
        <is>
          <t>pz</t>
        </is>
      </c>
      <c r="P168" s="10" t="n"/>
      <c r="Q168" s="6">
        <f>IFERROR(VLOOKUP($D168,LISTINO!$B:$I,6,FALSE),IFERROR(VLOOKUP($E168,LISTINO!$C:$I,5,FALSE),""))</f>
        <v/>
      </c>
      <c r="R168" s="13">
        <f>IF(AND(ISNUMBER(G168),ISNUMBER(Q168)),G168*Q168,"")</f>
        <v/>
      </c>
    </row>
    <row r="169">
      <c r="A169" s="5" t="inlineStr">
        <is>
          <t>ASSI DI ROTAZIONE 1303</t>
        </is>
      </c>
      <c r="B169" s="5" t="inlineStr">
        <is>
          <t>20 MODULI 1303</t>
        </is>
      </c>
      <c r="C169" s="12" t="n"/>
      <c r="D169" s="5" t="inlineStr">
        <is>
          <t>TTS.AR.001.7200</t>
        </is>
      </c>
      <c r="E169" s="5" t="inlineStr">
        <is>
          <t>Asse lato motore 120x120x3 mm. lunghezza mt.7,20</t>
        </is>
      </c>
      <c r="F169" s="5" t="inlineStr">
        <is>
          <t>Carpenteria metallica</t>
        </is>
      </c>
      <c r="G169" s="12" t="n">
        <v>2</v>
      </c>
      <c r="H169" s="12" t="n"/>
      <c r="I169" s="12" t="n"/>
      <c r="J169" s="12" t="n"/>
      <c r="K169" s="12" t="n"/>
      <c r="L169" s="12" t="n"/>
      <c r="M169" s="12" t="n"/>
      <c r="N169" s="12" t="n"/>
      <c r="O169" s="12" t="inlineStr">
        <is>
          <t>pz</t>
        </is>
      </c>
      <c r="P169" s="10" t="n"/>
      <c r="Q169" s="6">
        <f>IFERROR(VLOOKUP($D169,LISTINO!$B:$I,6,FALSE),IFERROR(VLOOKUP($E169,LISTINO!$C:$I,5,FALSE),""))</f>
        <v/>
      </c>
      <c r="R169" s="13">
        <f>IF(AND(ISNUMBER(G169),ISNUMBER(Q169)),G169*Q169,"")</f>
        <v/>
      </c>
    </row>
    <row r="170">
      <c r="A170" s="5" t="inlineStr">
        <is>
          <t>ASSI DI ROTAZIONE 1303</t>
        </is>
      </c>
      <c r="B170" s="5" t="inlineStr">
        <is>
          <t>20 MODULI 1303</t>
        </is>
      </c>
      <c r="C170" s="12" t="n"/>
      <c r="D170" s="5" t="inlineStr">
        <is>
          <t>TTS.AR.002.6300</t>
        </is>
      </c>
      <c r="E170" s="5" t="inlineStr">
        <is>
          <t>Asse esterno 120x120x3 mm. lunghezza mt.6,30</t>
        </is>
      </c>
      <c r="F170" s="5" t="inlineStr">
        <is>
          <t>Carpenteria metallica</t>
        </is>
      </c>
      <c r="G170" s="12" t="n">
        <v>2</v>
      </c>
      <c r="H170" s="12" t="n"/>
      <c r="I170" s="12" t="n"/>
      <c r="J170" s="12" t="n"/>
      <c r="K170" s="12" t="n"/>
      <c r="L170" s="12" t="n"/>
      <c r="M170" s="12" t="n"/>
      <c r="N170" s="12" t="n"/>
      <c r="O170" s="12" t="inlineStr">
        <is>
          <t>pz</t>
        </is>
      </c>
      <c r="P170" s="10" t="n"/>
      <c r="Q170" s="6">
        <f>IFERROR(VLOOKUP($D170,LISTINO!$B:$I,6,FALSE),IFERROR(VLOOKUP($E170,LISTINO!$C:$I,5,FALSE),""))</f>
        <v/>
      </c>
      <c r="R170" s="13">
        <f>IF(AND(ISNUMBER(G170),ISNUMBER(Q170)),G170*Q170,"")</f>
        <v/>
      </c>
    </row>
    <row r="171">
      <c r="A171" s="5" t="inlineStr">
        <is>
          <t>ASSI DI ROTAZIONE 1303</t>
        </is>
      </c>
      <c r="B171" s="5" t="inlineStr">
        <is>
          <t>20 MODULI 1303</t>
        </is>
      </c>
      <c r="C171" s="12" t="n"/>
      <c r="D171" s="5" t="inlineStr">
        <is>
          <t>TTS.AR.002.6300.25</t>
        </is>
      </c>
      <c r="E171" s="5" t="inlineStr">
        <is>
          <t>Asse esterno 120x120x2,5 mm. lunghezza mt.6,30</t>
        </is>
      </c>
      <c r="F171" s="5" t="inlineStr">
        <is>
          <t>Carpenteria metallica</t>
        </is>
      </c>
      <c r="G171" s="12" t="n">
        <v>0</v>
      </c>
      <c r="H171" s="12" t="n"/>
      <c r="I171" s="12" t="n"/>
      <c r="J171" s="12" t="n"/>
      <c r="K171" s="12" t="n"/>
      <c r="L171" s="12" t="n"/>
      <c r="M171" s="12" t="n"/>
      <c r="N171" s="12" t="n"/>
      <c r="O171" s="12" t="inlineStr">
        <is>
          <t>pz</t>
        </is>
      </c>
      <c r="P171" s="10" t="n"/>
      <c r="Q171" s="6">
        <f>IFERROR(VLOOKUP($D171,LISTINO!$B:$I,6,FALSE),IFERROR(VLOOKUP($E171,LISTINO!$C:$I,5,FALSE),""))</f>
        <v/>
      </c>
      <c r="R171" s="13">
        <f>IF(AND(ISNUMBER(G171),ISNUMBER(Q171)),G171*Q171,"")</f>
        <v/>
      </c>
    </row>
    <row r="172">
      <c r="A172" s="5" t="inlineStr">
        <is>
          <t>ASSI DI ROTAZIONE 1303</t>
        </is>
      </c>
      <c r="B172" s="5" t="inlineStr">
        <is>
          <t>20 MODULI 1303</t>
        </is>
      </c>
      <c r="C172" s="12" t="n"/>
      <c r="D172" s="5" t="inlineStr">
        <is>
          <t>TTS.AR.201</t>
        </is>
      </c>
      <c r="E172" s="5" t="inlineStr">
        <is>
          <t>Kit giunzione asse di collegamento</t>
        </is>
      </c>
      <c r="F172" s="5" t="inlineStr">
        <is>
          <t>Carpenteria metallica</t>
        </is>
      </c>
      <c r="G172" s="12" t="n">
        <v>2</v>
      </c>
      <c r="H172" s="12" t="n"/>
      <c r="I172" s="12" t="n"/>
      <c r="J172" s="12" t="n"/>
      <c r="K172" s="12" t="n"/>
      <c r="L172" s="12" t="n"/>
      <c r="M172" s="12" t="n"/>
      <c r="N172" s="12" t="n"/>
      <c r="O172" s="12" t="inlineStr">
        <is>
          <t>pz</t>
        </is>
      </c>
      <c r="P172" s="10" t="n"/>
      <c r="Q172" s="6">
        <f>IFERROR(VLOOKUP($D172,LISTINO!$B:$I,6,FALSE),IFERROR(VLOOKUP($E172,LISTINO!$C:$I,5,FALSE),""))</f>
        <v/>
      </c>
      <c r="R172" s="13">
        <f>IF(AND(ISNUMBER(G172),ISNUMBER(Q172)),G172*Q172,"")</f>
        <v/>
      </c>
    </row>
    <row r="173">
      <c r="A173" s="5" t="inlineStr">
        <is>
          <t>ASSI DI ROTAZIONE 1303</t>
        </is>
      </c>
      <c r="B173" s="5" t="inlineStr">
        <is>
          <t>20 MODULI 1303</t>
        </is>
      </c>
      <c r="C173" s="12" t="n">
        <v>1</v>
      </c>
      <c r="D173" s="5" t="inlineStr">
        <is>
          <t>TTS.AR.2011</t>
        </is>
      </c>
      <c r="E173" s="5" t="inlineStr">
        <is>
          <t>Gaffa giunzione asse</t>
        </is>
      </c>
      <c r="F173" s="5" t="inlineStr">
        <is>
          <t>Carpenteria metallica</t>
        </is>
      </c>
      <c r="G173" s="12" t="n">
        <v>2</v>
      </c>
      <c r="H173" s="12" t="n"/>
      <c r="I173" s="12" t="n"/>
      <c r="J173" s="12" t="n">
        <v>4</v>
      </c>
      <c r="K173" s="12" t="n"/>
      <c r="L173" s="12" t="n"/>
      <c r="M173" s="12" t="n"/>
      <c r="N173" s="12" t="n"/>
      <c r="O173" s="12" t="inlineStr">
        <is>
          <t>pz</t>
        </is>
      </c>
      <c r="P173" s="10" t="n"/>
      <c r="Q173" s="6">
        <f>IFERROR(VLOOKUP($D173,LISTINO!$B:$I,6,FALSE),IFERROR(VLOOKUP($E173,LISTINO!$C:$I,5,FALSE),""))</f>
        <v/>
      </c>
      <c r="R173" s="13">
        <f>IF(AND(ISNUMBER(G173),ISNUMBER(Q173)),G173*Q173,"")</f>
        <v/>
      </c>
    </row>
    <row r="174">
      <c r="A174" s="5" t="inlineStr">
        <is>
          <t>ASSI DI ROTAZIONE 1303</t>
        </is>
      </c>
      <c r="B174" s="5" t="inlineStr">
        <is>
          <t>20 MODULI 1303</t>
        </is>
      </c>
      <c r="C174" s="12" t="n">
        <v>2</v>
      </c>
      <c r="D174" s="5" t="inlineStr">
        <is>
          <t>10BZM8X150</t>
        </is>
      </c>
      <c r="E174" s="5" t="inlineStr">
        <is>
          <t>Bullone testa esagonale zn M8X150</t>
        </is>
      </c>
      <c r="F174" s="5" t="inlineStr">
        <is>
          <t>Bulloneria e minuteria</t>
        </is>
      </c>
      <c r="G174" s="12" t="n">
        <v>2</v>
      </c>
      <c r="H174" s="12" t="n"/>
      <c r="I174" s="12" t="n"/>
      <c r="J174" s="12" t="n">
        <v>4</v>
      </c>
      <c r="K174" s="12" t="n"/>
      <c r="L174" s="12" t="n"/>
      <c r="M174" s="12" t="n"/>
      <c r="N174" s="12" t="n"/>
      <c r="O174" s="12" t="inlineStr">
        <is>
          <t>pz</t>
        </is>
      </c>
      <c r="P174" s="10" t="n"/>
      <c r="Q174" s="6">
        <f>IFERROR(VLOOKUP($D174,LISTINO!$B:$I,6,FALSE),IFERROR(VLOOKUP($E174,LISTINO!$C:$I,5,FALSE),""))</f>
        <v/>
      </c>
      <c r="R174" s="13">
        <f>IF(AND(ISNUMBER(G174),ISNUMBER(Q174)),G174*Q174,"")</f>
        <v/>
      </c>
    </row>
    <row r="175">
      <c r="A175" s="5" t="inlineStr">
        <is>
          <t>ASSI DI ROTAZIONE 1303</t>
        </is>
      </c>
      <c r="B175" s="5" t="inlineStr">
        <is>
          <t>20 MODULI 1303</t>
        </is>
      </c>
      <c r="C175" s="12" t="n">
        <v>3</v>
      </c>
      <c r="D175" s="5" t="inlineStr">
        <is>
          <t>10ROND8</t>
        </is>
      </c>
      <c r="E175" s="5" t="inlineStr">
        <is>
          <t>Rondella zn 8</t>
        </is>
      </c>
      <c r="F175" s="5" t="inlineStr">
        <is>
          <t>Bulloneria e minuteria</t>
        </is>
      </c>
      <c r="G175" s="12" t="n">
        <v>2</v>
      </c>
      <c r="H175" s="12" t="n"/>
      <c r="I175" s="12" t="n"/>
      <c r="J175" s="12" t="n">
        <v>4</v>
      </c>
      <c r="K175" s="12" t="n"/>
      <c r="L175" s="12" t="n"/>
      <c r="M175" s="12" t="n"/>
      <c r="N175" s="12" t="n"/>
      <c r="O175" s="12" t="inlineStr">
        <is>
          <t>pz</t>
        </is>
      </c>
      <c r="P175" s="10" t="n"/>
      <c r="Q175" s="6">
        <f>IFERROR(VLOOKUP($D175,LISTINO!$B:$I,6,FALSE),IFERROR(VLOOKUP($E175,LISTINO!$C:$I,5,FALSE),""))</f>
        <v/>
      </c>
      <c r="R175" s="13">
        <f>IF(AND(ISNUMBER(G175),ISNUMBER(Q175)),G175*Q175,"")</f>
        <v/>
      </c>
    </row>
    <row r="176">
      <c r="A176" s="5" t="inlineStr">
        <is>
          <t>ASSI DI ROTAZIONE 1303</t>
        </is>
      </c>
      <c r="B176" s="5" t="inlineStr">
        <is>
          <t>20 MODULI 1303</t>
        </is>
      </c>
      <c r="C176" s="12" t="n">
        <v>4</v>
      </c>
      <c r="D176" s="5" t="inlineStr">
        <is>
          <t>10ROND8</t>
        </is>
      </c>
      <c r="E176" s="5" t="inlineStr">
        <is>
          <t>Rondella zn 8</t>
        </is>
      </c>
      <c r="F176" s="5" t="inlineStr">
        <is>
          <t>Bulloneria e minuteria</t>
        </is>
      </c>
      <c r="G176" s="12" t="n">
        <v>2</v>
      </c>
      <c r="H176" s="12" t="n"/>
      <c r="I176" s="12" t="n"/>
      <c r="J176" s="12" t="n">
        <v>4</v>
      </c>
      <c r="K176" s="12" t="n"/>
      <c r="L176" s="12" t="n"/>
      <c r="M176" s="12" t="n"/>
      <c r="N176" s="12" t="n"/>
      <c r="O176" s="12" t="inlineStr">
        <is>
          <t>pz</t>
        </is>
      </c>
      <c r="P176" s="10" t="n"/>
      <c r="Q176" s="6">
        <f>IFERROR(VLOOKUP($D176,LISTINO!$B:$I,6,FALSE),IFERROR(VLOOKUP($E176,LISTINO!$C:$I,5,FALSE),""))</f>
        <v/>
      </c>
      <c r="R176" s="13">
        <f>IF(AND(ISNUMBER(G176),ISNUMBER(Q176)),G176*Q176,"")</f>
        <v/>
      </c>
    </row>
    <row r="177">
      <c r="A177" s="5" t="inlineStr">
        <is>
          <t>ASSI DI ROTAZIONE 1303</t>
        </is>
      </c>
      <c r="B177" s="5" t="inlineStr">
        <is>
          <t>20 MODULI 1303</t>
        </is>
      </c>
      <c r="C177" s="12" t="n">
        <v>5</v>
      </c>
      <c r="D177" s="5" t="inlineStr">
        <is>
          <t>10DAZAM8</t>
        </is>
      </c>
      <c r="E177" s="5" t="inlineStr">
        <is>
          <t>Dado autobloccante M8</t>
        </is>
      </c>
      <c r="F177" s="5" t="inlineStr">
        <is>
          <t>Bulloneria e minuteria</t>
        </is>
      </c>
      <c r="G177" s="12" t="n">
        <v>2</v>
      </c>
      <c r="H177" s="12" t="n"/>
      <c r="I177" s="12" t="n"/>
      <c r="J177" s="12" t="n">
        <v>4</v>
      </c>
      <c r="K177" s="12" t="n"/>
      <c r="L177" s="12" t="n"/>
      <c r="M177" s="12" t="n"/>
      <c r="N177" s="12" t="n"/>
      <c r="O177" s="12" t="inlineStr">
        <is>
          <t>pz</t>
        </is>
      </c>
      <c r="P177" s="10" t="n"/>
      <c r="Q177" s="6">
        <f>IFERROR(VLOOKUP($D177,LISTINO!$B:$I,6,FALSE),IFERROR(VLOOKUP($E177,LISTINO!$C:$I,5,FALSE),""))</f>
        <v/>
      </c>
      <c r="R177" s="13">
        <f>IF(AND(ISNUMBER(G177),ISNUMBER(Q177)),G177*Q177,"")</f>
        <v/>
      </c>
    </row>
    <row r="178">
      <c r="A178" s="5" t="inlineStr">
        <is>
          <t>ASSI DI ROTAZIONE 1303</t>
        </is>
      </c>
      <c r="B178" s="5" t="inlineStr">
        <is>
          <t>20 MODULI 1303</t>
        </is>
      </c>
      <c r="C178" s="12" t="n">
        <v>6</v>
      </c>
      <c r="D178" s="5" t="inlineStr">
        <is>
          <t>10BZM10X30</t>
        </is>
      </c>
      <c r="E178" s="5" t="inlineStr">
        <is>
          <t>Bullone testa esagonale zn M10X30</t>
        </is>
      </c>
      <c r="F178" s="5" t="inlineStr">
        <is>
          <t>Bulloneria e minuteria</t>
        </is>
      </c>
      <c r="G178" s="12" t="n">
        <v>8</v>
      </c>
      <c r="H178" s="12" t="n"/>
      <c r="I178" s="12" t="n"/>
      <c r="J178" s="12" t="n">
        <v>16</v>
      </c>
      <c r="K178" s="12" t="n"/>
      <c r="L178" s="12" t="n"/>
      <c r="M178" s="12" t="n"/>
      <c r="N178" s="12" t="n"/>
      <c r="O178" s="12" t="inlineStr">
        <is>
          <t>pz</t>
        </is>
      </c>
      <c r="P178" s="10" t="n"/>
      <c r="Q178" s="6">
        <f>IFERROR(VLOOKUP($D178,LISTINO!$B:$I,6,FALSE),IFERROR(VLOOKUP($E178,LISTINO!$C:$I,5,FALSE),""))</f>
        <v/>
      </c>
      <c r="R178" s="13">
        <f>IF(AND(ISNUMBER(G178),ISNUMBER(Q178)),G178*Q178,"")</f>
        <v/>
      </c>
    </row>
    <row r="179">
      <c r="A179" s="5" t="inlineStr">
        <is>
          <t>ASSI DI ROTAZIONE 1303</t>
        </is>
      </c>
      <c r="B179" s="5" t="inlineStr">
        <is>
          <t>20 MODULI 1303</t>
        </is>
      </c>
      <c r="C179" s="12" t="n">
        <v>7</v>
      </c>
      <c r="D179" s="5" t="inlineStr">
        <is>
          <t>10ROND10</t>
        </is>
      </c>
      <c r="E179" s="5" t="inlineStr">
        <is>
          <t>Rondella zn 10</t>
        </is>
      </c>
      <c r="F179" s="5" t="inlineStr">
        <is>
          <t>Bulloneria e minuteria</t>
        </is>
      </c>
      <c r="G179" s="12" t="n">
        <v>8</v>
      </c>
      <c r="H179" s="12" t="n"/>
      <c r="I179" s="12" t="n"/>
      <c r="J179" s="12" t="n">
        <v>16</v>
      </c>
      <c r="K179" s="12" t="n"/>
      <c r="L179" s="12" t="n"/>
      <c r="M179" s="12" t="n"/>
      <c r="N179" s="12" t="n"/>
      <c r="O179" s="12" t="inlineStr">
        <is>
          <t>pz</t>
        </is>
      </c>
      <c r="P179" s="10" t="n"/>
      <c r="Q179" s="6">
        <f>IFERROR(VLOOKUP($D179,LISTINO!$B:$I,6,FALSE),IFERROR(VLOOKUP($E179,LISTINO!$C:$I,5,FALSE),""))</f>
        <v/>
      </c>
      <c r="R179" s="13">
        <f>IF(AND(ISNUMBER(G179),ISNUMBER(Q179)),G179*Q179,"")</f>
        <v/>
      </c>
    </row>
    <row r="180">
      <c r="A180" s="5" t="inlineStr">
        <is>
          <t>ASSI DI ROTAZIONE 1303</t>
        </is>
      </c>
      <c r="B180" s="5" t="inlineStr">
        <is>
          <t>20 MODULI 1303</t>
        </is>
      </c>
      <c r="C180" s="12" t="n">
        <v>8</v>
      </c>
      <c r="D180" s="5" t="inlineStr">
        <is>
          <t>10ROND10</t>
        </is>
      </c>
      <c r="E180" s="5" t="inlineStr">
        <is>
          <t>Rondella zn 10</t>
        </is>
      </c>
      <c r="F180" s="5" t="inlineStr">
        <is>
          <t>Bulloneria e minuteria</t>
        </is>
      </c>
      <c r="G180" s="12" t="n">
        <v>8</v>
      </c>
      <c r="H180" s="12" t="n"/>
      <c r="I180" s="12" t="n"/>
      <c r="J180" s="12" t="n">
        <v>16</v>
      </c>
      <c r="K180" s="12" t="n"/>
      <c r="L180" s="12" t="n"/>
      <c r="M180" s="12" t="n"/>
      <c r="N180" s="12" t="n"/>
      <c r="O180" s="12" t="inlineStr">
        <is>
          <t>pz</t>
        </is>
      </c>
      <c r="P180" s="10" t="n"/>
      <c r="Q180" s="6">
        <f>IFERROR(VLOOKUP($D180,LISTINO!$B:$I,6,FALSE),IFERROR(VLOOKUP($E180,LISTINO!$C:$I,5,FALSE),""))</f>
        <v/>
      </c>
      <c r="R180" s="13">
        <f>IF(AND(ISNUMBER(G180),ISNUMBER(Q180)),G180*Q180,"")</f>
        <v/>
      </c>
    </row>
    <row r="181">
      <c r="A181" s="5" t="inlineStr">
        <is>
          <t>ASSI DI ROTAZIONE 1303</t>
        </is>
      </c>
      <c r="B181" s="5" t="inlineStr">
        <is>
          <t>20 MODULI 1303</t>
        </is>
      </c>
      <c r="C181" s="12" t="n">
        <v>9</v>
      </c>
      <c r="D181" s="5" t="inlineStr">
        <is>
          <t>10DAZAM10</t>
        </is>
      </c>
      <c r="E181" s="5" t="inlineStr">
        <is>
          <t>Dado autobloccante M10</t>
        </is>
      </c>
      <c r="F181" s="5" t="inlineStr">
        <is>
          <t>Bulloneria e minuteria</t>
        </is>
      </c>
      <c r="G181" s="12" t="n">
        <v>8</v>
      </c>
      <c r="H181" s="12" t="n"/>
      <c r="I181" s="12" t="n"/>
      <c r="J181" s="12" t="n">
        <v>16</v>
      </c>
      <c r="K181" s="12" t="n"/>
      <c r="L181" s="12" t="n"/>
      <c r="M181" s="12" t="n"/>
      <c r="N181" s="12" t="n"/>
      <c r="O181" s="12" t="inlineStr">
        <is>
          <t>pz</t>
        </is>
      </c>
      <c r="P181" s="10" t="n"/>
      <c r="Q181" s="6">
        <f>IFERROR(VLOOKUP($D181,LISTINO!$B:$I,6,FALSE),IFERROR(VLOOKUP($E181,LISTINO!$C:$I,5,FALSE),""))</f>
        <v/>
      </c>
      <c r="R181" s="13">
        <f>IF(AND(ISNUMBER(G181),ISNUMBER(Q181)),G181*Q181,"")</f>
        <v/>
      </c>
    </row>
    <row r="182">
      <c r="A182" s="5" t="inlineStr">
        <is>
          <t>ASSI DI ROTAZIONE 1303</t>
        </is>
      </c>
      <c r="B182" s="5" t="inlineStr">
        <is>
          <t>22 MODULI 1303</t>
        </is>
      </c>
      <c r="C182" s="12" t="n"/>
      <c r="D182" s="5" t="inlineStr">
        <is>
          <t>TTS.AR.001.8700</t>
        </is>
      </c>
      <c r="E182" s="5" t="inlineStr">
        <is>
          <t>Asse lato motore 120x120x3 mm. lunghezza mt.8,70</t>
        </is>
      </c>
      <c r="F182" s="5" t="inlineStr">
        <is>
          <t>Carpenteria metallica</t>
        </is>
      </c>
      <c r="G182" s="12" t="n">
        <v>2</v>
      </c>
      <c r="H182" s="12" t="n"/>
      <c r="I182" s="12" t="n"/>
      <c r="J182" s="12" t="n"/>
      <c r="K182" s="12" t="n"/>
      <c r="L182" s="12" t="n"/>
      <c r="M182" s="12" t="n"/>
      <c r="N182" s="12" t="n"/>
      <c r="O182" s="12" t="inlineStr">
        <is>
          <t>pz</t>
        </is>
      </c>
      <c r="P182" s="10" t="n"/>
      <c r="Q182" s="6">
        <f>IFERROR(VLOOKUP($D182,LISTINO!$B:$I,6,FALSE),IFERROR(VLOOKUP($E182,LISTINO!$C:$I,5,FALSE),""))</f>
        <v/>
      </c>
      <c r="R182" s="13">
        <f>IF(AND(ISNUMBER(G182),ISNUMBER(Q182)),G182*Q182,"")</f>
        <v/>
      </c>
    </row>
    <row r="183">
      <c r="A183" s="5" t="inlineStr">
        <is>
          <t>ASSI DI ROTAZIONE 1303</t>
        </is>
      </c>
      <c r="B183" s="5" t="inlineStr">
        <is>
          <t>22 MODULI 1303</t>
        </is>
      </c>
      <c r="C183" s="12" t="n"/>
      <c r="D183" s="5" t="inlineStr">
        <is>
          <t>TTS.AR.001.8700.25</t>
        </is>
      </c>
      <c r="E183" s="5" t="inlineStr">
        <is>
          <t>Asse lato motore 120x120x2,5 mm. lunghezza mt.8,70</t>
        </is>
      </c>
      <c r="F183" s="5" t="inlineStr">
        <is>
          <t>Carpenteria metallica</t>
        </is>
      </c>
      <c r="G183" s="12" t="n">
        <v>0</v>
      </c>
      <c r="H183" s="12" t="n"/>
      <c r="I183" s="12" t="n"/>
      <c r="J183" s="12" t="n"/>
      <c r="K183" s="12" t="n"/>
      <c r="L183" s="12" t="n"/>
      <c r="M183" s="12" t="n"/>
      <c r="N183" s="12" t="n"/>
      <c r="O183" s="12" t="inlineStr">
        <is>
          <t>pz</t>
        </is>
      </c>
      <c r="P183" s="10" t="n"/>
      <c r="Q183" s="6">
        <f>IFERROR(VLOOKUP($D183,LISTINO!$B:$I,6,FALSE),IFERROR(VLOOKUP($E183,LISTINO!$C:$I,5,FALSE),""))</f>
        <v/>
      </c>
      <c r="R183" s="13">
        <f>IF(AND(ISNUMBER(G183),ISNUMBER(Q183)),G183*Q183,"")</f>
        <v/>
      </c>
    </row>
    <row r="184">
      <c r="A184" s="5" t="inlineStr">
        <is>
          <t>ASSI DI ROTAZIONE 1303</t>
        </is>
      </c>
      <c r="B184" s="5" t="inlineStr">
        <is>
          <t>22 MODULI 1303</t>
        </is>
      </c>
      <c r="C184" s="12" t="n"/>
      <c r="D184" s="5" t="inlineStr">
        <is>
          <t>TTS.AR.002.6150</t>
        </is>
      </c>
      <c r="E184" s="5" t="inlineStr">
        <is>
          <t>Asse esterno 120x120x3 mm. lunghezza mt.6,15</t>
        </is>
      </c>
      <c r="F184" s="5" t="inlineStr">
        <is>
          <t>Carpenteria metallica</t>
        </is>
      </c>
      <c r="G184" s="12" t="n">
        <v>2</v>
      </c>
      <c r="H184" s="12" t="n"/>
      <c r="I184" s="12" t="n"/>
      <c r="J184" s="12" t="n"/>
      <c r="K184" s="12" t="n"/>
      <c r="L184" s="12" t="n"/>
      <c r="M184" s="12" t="n"/>
      <c r="N184" s="12" t="n"/>
      <c r="O184" s="12" t="inlineStr">
        <is>
          <t>pz</t>
        </is>
      </c>
      <c r="P184" s="10" t="n"/>
      <c r="Q184" s="6">
        <f>IFERROR(VLOOKUP($D184,LISTINO!$B:$I,6,FALSE),IFERROR(VLOOKUP($E184,LISTINO!$C:$I,5,FALSE),""))</f>
        <v/>
      </c>
      <c r="R184" s="13">
        <f>IF(AND(ISNUMBER(G184),ISNUMBER(Q184)),G184*Q184,"")</f>
        <v/>
      </c>
    </row>
    <row r="185">
      <c r="A185" s="5" t="inlineStr">
        <is>
          <t>ASSI DI ROTAZIONE 1303</t>
        </is>
      </c>
      <c r="B185" s="5" t="inlineStr">
        <is>
          <t>22 MODULI 1303</t>
        </is>
      </c>
      <c r="C185" s="12" t="n"/>
      <c r="D185" s="5" t="inlineStr">
        <is>
          <t>TTS.AR.002.6150.25</t>
        </is>
      </c>
      <c r="E185" s="5" t="inlineStr">
        <is>
          <t>Asse esterno 120x120x2,5 mm. lunghezza mt.6,15</t>
        </is>
      </c>
      <c r="F185" s="5" t="inlineStr">
        <is>
          <t>Carpenteria metallica</t>
        </is>
      </c>
      <c r="G185" s="12" t="n">
        <v>0</v>
      </c>
      <c r="H185" s="12" t="n"/>
      <c r="I185" s="12" t="n"/>
      <c r="J185" s="12" t="n"/>
      <c r="K185" s="12" t="n"/>
      <c r="L185" s="12" t="n"/>
      <c r="M185" s="12" t="n"/>
      <c r="N185" s="12" t="n"/>
      <c r="O185" s="12" t="inlineStr">
        <is>
          <t>pz</t>
        </is>
      </c>
      <c r="P185" s="10" t="n"/>
      <c r="Q185" s="6">
        <f>IFERROR(VLOOKUP($D185,LISTINO!$B:$I,6,FALSE),IFERROR(VLOOKUP($E185,LISTINO!$C:$I,5,FALSE),""))</f>
        <v/>
      </c>
      <c r="R185" s="13">
        <f>IF(AND(ISNUMBER(G185),ISNUMBER(Q185)),G185*Q185,"")</f>
        <v/>
      </c>
    </row>
    <row r="186">
      <c r="A186" s="5" t="inlineStr">
        <is>
          <t>ASSI DI ROTAZIONE 1303</t>
        </is>
      </c>
      <c r="B186" s="5" t="inlineStr">
        <is>
          <t>22 MODULI 1303</t>
        </is>
      </c>
      <c r="C186" s="12" t="n"/>
      <c r="D186" s="5" t="inlineStr">
        <is>
          <t>TTS.AR.201</t>
        </is>
      </c>
      <c r="E186" s="5" t="inlineStr">
        <is>
          <t>Kit giunzione asse di collegamento</t>
        </is>
      </c>
      <c r="F186" s="5" t="inlineStr">
        <is>
          <t>Carpenteria metallica</t>
        </is>
      </c>
      <c r="G186" s="12" t="n">
        <v>2</v>
      </c>
      <c r="H186" s="12" t="n"/>
      <c r="I186" s="12" t="n"/>
      <c r="J186" s="12" t="n"/>
      <c r="K186" s="12" t="n"/>
      <c r="L186" s="12" t="n"/>
      <c r="M186" s="12" t="n"/>
      <c r="N186" s="12" t="n"/>
      <c r="O186" s="12" t="inlineStr">
        <is>
          <t>pz</t>
        </is>
      </c>
      <c r="P186" s="10" t="n"/>
      <c r="Q186" s="6">
        <f>IFERROR(VLOOKUP($D186,LISTINO!$B:$I,6,FALSE),IFERROR(VLOOKUP($E186,LISTINO!$C:$I,5,FALSE),""))</f>
        <v/>
      </c>
      <c r="R186" s="13">
        <f>IF(AND(ISNUMBER(G186),ISNUMBER(Q186)),G186*Q186,"")</f>
        <v/>
      </c>
    </row>
    <row r="187">
      <c r="A187" s="5" t="inlineStr">
        <is>
          <t>ASSI DI ROTAZIONE 1303</t>
        </is>
      </c>
      <c r="B187" s="5" t="inlineStr">
        <is>
          <t>22 MODULI 1303</t>
        </is>
      </c>
      <c r="C187" s="12" t="n">
        <v>1</v>
      </c>
      <c r="D187" s="5" t="inlineStr">
        <is>
          <t>TTS.AR.2011</t>
        </is>
      </c>
      <c r="E187" s="5" t="inlineStr">
        <is>
          <t>Gaffa giunzione asse</t>
        </is>
      </c>
      <c r="F187" s="5" t="inlineStr">
        <is>
          <t>Carpenteria metallica</t>
        </is>
      </c>
      <c r="G187" s="12" t="n">
        <v>2</v>
      </c>
      <c r="H187" s="12" t="n"/>
      <c r="I187" s="12" t="n"/>
      <c r="J187" s="12" t="n"/>
      <c r="K187" s="12" t="n">
        <v>4</v>
      </c>
      <c r="L187" s="12" t="n"/>
      <c r="M187" s="12" t="n"/>
      <c r="N187" s="12" t="n"/>
      <c r="O187" s="12" t="inlineStr">
        <is>
          <t>pz</t>
        </is>
      </c>
      <c r="P187" s="10" t="n"/>
      <c r="Q187" s="6">
        <f>IFERROR(VLOOKUP($D187,LISTINO!$B:$I,6,FALSE),IFERROR(VLOOKUP($E187,LISTINO!$C:$I,5,FALSE),""))</f>
        <v/>
      </c>
      <c r="R187" s="13">
        <f>IF(AND(ISNUMBER(G187),ISNUMBER(Q187)),G187*Q187,"")</f>
        <v/>
      </c>
    </row>
    <row r="188">
      <c r="A188" s="5" t="inlineStr">
        <is>
          <t>ASSI DI ROTAZIONE 1303</t>
        </is>
      </c>
      <c r="B188" s="5" t="inlineStr">
        <is>
          <t>22 MODULI 1303</t>
        </is>
      </c>
      <c r="C188" s="12" t="n">
        <v>2</v>
      </c>
      <c r="D188" s="5" t="inlineStr">
        <is>
          <t>10BZM8X150</t>
        </is>
      </c>
      <c r="E188" s="5" t="inlineStr">
        <is>
          <t>Bullone testa esagonale zn M8X150</t>
        </is>
      </c>
      <c r="F188" s="5" t="inlineStr">
        <is>
          <t>Bulloneria e minuteria</t>
        </is>
      </c>
      <c r="G188" s="12" t="n">
        <v>2</v>
      </c>
      <c r="H188" s="12" t="n"/>
      <c r="I188" s="12" t="n"/>
      <c r="J188" s="12" t="n"/>
      <c r="K188" s="12" t="n">
        <v>4</v>
      </c>
      <c r="L188" s="12" t="n"/>
      <c r="M188" s="12" t="n"/>
      <c r="N188" s="12" t="n"/>
      <c r="O188" s="12" t="inlineStr">
        <is>
          <t>pz</t>
        </is>
      </c>
      <c r="P188" s="10" t="n"/>
      <c r="Q188" s="6">
        <f>IFERROR(VLOOKUP($D188,LISTINO!$B:$I,6,FALSE),IFERROR(VLOOKUP($E188,LISTINO!$C:$I,5,FALSE),""))</f>
        <v/>
      </c>
      <c r="R188" s="13">
        <f>IF(AND(ISNUMBER(G188),ISNUMBER(Q188)),G188*Q188,"")</f>
        <v/>
      </c>
    </row>
    <row r="189">
      <c r="A189" s="5" t="inlineStr">
        <is>
          <t>ASSI DI ROTAZIONE 1303</t>
        </is>
      </c>
      <c r="B189" s="5" t="inlineStr">
        <is>
          <t>22 MODULI 1303</t>
        </is>
      </c>
      <c r="C189" s="12" t="n">
        <v>3</v>
      </c>
      <c r="D189" s="5" t="inlineStr">
        <is>
          <t>10ROND8</t>
        </is>
      </c>
      <c r="E189" s="5" t="inlineStr">
        <is>
          <t>Rondella zn 8</t>
        </is>
      </c>
      <c r="F189" s="5" t="inlineStr">
        <is>
          <t>Bulloneria e minuteria</t>
        </is>
      </c>
      <c r="G189" s="12" t="n">
        <v>2</v>
      </c>
      <c r="H189" s="12" t="n"/>
      <c r="I189" s="12" t="n"/>
      <c r="J189" s="12" t="n"/>
      <c r="K189" s="12" t="n">
        <v>4</v>
      </c>
      <c r="L189" s="12" t="n"/>
      <c r="M189" s="12" t="n"/>
      <c r="N189" s="12" t="n"/>
      <c r="O189" s="12" t="inlineStr">
        <is>
          <t>pz</t>
        </is>
      </c>
      <c r="P189" s="10" t="n"/>
      <c r="Q189" s="6">
        <f>IFERROR(VLOOKUP($D189,LISTINO!$B:$I,6,FALSE),IFERROR(VLOOKUP($E189,LISTINO!$C:$I,5,FALSE),""))</f>
        <v/>
      </c>
      <c r="R189" s="13">
        <f>IF(AND(ISNUMBER(G189),ISNUMBER(Q189)),G189*Q189,"")</f>
        <v/>
      </c>
    </row>
    <row r="190">
      <c r="A190" s="5" t="inlineStr">
        <is>
          <t>ASSI DI ROTAZIONE 1303</t>
        </is>
      </c>
      <c r="B190" s="5" t="inlineStr">
        <is>
          <t>22 MODULI 1303</t>
        </is>
      </c>
      <c r="C190" s="12" t="n">
        <v>4</v>
      </c>
      <c r="D190" s="5" t="inlineStr">
        <is>
          <t>10ROND8</t>
        </is>
      </c>
      <c r="E190" s="5" t="inlineStr">
        <is>
          <t>Rondella zn 8</t>
        </is>
      </c>
      <c r="F190" s="5" t="inlineStr">
        <is>
          <t>Bulloneria e minuteria</t>
        </is>
      </c>
      <c r="G190" s="12" t="n">
        <v>2</v>
      </c>
      <c r="H190" s="12" t="n"/>
      <c r="I190" s="12" t="n"/>
      <c r="J190" s="12" t="n"/>
      <c r="K190" s="12" t="n">
        <v>4</v>
      </c>
      <c r="L190" s="12" t="n"/>
      <c r="M190" s="12" t="n"/>
      <c r="N190" s="12" t="n"/>
      <c r="O190" s="12" t="inlineStr">
        <is>
          <t>pz</t>
        </is>
      </c>
      <c r="P190" s="10" t="n"/>
      <c r="Q190" s="6">
        <f>IFERROR(VLOOKUP($D190,LISTINO!$B:$I,6,FALSE),IFERROR(VLOOKUP($E190,LISTINO!$C:$I,5,FALSE),""))</f>
        <v/>
      </c>
      <c r="R190" s="13">
        <f>IF(AND(ISNUMBER(G190),ISNUMBER(Q190)),G190*Q190,"")</f>
        <v/>
      </c>
    </row>
    <row r="191">
      <c r="A191" s="5" t="inlineStr">
        <is>
          <t>ASSI DI ROTAZIONE 1303</t>
        </is>
      </c>
      <c r="B191" s="5" t="inlineStr">
        <is>
          <t>22 MODULI 1303</t>
        </is>
      </c>
      <c r="C191" s="12" t="n">
        <v>5</v>
      </c>
      <c r="D191" s="5" t="inlineStr">
        <is>
          <t>10DAZAM8</t>
        </is>
      </c>
      <c r="E191" s="5" t="inlineStr">
        <is>
          <t>Dado autobloccante M8</t>
        </is>
      </c>
      <c r="F191" s="5" t="inlineStr">
        <is>
          <t>Bulloneria e minuteria</t>
        </is>
      </c>
      <c r="G191" s="12" t="n">
        <v>2</v>
      </c>
      <c r="H191" s="12" t="n"/>
      <c r="I191" s="12" t="n"/>
      <c r="J191" s="12" t="n"/>
      <c r="K191" s="12" t="n">
        <v>4</v>
      </c>
      <c r="L191" s="12" t="n"/>
      <c r="M191" s="12" t="n"/>
      <c r="N191" s="12" t="n"/>
      <c r="O191" s="12" t="inlineStr">
        <is>
          <t>pz</t>
        </is>
      </c>
      <c r="P191" s="10" t="n"/>
      <c r="Q191" s="6">
        <f>IFERROR(VLOOKUP($D191,LISTINO!$B:$I,6,FALSE),IFERROR(VLOOKUP($E191,LISTINO!$C:$I,5,FALSE),""))</f>
        <v/>
      </c>
      <c r="R191" s="13">
        <f>IF(AND(ISNUMBER(G191),ISNUMBER(Q191)),G191*Q191,"")</f>
        <v/>
      </c>
    </row>
    <row r="192">
      <c r="A192" s="5" t="inlineStr">
        <is>
          <t>ASSI DI ROTAZIONE 1303</t>
        </is>
      </c>
      <c r="B192" s="5" t="inlineStr">
        <is>
          <t>22 MODULI 1303</t>
        </is>
      </c>
      <c r="C192" s="12" t="n">
        <v>6</v>
      </c>
      <c r="D192" s="5" t="inlineStr">
        <is>
          <t>10BZM10X30</t>
        </is>
      </c>
      <c r="E192" s="5" t="inlineStr">
        <is>
          <t>Bullone testa esagonale zn M10X30</t>
        </is>
      </c>
      <c r="F192" s="5" t="inlineStr">
        <is>
          <t>Bulloneria e minuteria</t>
        </is>
      </c>
      <c r="G192" s="12" t="n">
        <v>8</v>
      </c>
      <c r="H192" s="12" t="n"/>
      <c r="I192" s="12" t="n"/>
      <c r="J192" s="12" t="n"/>
      <c r="K192" s="12" t="n">
        <v>16</v>
      </c>
      <c r="L192" s="12" t="n"/>
      <c r="M192" s="12" t="n"/>
      <c r="N192" s="12" t="n"/>
      <c r="O192" s="12" t="inlineStr">
        <is>
          <t>pz</t>
        </is>
      </c>
      <c r="P192" s="10" t="n"/>
      <c r="Q192" s="6">
        <f>IFERROR(VLOOKUP($D192,LISTINO!$B:$I,6,FALSE),IFERROR(VLOOKUP($E192,LISTINO!$C:$I,5,FALSE),""))</f>
        <v/>
      </c>
      <c r="R192" s="13">
        <f>IF(AND(ISNUMBER(G192),ISNUMBER(Q192)),G192*Q192,"")</f>
        <v/>
      </c>
    </row>
    <row r="193">
      <c r="A193" s="5" t="inlineStr">
        <is>
          <t>ASSI DI ROTAZIONE 1303</t>
        </is>
      </c>
      <c r="B193" s="5" t="inlineStr">
        <is>
          <t>22 MODULI 1303</t>
        </is>
      </c>
      <c r="C193" s="12" t="n">
        <v>7</v>
      </c>
      <c r="D193" s="5" t="inlineStr">
        <is>
          <t>10ROND10</t>
        </is>
      </c>
      <c r="E193" s="5" t="inlineStr">
        <is>
          <t>Rondella zn 10</t>
        </is>
      </c>
      <c r="F193" s="5" t="inlineStr">
        <is>
          <t>Bulloneria e minuteria</t>
        </is>
      </c>
      <c r="G193" s="12" t="n">
        <v>8</v>
      </c>
      <c r="H193" s="12" t="n"/>
      <c r="I193" s="12" t="n"/>
      <c r="J193" s="12" t="n"/>
      <c r="K193" s="12" t="n">
        <v>16</v>
      </c>
      <c r="L193" s="12" t="n"/>
      <c r="M193" s="12" t="n"/>
      <c r="N193" s="12" t="n"/>
      <c r="O193" s="12" t="inlineStr">
        <is>
          <t>pz</t>
        </is>
      </c>
      <c r="P193" s="10" t="n"/>
      <c r="Q193" s="6">
        <f>IFERROR(VLOOKUP($D193,LISTINO!$B:$I,6,FALSE),IFERROR(VLOOKUP($E193,LISTINO!$C:$I,5,FALSE),""))</f>
        <v/>
      </c>
      <c r="R193" s="13">
        <f>IF(AND(ISNUMBER(G193),ISNUMBER(Q193)),G193*Q193,"")</f>
        <v/>
      </c>
    </row>
    <row r="194">
      <c r="A194" s="5" t="inlineStr">
        <is>
          <t>ASSI DI ROTAZIONE 1303</t>
        </is>
      </c>
      <c r="B194" s="5" t="inlineStr">
        <is>
          <t>22 MODULI 1303</t>
        </is>
      </c>
      <c r="C194" s="12" t="n">
        <v>8</v>
      </c>
      <c r="D194" s="5" t="inlineStr">
        <is>
          <t>10ROND10</t>
        </is>
      </c>
      <c r="E194" s="5" t="inlineStr">
        <is>
          <t>Rondella zn 10</t>
        </is>
      </c>
      <c r="F194" s="5" t="inlineStr">
        <is>
          <t>Bulloneria e minuteria</t>
        </is>
      </c>
      <c r="G194" s="12" t="n">
        <v>8</v>
      </c>
      <c r="H194" s="12" t="n"/>
      <c r="I194" s="12" t="n"/>
      <c r="J194" s="12" t="n"/>
      <c r="K194" s="12" t="n">
        <v>16</v>
      </c>
      <c r="L194" s="12" t="n"/>
      <c r="M194" s="12" t="n"/>
      <c r="N194" s="12" t="n"/>
      <c r="O194" s="12" t="inlineStr">
        <is>
          <t>pz</t>
        </is>
      </c>
      <c r="P194" s="10" t="n"/>
      <c r="Q194" s="6">
        <f>IFERROR(VLOOKUP($D194,LISTINO!$B:$I,6,FALSE),IFERROR(VLOOKUP($E194,LISTINO!$C:$I,5,FALSE),""))</f>
        <v/>
      </c>
      <c r="R194" s="13">
        <f>IF(AND(ISNUMBER(G194),ISNUMBER(Q194)),G194*Q194,"")</f>
        <v/>
      </c>
    </row>
    <row r="195">
      <c r="A195" s="5" t="inlineStr">
        <is>
          <t>ASSI DI ROTAZIONE 1303</t>
        </is>
      </c>
      <c r="B195" s="5" t="inlineStr">
        <is>
          <t>22 MODULI 1303</t>
        </is>
      </c>
      <c r="C195" s="12" t="n">
        <v>9</v>
      </c>
      <c r="D195" s="5" t="inlineStr">
        <is>
          <t>10DAZAM10</t>
        </is>
      </c>
      <c r="E195" s="5" t="inlineStr">
        <is>
          <t>Dado autobloccante M10</t>
        </is>
      </c>
      <c r="F195" s="5" t="inlineStr">
        <is>
          <t>Bulloneria e minuteria</t>
        </is>
      </c>
      <c r="G195" s="12" t="n">
        <v>8</v>
      </c>
      <c r="H195" s="12" t="n"/>
      <c r="I195" s="12" t="n"/>
      <c r="J195" s="12" t="n"/>
      <c r="K195" s="12" t="n">
        <v>16</v>
      </c>
      <c r="L195" s="12" t="n"/>
      <c r="M195" s="12" t="n"/>
      <c r="N195" s="12" t="n"/>
      <c r="O195" s="12" t="inlineStr">
        <is>
          <t>pz</t>
        </is>
      </c>
      <c r="P195" s="10" t="n"/>
      <c r="Q195" s="6">
        <f>IFERROR(VLOOKUP($D195,LISTINO!$B:$I,6,FALSE),IFERROR(VLOOKUP($E195,LISTINO!$C:$I,5,FALSE),""))</f>
        <v/>
      </c>
      <c r="R195" s="13">
        <f>IF(AND(ISNUMBER(G195),ISNUMBER(Q195)),G195*Q195,"")</f>
        <v/>
      </c>
    </row>
    <row r="196">
      <c r="A196" s="5" t="inlineStr">
        <is>
          <t>ASSI DI ROTAZIONE 1303</t>
        </is>
      </c>
      <c r="B196" s="5" t="inlineStr">
        <is>
          <t>36 MODULI 1303</t>
        </is>
      </c>
      <c r="C196" s="12" t="n"/>
      <c r="D196" s="5" t="inlineStr">
        <is>
          <t>TTS.AR.001.8700</t>
        </is>
      </c>
      <c r="E196" s="5" t="inlineStr">
        <is>
          <t>Asse lato motore 120x120x3 mm. lunghezza mt.8,70</t>
        </is>
      </c>
      <c r="F196" s="5" t="inlineStr">
        <is>
          <t>Carpenteria metallica</t>
        </is>
      </c>
      <c r="G196" s="12" t="n">
        <v>2</v>
      </c>
      <c r="H196" s="12" t="n"/>
      <c r="I196" s="12" t="n"/>
      <c r="J196" s="12" t="n"/>
      <c r="K196" s="12" t="n"/>
      <c r="L196" s="12" t="n"/>
      <c r="M196" s="12" t="n"/>
      <c r="N196" s="12" t="n"/>
      <c r="O196" s="12" t="inlineStr">
        <is>
          <t>pz</t>
        </is>
      </c>
      <c r="P196" s="10" t="n"/>
      <c r="Q196" s="6">
        <f>IFERROR(VLOOKUP($D196,LISTINO!$B:$I,6,FALSE),IFERROR(VLOOKUP($E196,LISTINO!$C:$I,5,FALSE),""))</f>
        <v/>
      </c>
      <c r="R196" s="13">
        <f>IF(AND(ISNUMBER(G196),ISNUMBER(Q196)),G196*Q196,"")</f>
        <v/>
      </c>
    </row>
    <row r="197">
      <c r="A197" s="5" t="inlineStr">
        <is>
          <t>ASSI DI ROTAZIONE 1303</t>
        </is>
      </c>
      <c r="B197" s="5" t="inlineStr">
        <is>
          <t>36 MODULI 1303</t>
        </is>
      </c>
      <c r="C197" s="12" t="n"/>
      <c r="D197" s="5" t="inlineStr">
        <is>
          <t>TTS.AR.002.6756</t>
        </is>
      </c>
      <c r="E197" s="5" t="inlineStr">
        <is>
          <t>Asse esterno 120x120x3 mm. lunghezza mt.6,756</t>
        </is>
      </c>
      <c r="F197" s="5" t="inlineStr">
        <is>
          <t>Carpenteria metallica</t>
        </is>
      </c>
      <c r="G197" s="12" t="n">
        <v>2</v>
      </c>
      <c r="H197" s="12" t="n"/>
      <c r="I197" s="12" t="n"/>
      <c r="J197" s="12" t="n"/>
      <c r="K197" s="12" t="n"/>
      <c r="L197" s="12" t="n"/>
      <c r="M197" s="12" t="n"/>
      <c r="N197" s="12" t="n"/>
      <c r="O197" s="12" t="inlineStr">
        <is>
          <t>pz</t>
        </is>
      </c>
      <c r="P197" s="10" t="n"/>
      <c r="Q197" s="6">
        <f>IFERROR(VLOOKUP($D197,LISTINO!$B:$I,6,FALSE),IFERROR(VLOOKUP($E197,LISTINO!$C:$I,5,FALSE),""))</f>
        <v/>
      </c>
      <c r="R197" s="13">
        <f>IF(AND(ISNUMBER(G197),ISNUMBER(Q197)),G197*Q197,"")</f>
        <v/>
      </c>
    </row>
    <row r="198">
      <c r="A198" s="5" t="inlineStr">
        <is>
          <t>ASSI DI ROTAZIONE 1303</t>
        </is>
      </c>
      <c r="B198" s="5" t="inlineStr">
        <is>
          <t>36 MODULI 1303</t>
        </is>
      </c>
      <c r="C198" s="12" t="n"/>
      <c r="D198" s="5" t="inlineStr">
        <is>
          <t>TTS.AR.002.6756.25</t>
        </is>
      </c>
      <c r="E198" s="5" t="inlineStr">
        <is>
          <t>Asse esterno 120x120x2,5 mm. lunghezza mt.6,756</t>
        </is>
      </c>
      <c r="F198" s="5" t="inlineStr">
        <is>
          <t>Carpenteria metallica</t>
        </is>
      </c>
      <c r="G198" s="12" t="n">
        <v>0</v>
      </c>
      <c r="H198" s="12" t="n"/>
      <c r="I198" s="12" t="n"/>
      <c r="J198" s="12" t="n"/>
      <c r="K198" s="12" t="n"/>
      <c r="L198" s="12" t="n"/>
      <c r="M198" s="12" t="n"/>
      <c r="N198" s="12" t="n"/>
      <c r="O198" s="12" t="inlineStr">
        <is>
          <t>pz</t>
        </is>
      </c>
      <c r="P198" s="10" t="n"/>
      <c r="Q198" s="6">
        <f>IFERROR(VLOOKUP($D198,LISTINO!$B:$I,6,FALSE),IFERROR(VLOOKUP($E198,LISTINO!$C:$I,5,FALSE),""))</f>
        <v/>
      </c>
      <c r="R198" s="13">
        <f>IF(AND(ISNUMBER(G198),ISNUMBER(Q198)),G198*Q198,"")</f>
        <v/>
      </c>
    </row>
    <row r="199">
      <c r="A199" s="5" t="inlineStr">
        <is>
          <t>ASSI DI ROTAZIONE 1303</t>
        </is>
      </c>
      <c r="B199" s="5" t="inlineStr">
        <is>
          <t>36 MODULI 1303</t>
        </is>
      </c>
      <c r="C199" s="12" t="n"/>
      <c r="D199" s="5" t="inlineStr">
        <is>
          <t>TTS.AR.002.8645</t>
        </is>
      </c>
      <c r="E199" s="5" t="inlineStr">
        <is>
          <t>Asse esterno 120x120x3 mm. lunghezza mt.8,645</t>
        </is>
      </c>
      <c r="F199" s="5" t="inlineStr">
        <is>
          <t>Carpenteria metallica</t>
        </is>
      </c>
      <c r="G199" s="12" t="n">
        <v>2</v>
      </c>
      <c r="H199" s="12" t="n"/>
      <c r="I199" s="12" t="n"/>
      <c r="J199" s="12" t="n"/>
      <c r="K199" s="12" t="n"/>
      <c r="L199" s="12" t="n"/>
      <c r="M199" s="12" t="n"/>
      <c r="N199" s="12" t="n"/>
      <c r="O199" s="12" t="inlineStr">
        <is>
          <t>pz</t>
        </is>
      </c>
      <c r="P199" s="10" t="n"/>
      <c r="Q199" s="6">
        <f>IFERROR(VLOOKUP($D199,LISTINO!$B:$I,6,FALSE),IFERROR(VLOOKUP($E199,LISTINO!$C:$I,5,FALSE),""))</f>
        <v/>
      </c>
      <c r="R199" s="13">
        <f>IF(AND(ISNUMBER(G199),ISNUMBER(Q199)),G199*Q199,"")</f>
        <v/>
      </c>
    </row>
    <row r="200">
      <c r="A200" s="5" t="inlineStr">
        <is>
          <t>ASSI DI ROTAZIONE 1303</t>
        </is>
      </c>
      <c r="B200" s="5" t="inlineStr">
        <is>
          <t>36 MODULI 1303</t>
        </is>
      </c>
      <c r="C200" s="12" t="n"/>
      <c r="D200" s="5" t="inlineStr">
        <is>
          <t>TTS.AR.002.8645.25</t>
        </is>
      </c>
      <c r="E200" s="5" t="inlineStr">
        <is>
          <t>Asse esterno 120x120x2,5 mm. lunghezza mt.8,645</t>
        </is>
      </c>
      <c r="F200" s="5" t="inlineStr">
        <is>
          <t>Carpenteria metallica</t>
        </is>
      </c>
      <c r="G200" s="12" t="n">
        <v>0</v>
      </c>
      <c r="H200" s="12" t="n"/>
      <c r="I200" s="12" t="n"/>
      <c r="J200" s="12" t="n"/>
      <c r="K200" s="12" t="n"/>
      <c r="L200" s="12" t="n"/>
      <c r="M200" s="12" t="n"/>
      <c r="N200" s="12" t="n"/>
      <c r="O200" s="12" t="inlineStr">
        <is>
          <t>pz</t>
        </is>
      </c>
      <c r="P200" s="10" t="n"/>
      <c r="Q200" s="6">
        <f>IFERROR(VLOOKUP($D200,LISTINO!$B:$I,6,FALSE),IFERROR(VLOOKUP($E200,LISTINO!$C:$I,5,FALSE),""))</f>
        <v/>
      </c>
      <c r="R200" s="13">
        <f>IF(AND(ISNUMBER(G200),ISNUMBER(Q200)),G200*Q200,"")</f>
        <v/>
      </c>
    </row>
    <row r="201">
      <c r="A201" s="5" t="inlineStr">
        <is>
          <t>ASSI DI ROTAZIONE 1303</t>
        </is>
      </c>
      <c r="B201" s="5" t="inlineStr">
        <is>
          <t>36 MODULI 1303</t>
        </is>
      </c>
      <c r="C201" s="12" t="n"/>
      <c r="D201" s="5" t="inlineStr">
        <is>
          <t>TTS.AR.201</t>
        </is>
      </c>
      <c r="E201" s="5" t="inlineStr">
        <is>
          <t>Kit giunzione asse di collegamento</t>
        </is>
      </c>
      <c r="F201" s="5" t="inlineStr">
        <is>
          <t>Carpenteria metallica</t>
        </is>
      </c>
      <c r="G201" s="12" t="n">
        <v>4</v>
      </c>
      <c r="H201" s="12" t="n"/>
      <c r="I201" s="12" t="n"/>
      <c r="J201" s="12" t="n"/>
      <c r="K201" s="12" t="n"/>
      <c r="L201" s="12" t="n"/>
      <c r="M201" s="12" t="n"/>
      <c r="N201" s="12" t="n"/>
      <c r="O201" s="12" t="inlineStr">
        <is>
          <t>pz</t>
        </is>
      </c>
      <c r="P201" s="10" t="n"/>
      <c r="Q201" s="6">
        <f>IFERROR(VLOOKUP($D201,LISTINO!$B:$I,6,FALSE),IFERROR(VLOOKUP($E201,LISTINO!$C:$I,5,FALSE),""))</f>
        <v/>
      </c>
      <c r="R201" s="13">
        <f>IF(AND(ISNUMBER(G201),ISNUMBER(Q201)),G201*Q201,"")</f>
        <v/>
      </c>
    </row>
    <row r="202">
      <c r="A202" s="5" t="inlineStr">
        <is>
          <t>ASSI DI ROTAZIONE 1303</t>
        </is>
      </c>
      <c r="B202" s="5" t="inlineStr">
        <is>
          <t>36 MODULI 1303</t>
        </is>
      </c>
      <c r="C202" s="12" t="n">
        <v>1</v>
      </c>
      <c r="D202" s="5" t="inlineStr">
        <is>
          <t>TTS.AR.2011</t>
        </is>
      </c>
      <c r="E202" s="5" t="inlineStr">
        <is>
          <t>Gaffa giunzione asse</t>
        </is>
      </c>
      <c r="F202" s="5" t="inlineStr">
        <is>
          <t>Carpenteria metallica</t>
        </is>
      </c>
      <c r="G202" s="12" t="n">
        <v>2</v>
      </c>
      <c r="H202" s="12" t="n"/>
      <c r="I202" s="12" t="n"/>
      <c r="J202" s="12" t="n"/>
      <c r="K202" s="12" t="n"/>
      <c r="L202" s="12" t="n">
        <v>8</v>
      </c>
      <c r="M202" s="12" t="n"/>
      <c r="N202" s="12" t="n"/>
      <c r="O202" s="12" t="inlineStr">
        <is>
          <t>pz</t>
        </is>
      </c>
      <c r="P202" s="10" t="n"/>
      <c r="Q202" s="6">
        <f>IFERROR(VLOOKUP($D202,LISTINO!$B:$I,6,FALSE),IFERROR(VLOOKUP($E202,LISTINO!$C:$I,5,FALSE),""))</f>
        <v/>
      </c>
      <c r="R202" s="13">
        <f>IF(AND(ISNUMBER(G202),ISNUMBER(Q202)),G202*Q202,"")</f>
        <v/>
      </c>
    </row>
    <row r="203">
      <c r="A203" s="5" t="inlineStr">
        <is>
          <t>ASSI DI ROTAZIONE 1303</t>
        </is>
      </c>
      <c r="B203" s="5" t="inlineStr">
        <is>
          <t>36 MODULI 1303</t>
        </is>
      </c>
      <c r="C203" s="12" t="n">
        <v>2</v>
      </c>
      <c r="D203" s="5" t="inlineStr">
        <is>
          <t>10BZM8X150</t>
        </is>
      </c>
      <c r="E203" s="5" t="inlineStr">
        <is>
          <t>Bullone testa esagonale zn M8X150</t>
        </is>
      </c>
      <c r="F203" s="5" t="inlineStr">
        <is>
          <t>Bulloneria e minuteria</t>
        </is>
      </c>
      <c r="G203" s="12" t="n">
        <v>2</v>
      </c>
      <c r="H203" s="12" t="n"/>
      <c r="I203" s="12" t="n"/>
      <c r="J203" s="12" t="n"/>
      <c r="K203" s="12" t="n"/>
      <c r="L203" s="12" t="n">
        <v>8</v>
      </c>
      <c r="M203" s="12" t="n"/>
      <c r="N203" s="12" t="n"/>
      <c r="O203" s="12" t="inlineStr">
        <is>
          <t>pz</t>
        </is>
      </c>
      <c r="P203" s="10" t="n"/>
      <c r="Q203" s="6">
        <f>IFERROR(VLOOKUP($D203,LISTINO!$B:$I,6,FALSE),IFERROR(VLOOKUP($E203,LISTINO!$C:$I,5,FALSE),""))</f>
        <v/>
      </c>
      <c r="R203" s="13">
        <f>IF(AND(ISNUMBER(G203),ISNUMBER(Q203)),G203*Q203,"")</f>
        <v/>
      </c>
    </row>
    <row r="204">
      <c r="A204" s="5" t="inlineStr">
        <is>
          <t>ASSI DI ROTAZIONE 1303</t>
        </is>
      </c>
      <c r="B204" s="5" t="inlineStr">
        <is>
          <t>36 MODULI 1303</t>
        </is>
      </c>
      <c r="C204" s="12" t="n">
        <v>3</v>
      </c>
      <c r="D204" s="5" t="inlineStr">
        <is>
          <t>10ROND8</t>
        </is>
      </c>
      <c r="E204" s="5" t="inlineStr">
        <is>
          <t>Rondella zn 8</t>
        </is>
      </c>
      <c r="F204" s="5" t="inlineStr">
        <is>
          <t>Bulloneria e minuteria</t>
        </is>
      </c>
      <c r="G204" s="12" t="n">
        <v>2</v>
      </c>
      <c r="H204" s="12" t="n"/>
      <c r="I204" s="12" t="n"/>
      <c r="J204" s="12" t="n"/>
      <c r="K204" s="12" t="n"/>
      <c r="L204" s="12" t="n">
        <v>8</v>
      </c>
      <c r="M204" s="12" t="n"/>
      <c r="N204" s="12" t="n"/>
      <c r="O204" s="12" t="inlineStr">
        <is>
          <t>pz</t>
        </is>
      </c>
      <c r="P204" s="10" t="n"/>
      <c r="Q204" s="6">
        <f>IFERROR(VLOOKUP($D204,LISTINO!$B:$I,6,FALSE),IFERROR(VLOOKUP($E204,LISTINO!$C:$I,5,FALSE),""))</f>
        <v/>
      </c>
      <c r="R204" s="13">
        <f>IF(AND(ISNUMBER(G204),ISNUMBER(Q204)),G204*Q204,"")</f>
        <v/>
      </c>
    </row>
    <row r="205">
      <c r="A205" s="5" t="inlineStr">
        <is>
          <t>ASSI DI ROTAZIONE 1303</t>
        </is>
      </c>
      <c r="B205" s="5" t="inlineStr">
        <is>
          <t>36 MODULI 1303</t>
        </is>
      </c>
      <c r="C205" s="12" t="n">
        <v>4</v>
      </c>
      <c r="D205" s="5" t="inlineStr">
        <is>
          <t>10ROND8</t>
        </is>
      </c>
      <c r="E205" s="5" t="inlineStr">
        <is>
          <t>Rondella zn 8</t>
        </is>
      </c>
      <c r="F205" s="5" t="inlineStr">
        <is>
          <t>Bulloneria e minuteria</t>
        </is>
      </c>
      <c r="G205" s="12" t="n">
        <v>2</v>
      </c>
      <c r="H205" s="12" t="n"/>
      <c r="I205" s="12" t="n"/>
      <c r="J205" s="12" t="n"/>
      <c r="K205" s="12" t="n"/>
      <c r="L205" s="12" t="n">
        <v>8</v>
      </c>
      <c r="M205" s="12" t="n"/>
      <c r="N205" s="12" t="n"/>
      <c r="O205" s="12" t="inlineStr">
        <is>
          <t>pz</t>
        </is>
      </c>
      <c r="P205" s="10" t="n"/>
      <c r="Q205" s="6">
        <f>IFERROR(VLOOKUP($D205,LISTINO!$B:$I,6,FALSE),IFERROR(VLOOKUP($E205,LISTINO!$C:$I,5,FALSE),""))</f>
        <v/>
      </c>
      <c r="R205" s="13">
        <f>IF(AND(ISNUMBER(G205),ISNUMBER(Q205)),G205*Q205,"")</f>
        <v/>
      </c>
    </row>
    <row r="206">
      <c r="A206" s="5" t="inlineStr">
        <is>
          <t>ASSI DI ROTAZIONE 1303</t>
        </is>
      </c>
      <c r="B206" s="5" t="inlineStr">
        <is>
          <t>36 MODULI 1303</t>
        </is>
      </c>
      <c r="C206" s="12" t="n">
        <v>5</v>
      </c>
      <c r="D206" s="5" t="inlineStr">
        <is>
          <t>10DAZAM8</t>
        </is>
      </c>
      <c r="E206" s="5" t="inlineStr">
        <is>
          <t>Dado autobloccante M8</t>
        </is>
      </c>
      <c r="F206" s="5" t="inlineStr">
        <is>
          <t>Bulloneria e minuteria</t>
        </is>
      </c>
      <c r="G206" s="12" t="n">
        <v>2</v>
      </c>
      <c r="H206" s="12" t="n"/>
      <c r="I206" s="12" t="n"/>
      <c r="J206" s="12" t="n"/>
      <c r="K206" s="12" t="n"/>
      <c r="L206" s="12" t="n">
        <v>8</v>
      </c>
      <c r="M206" s="12" t="n"/>
      <c r="N206" s="12" t="n"/>
      <c r="O206" s="12" t="inlineStr">
        <is>
          <t>pz</t>
        </is>
      </c>
      <c r="P206" s="10" t="n"/>
      <c r="Q206" s="6">
        <f>IFERROR(VLOOKUP($D206,LISTINO!$B:$I,6,FALSE),IFERROR(VLOOKUP($E206,LISTINO!$C:$I,5,FALSE),""))</f>
        <v/>
      </c>
      <c r="R206" s="13">
        <f>IF(AND(ISNUMBER(G206),ISNUMBER(Q206)),G206*Q206,"")</f>
        <v/>
      </c>
    </row>
    <row r="207">
      <c r="A207" s="5" t="inlineStr">
        <is>
          <t>ASSI DI ROTAZIONE 1303</t>
        </is>
      </c>
      <c r="B207" s="5" t="inlineStr">
        <is>
          <t>36 MODULI 1303</t>
        </is>
      </c>
      <c r="C207" s="12" t="n">
        <v>6</v>
      </c>
      <c r="D207" s="5" t="inlineStr">
        <is>
          <t>10BZM10X30</t>
        </is>
      </c>
      <c r="E207" s="5" t="inlineStr">
        <is>
          <t>Bullone testa esagonale zn M10X30</t>
        </is>
      </c>
      <c r="F207" s="5" t="inlineStr">
        <is>
          <t>Bulloneria e minuteria</t>
        </is>
      </c>
      <c r="G207" s="12" t="n">
        <v>8</v>
      </c>
      <c r="H207" s="12" t="n"/>
      <c r="I207" s="12" t="n"/>
      <c r="J207" s="12" t="n"/>
      <c r="K207" s="12" t="n"/>
      <c r="L207" s="12" t="n">
        <v>32</v>
      </c>
      <c r="M207" s="12" t="n"/>
      <c r="N207" s="12" t="n"/>
      <c r="O207" s="12" t="inlineStr">
        <is>
          <t>pz</t>
        </is>
      </c>
      <c r="P207" s="10" t="n"/>
      <c r="Q207" s="6">
        <f>IFERROR(VLOOKUP($D207,LISTINO!$B:$I,6,FALSE),IFERROR(VLOOKUP($E207,LISTINO!$C:$I,5,FALSE),""))</f>
        <v/>
      </c>
      <c r="R207" s="13">
        <f>IF(AND(ISNUMBER(G207),ISNUMBER(Q207)),G207*Q207,"")</f>
        <v/>
      </c>
    </row>
    <row r="208">
      <c r="A208" s="5" t="inlineStr">
        <is>
          <t>ASSI DI ROTAZIONE 1303</t>
        </is>
      </c>
      <c r="B208" s="5" t="inlineStr">
        <is>
          <t>36 MODULI 1303</t>
        </is>
      </c>
      <c r="C208" s="12" t="n">
        <v>7</v>
      </c>
      <c r="D208" s="5" t="inlineStr">
        <is>
          <t>10ROND10</t>
        </is>
      </c>
      <c r="E208" s="5" t="inlineStr">
        <is>
          <t>Rondella zn 10</t>
        </is>
      </c>
      <c r="F208" s="5" t="inlineStr">
        <is>
          <t>Bulloneria e minuteria</t>
        </is>
      </c>
      <c r="G208" s="12" t="n">
        <v>8</v>
      </c>
      <c r="H208" s="12" t="n"/>
      <c r="I208" s="12" t="n"/>
      <c r="J208" s="12" t="n"/>
      <c r="K208" s="12" t="n"/>
      <c r="L208" s="12" t="n">
        <v>32</v>
      </c>
      <c r="M208" s="12" t="n"/>
      <c r="N208" s="12" t="n"/>
      <c r="O208" s="12" t="inlineStr">
        <is>
          <t>pz</t>
        </is>
      </c>
      <c r="P208" s="10" t="n"/>
      <c r="Q208" s="6">
        <f>IFERROR(VLOOKUP($D208,LISTINO!$B:$I,6,FALSE),IFERROR(VLOOKUP($E208,LISTINO!$C:$I,5,FALSE),""))</f>
        <v/>
      </c>
      <c r="R208" s="13">
        <f>IF(AND(ISNUMBER(G208),ISNUMBER(Q208)),G208*Q208,"")</f>
        <v/>
      </c>
    </row>
    <row r="209">
      <c r="A209" s="5" t="inlineStr">
        <is>
          <t>ASSI DI ROTAZIONE 1303</t>
        </is>
      </c>
      <c r="B209" s="5" t="inlineStr">
        <is>
          <t>36 MODULI 1303</t>
        </is>
      </c>
      <c r="C209" s="12" t="n">
        <v>8</v>
      </c>
      <c r="D209" s="5" t="inlineStr">
        <is>
          <t>10ROND10</t>
        </is>
      </c>
      <c r="E209" s="5" t="inlineStr">
        <is>
          <t>Rondella zn 10</t>
        </is>
      </c>
      <c r="F209" s="5" t="inlineStr">
        <is>
          <t>Bulloneria e minuteria</t>
        </is>
      </c>
      <c r="G209" s="12" t="n">
        <v>8</v>
      </c>
      <c r="H209" s="12" t="n"/>
      <c r="I209" s="12" t="n"/>
      <c r="J209" s="12" t="n"/>
      <c r="K209" s="12" t="n"/>
      <c r="L209" s="12" t="n">
        <v>32</v>
      </c>
      <c r="M209" s="12" t="n"/>
      <c r="N209" s="12" t="n"/>
      <c r="O209" s="12" t="inlineStr">
        <is>
          <t>pz</t>
        </is>
      </c>
      <c r="P209" s="10" t="n"/>
      <c r="Q209" s="6">
        <f>IFERROR(VLOOKUP($D209,LISTINO!$B:$I,6,FALSE),IFERROR(VLOOKUP($E209,LISTINO!$C:$I,5,FALSE),""))</f>
        <v/>
      </c>
      <c r="R209" s="13">
        <f>IF(AND(ISNUMBER(G209),ISNUMBER(Q209)),G209*Q209,"")</f>
        <v/>
      </c>
    </row>
    <row r="210">
      <c r="A210" s="5" t="inlineStr">
        <is>
          <t>ASSI DI ROTAZIONE 1303</t>
        </is>
      </c>
      <c r="B210" s="5" t="inlineStr">
        <is>
          <t>36 MODULI 1303</t>
        </is>
      </c>
      <c r="C210" s="12" t="n">
        <v>9</v>
      </c>
      <c r="D210" s="5" t="inlineStr">
        <is>
          <t>10DAZAM10</t>
        </is>
      </c>
      <c r="E210" s="5" t="inlineStr">
        <is>
          <t>Dado autobloccante M10</t>
        </is>
      </c>
      <c r="F210" s="5" t="inlineStr">
        <is>
          <t>Bulloneria e minuteria</t>
        </is>
      </c>
      <c r="G210" s="12" t="n">
        <v>8</v>
      </c>
      <c r="H210" s="12" t="n"/>
      <c r="I210" s="12" t="n"/>
      <c r="J210" s="12" t="n"/>
      <c r="K210" s="12" t="n"/>
      <c r="L210" s="12" t="n">
        <v>32</v>
      </c>
      <c r="M210" s="12" t="n"/>
      <c r="N210" s="12" t="n"/>
      <c r="O210" s="12" t="inlineStr">
        <is>
          <t>pz</t>
        </is>
      </c>
      <c r="P210" s="10" t="n"/>
      <c r="Q210" s="6">
        <f>IFERROR(VLOOKUP($D210,LISTINO!$B:$I,6,FALSE),IFERROR(VLOOKUP($E210,LISTINO!$C:$I,5,FALSE),""))</f>
        <v/>
      </c>
      <c r="R210" s="13">
        <f>IF(AND(ISNUMBER(G210),ISNUMBER(Q210)),G210*Q210,"")</f>
        <v/>
      </c>
    </row>
    <row r="211">
      <c r="A211" s="5" t="inlineStr">
        <is>
          <t>ASSI DI ROTAZIONE 1303</t>
        </is>
      </c>
      <c r="B211" s="5" t="inlineStr">
        <is>
          <t>40 MODULI 1303</t>
        </is>
      </c>
      <c r="C211" s="12" t="n"/>
      <c r="D211" s="5" t="inlineStr">
        <is>
          <t>TTS.AR.001.8700</t>
        </is>
      </c>
      <c r="E211" s="5" t="inlineStr">
        <is>
          <t>Asse lato motore 120x120x3 mm. lunghezza mt.8,70</t>
        </is>
      </c>
      <c r="F211" s="5" t="inlineStr">
        <is>
          <t>Carpenteria metallica</t>
        </is>
      </c>
      <c r="G211" s="12" t="n">
        <v>2</v>
      </c>
      <c r="H211" s="12" t="n"/>
      <c r="I211" s="12" t="n"/>
      <c r="J211" s="12" t="n"/>
      <c r="K211" s="12" t="n"/>
      <c r="L211" s="12" t="n"/>
      <c r="M211" s="12" t="n"/>
      <c r="N211" s="12" t="n"/>
      <c r="O211" s="12" t="inlineStr">
        <is>
          <t>pz</t>
        </is>
      </c>
      <c r="P211" s="10" t="n"/>
      <c r="Q211" s="6">
        <f>IFERROR(VLOOKUP($D211,LISTINO!$B:$I,6,FALSE),IFERROR(VLOOKUP($E211,LISTINO!$C:$I,5,FALSE),""))</f>
        <v/>
      </c>
      <c r="R211" s="13">
        <f>IF(AND(ISNUMBER(G211),ISNUMBER(Q211)),G211*Q211,"")</f>
        <v/>
      </c>
    </row>
    <row r="212">
      <c r="A212" s="5" t="inlineStr">
        <is>
          <t>ASSI DI ROTAZIONE 1303</t>
        </is>
      </c>
      <c r="B212" s="5" t="inlineStr">
        <is>
          <t>40 MODULI 1303</t>
        </is>
      </c>
      <c r="C212" s="12" t="n"/>
      <c r="D212" s="5" t="inlineStr">
        <is>
          <t>TTS.AR.002.8250</t>
        </is>
      </c>
      <c r="E212" s="5" t="inlineStr">
        <is>
          <t>Primo asse centrale 120x120x3 mm. lunghezza mt.8,25</t>
        </is>
      </c>
      <c r="F212" s="5" t="inlineStr">
        <is>
          <t>Carpenteria metallica</t>
        </is>
      </c>
      <c r="G212" s="12" t="n">
        <v>2</v>
      </c>
      <c r="H212" s="12" t="n"/>
      <c r="I212" s="12" t="n"/>
      <c r="J212" s="12" t="n"/>
      <c r="K212" s="12" t="n"/>
      <c r="L212" s="12" t="n"/>
      <c r="M212" s="12" t="n"/>
      <c r="N212" s="12" t="n"/>
      <c r="O212" s="12" t="inlineStr">
        <is>
          <t>pz</t>
        </is>
      </c>
      <c r="P212" s="10" t="n"/>
      <c r="Q212" s="6">
        <f>IFERROR(VLOOKUP($D212,LISTINO!$B:$I,6,FALSE),IFERROR(VLOOKUP($E212,LISTINO!$C:$I,5,FALSE),""))</f>
        <v/>
      </c>
      <c r="R212" s="13">
        <f>IF(AND(ISNUMBER(G212),ISNUMBER(Q212)),G212*Q212,"")</f>
        <v/>
      </c>
    </row>
    <row r="213">
      <c r="A213" s="5" t="inlineStr">
        <is>
          <t>ASSI DI ROTAZIONE 1303</t>
        </is>
      </c>
      <c r="B213" s="5" t="inlineStr">
        <is>
          <t>40 MODULI 1303</t>
        </is>
      </c>
      <c r="C213" s="12" t="n"/>
      <c r="D213" s="5" t="inlineStr">
        <is>
          <t>TTS.AR.002.8250.25</t>
        </is>
      </c>
      <c r="E213" s="5" t="inlineStr">
        <is>
          <t>Primo asse centrale 120x120x2,5 mm. lunghezza mt.8,25</t>
        </is>
      </c>
      <c r="F213" s="5" t="inlineStr">
        <is>
          <t>Carpenteria metallica</t>
        </is>
      </c>
      <c r="G213" s="12" t="n">
        <v>0</v>
      </c>
      <c r="H213" s="12" t="n"/>
      <c r="I213" s="12" t="n"/>
      <c r="J213" s="12" t="n"/>
      <c r="K213" s="12" t="n"/>
      <c r="L213" s="12" t="n"/>
      <c r="M213" s="12" t="n"/>
      <c r="N213" s="12" t="n"/>
      <c r="O213" s="12" t="inlineStr">
        <is>
          <t>pz</t>
        </is>
      </c>
      <c r="P213" s="10" t="n"/>
      <c r="Q213" s="6">
        <f>IFERROR(VLOOKUP($D213,LISTINO!$B:$I,6,FALSE),IFERROR(VLOOKUP($E213,LISTINO!$C:$I,5,FALSE),""))</f>
        <v/>
      </c>
      <c r="R213" s="13">
        <f>IF(AND(ISNUMBER(G213),ISNUMBER(Q213)),G213*Q213,"")</f>
        <v/>
      </c>
    </row>
    <row r="214">
      <c r="A214" s="5" t="inlineStr">
        <is>
          <t>ASSI DI ROTAZIONE 1303</t>
        </is>
      </c>
      <c r="B214" s="5" t="inlineStr">
        <is>
          <t>40 MODULI 1303</t>
        </is>
      </c>
      <c r="C214" s="12" t="n"/>
      <c r="D214" s="5" t="inlineStr">
        <is>
          <t>TTS.AR.003.5000</t>
        </is>
      </c>
      <c r="E214" s="5" t="inlineStr">
        <is>
          <t>Secondo asse centrale 120x120x3 mm. lunghezza mt.5,000</t>
        </is>
      </c>
      <c r="F214" s="5" t="inlineStr">
        <is>
          <t>Carpenteria metallica</t>
        </is>
      </c>
      <c r="G214" s="12" t="n">
        <v>2</v>
      </c>
      <c r="H214" s="12" t="n"/>
      <c r="I214" s="12" t="n"/>
      <c r="J214" s="12" t="n"/>
      <c r="K214" s="12" t="n"/>
      <c r="L214" s="12" t="n"/>
      <c r="M214" s="12" t="n"/>
      <c r="N214" s="12" t="n"/>
      <c r="O214" s="12" t="inlineStr">
        <is>
          <t>pz</t>
        </is>
      </c>
      <c r="P214" s="10" t="n"/>
      <c r="Q214" s="6">
        <f>IFERROR(VLOOKUP($D214,LISTINO!$B:$I,6,FALSE),IFERROR(VLOOKUP($E214,LISTINO!$C:$I,5,FALSE),""))</f>
        <v/>
      </c>
      <c r="R214" s="13">
        <f>IF(AND(ISNUMBER(G214),ISNUMBER(Q214)),G214*Q214,"")</f>
        <v/>
      </c>
    </row>
    <row r="215">
      <c r="A215" s="5" t="inlineStr">
        <is>
          <t>ASSI DI ROTAZIONE 1303</t>
        </is>
      </c>
      <c r="B215" s="5" t="inlineStr">
        <is>
          <t>40 MODULI 1303</t>
        </is>
      </c>
      <c r="C215" s="12" t="n"/>
      <c r="D215" s="5" t="inlineStr">
        <is>
          <t>TTS.AR.003.5000.25</t>
        </is>
      </c>
      <c r="E215" s="5" t="inlineStr">
        <is>
          <t>Secondo asse centrale 120x120x2,5 mm. lunghezza mt.5,000</t>
        </is>
      </c>
      <c r="F215" s="5" t="inlineStr">
        <is>
          <t>Carpenteria metallica</t>
        </is>
      </c>
      <c r="G215" s="12" t="n">
        <v>0</v>
      </c>
      <c r="H215" s="12" t="n"/>
      <c r="I215" s="12" t="n"/>
      <c r="J215" s="12" t="n"/>
      <c r="K215" s="12" t="n"/>
      <c r="L215" s="12" t="n"/>
      <c r="M215" s="12" t="n"/>
      <c r="N215" s="12" t="n"/>
      <c r="O215" s="12" t="inlineStr">
        <is>
          <t>pz</t>
        </is>
      </c>
      <c r="P215" s="10" t="n"/>
      <c r="Q215" s="6">
        <f>IFERROR(VLOOKUP($D215,LISTINO!$B:$I,6,FALSE),IFERROR(VLOOKUP($E215,LISTINO!$C:$I,5,FALSE),""))</f>
        <v/>
      </c>
      <c r="R215" s="13">
        <f>IF(AND(ISNUMBER(G215),ISNUMBER(Q215)),G215*Q215,"")</f>
        <v/>
      </c>
    </row>
    <row r="216">
      <c r="A216" s="5" t="inlineStr">
        <is>
          <t>ASSI DI ROTAZIONE 1303</t>
        </is>
      </c>
      <c r="B216" s="5" t="inlineStr">
        <is>
          <t>40 MODULI 1303</t>
        </is>
      </c>
      <c r="C216" s="12" t="n"/>
      <c r="D216" s="5" t="inlineStr">
        <is>
          <t>TTS.AR.004.4800</t>
        </is>
      </c>
      <c r="E216" s="5" t="inlineStr">
        <is>
          <t>Asse esterno 120x120x3 mm. lunghezza mt.4,800</t>
        </is>
      </c>
      <c r="F216" s="5" t="inlineStr">
        <is>
          <t>Carpenteria metallica</t>
        </is>
      </c>
      <c r="G216" s="12" t="n">
        <v>2</v>
      </c>
      <c r="H216" s="12" t="n"/>
      <c r="I216" s="12" t="n"/>
      <c r="J216" s="12" t="n"/>
      <c r="K216" s="12" t="n"/>
      <c r="L216" s="12" t="n"/>
      <c r="M216" s="12" t="n"/>
      <c r="N216" s="12" t="n"/>
      <c r="O216" s="12" t="inlineStr">
        <is>
          <t>pz</t>
        </is>
      </c>
      <c r="P216" s="10" t="n"/>
      <c r="Q216" s="6">
        <f>IFERROR(VLOOKUP($D216,LISTINO!$B:$I,6,FALSE),IFERROR(VLOOKUP($E216,LISTINO!$C:$I,5,FALSE),""))</f>
        <v/>
      </c>
      <c r="R216" s="13">
        <f>IF(AND(ISNUMBER(G216),ISNUMBER(Q216)),G216*Q216,"")</f>
        <v/>
      </c>
    </row>
    <row r="217">
      <c r="A217" s="5" t="inlineStr">
        <is>
          <t>ASSI DI ROTAZIONE 1303</t>
        </is>
      </c>
      <c r="B217" s="5" t="inlineStr">
        <is>
          <t>40 MODULI 1303</t>
        </is>
      </c>
      <c r="C217" s="12" t="n"/>
      <c r="D217" s="5" t="inlineStr">
        <is>
          <t>TTS.AR.004.4800.25</t>
        </is>
      </c>
      <c r="E217" s="5" t="inlineStr">
        <is>
          <t>Asse esterno 120x120x2,5 mm. lunghezza mt.4,800</t>
        </is>
      </c>
      <c r="F217" s="5" t="inlineStr">
        <is>
          <t>Carpenteria metallica</t>
        </is>
      </c>
      <c r="G217" s="12" t="n">
        <v>0</v>
      </c>
      <c r="H217" s="12" t="n"/>
      <c r="I217" s="12" t="n"/>
      <c r="J217" s="12" t="n"/>
      <c r="K217" s="12" t="n"/>
      <c r="L217" s="12" t="n"/>
      <c r="M217" s="12" t="n"/>
      <c r="N217" s="12" t="n"/>
      <c r="O217" s="12" t="inlineStr">
        <is>
          <t>pz</t>
        </is>
      </c>
      <c r="P217" s="10" t="n"/>
      <c r="Q217" s="6">
        <f>IFERROR(VLOOKUP($D217,LISTINO!$B:$I,6,FALSE),IFERROR(VLOOKUP($E217,LISTINO!$C:$I,5,FALSE),""))</f>
        <v/>
      </c>
      <c r="R217" s="13">
        <f>IF(AND(ISNUMBER(G217),ISNUMBER(Q217)),G217*Q217,"")</f>
        <v/>
      </c>
    </row>
    <row r="218">
      <c r="A218" s="5" t="inlineStr">
        <is>
          <t>ASSI DI ROTAZIONE 1303</t>
        </is>
      </c>
      <c r="B218" s="5" t="inlineStr">
        <is>
          <t>40 MODULI 1303</t>
        </is>
      </c>
      <c r="C218" s="12" t="n"/>
      <c r="D218" s="5" t="inlineStr">
        <is>
          <t>TTS.AR.201</t>
        </is>
      </c>
      <c r="E218" s="5" t="inlineStr">
        <is>
          <t>Kit giunzione asse di collegamento</t>
        </is>
      </c>
      <c r="F218" s="5" t="inlineStr">
        <is>
          <t>Carpenteria metallica</t>
        </is>
      </c>
      <c r="G218" s="12" t="n">
        <v>6</v>
      </c>
      <c r="H218" s="12" t="n"/>
      <c r="I218" s="12" t="n"/>
      <c r="J218" s="12" t="n"/>
      <c r="K218" s="12" t="n"/>
      <c r="L218" s="12" t="n"/>
      <c r="M218" s="12" t="n"/>
      <c r="N218" s="12" t="n"/>
      <c r="O218" s="12" t="inlineStr">
        <is>
          <t>pz</t>
        </is>
      </c>
      <c r="P218" s="10" t="n"/>
      <c r="Q218" s="6">
        <f>IFERROR(VLOOKUP($D218,LISTINO!$B:$I,6,FALSE),IFERROR(VLOOKUP($E218,LISTINO!$C:$I,5,FALSE),""))</f>
        <v/>
      </c>
      <c r="R218" s="13">
        <f>IF(AND(ISNUMBER(G218),ISNUMBER(Q218)),G218*Q218,"")</f>
        <v/>
      </c>
    </row>
    <row r="219">
      <c r="A219" s="5" t="inlineStr">
        <is>
          <t>ASSI DI ROTAZIONE 1303</t>
        </is>
      </c>
      <c r="B219" s="5" t="inlineStr">
        <is>
          <t>40 MODULI 1303</t>
        </is>
      </c>
      <c r="C219" s="12" t="n">
        <v>1</v>
      </c>
      <c r="D219" s="5" t="inlineStr">
        <is>
          <t>TTS.AR.2011</t>
        </is>
      </c>
      <c r="E219" s="5" t="inlineStr">
        <is>
          <t>Gaffa giunzione asse</t>
        </is>
      </c>
      <c r="F219" s="5" t="inlineStr">
        <is>
          <t>Carpenteria metallica</t>
        </is>
      </c>
      <c r="G219" s="12" t="n">
        <v>2</v>
      </c>
      <c r="H219" s="12" t="n"/>
      <c r="I219" s="12" t="n"/>
      <c r="J219" s="12" t="n"/>
      <c r="K219" s="12" t="n"/>
      <c r="L219" s="12" t="n"/>
      <c r="M219" s="12" t="n">
        <v>12</v>
      </c>
      <c r="N219" s="12" t="n"/>
      <c r="O219" s="12" t="inlineStr">
        <is>
          <t>pz</t>
        </is>
      </c>
      <c r="P219" s="10" t="n"/>
      <c r="Q219" s="6">
        <f>IFERROR(VLOOKUP($D219,LISTINO!$B:$I,6,FALSE),IFERROR(VLOOKUP($E219,LISTINO!$C:$I,5,FALSE),""))</f>
        <v/>
      </c>
      <c r="R219" s="13">
        <f>IF(AND(ISNUMBER(G219),ISNUMBER(Q219)),G219*Q219,"")</f>
        <v/>
      </c>
    </row>
    <row r="220">
      <c r="A220" s="5" t="inlineStr">
        <is>
          <t>ASSI DI ROTAZIONE 1303</t>
        </is>
      </c>
      <c r="B220" s="5" t="inlineStr">
        <is>
          <t>40 MODULI 1303</t>
        </is>
      </c>
      <c r="C220" s="12" t="n">
        <v>2</v>
      </c>
      <c r="D220" s="5" t="inlineStr">
        <is>
          <t>10BZM8X150</t>
        </is>
      </c>
      <c r="E220" s="5" t="inlineStr">
        <is>
          <t>Bullone testa esagonale zn M8X150</t>
        </is>
      </c>
      <c r="F220" s="5" t="inlineStr">
        <is>
          <t>Bulloneria e minuteria</t>
        </is>
      </c>
      <c r="G220" s="12" t="n">
        <v>2</v>
      </c>
      <c r="H220" s="12" t="n"/>
      <c r="I220" s="12" t="n"/>
      <c r="J220" s="12" t="n"/>
      <c r="K220" s="12" t="n"/>
      <c r="L220" s="12" t="n"/>
      <c r="M220" s="12" t="n">
        <v>12</v>
      </c>
      <c r="N220" s="12" t="n"/>
      <c r="O220" s="12" t="inlineStr">
        <is>
          <t>pz</t>
        </is>
      </c>
      <c r="P220" s="10" t="n"/>
      <c r="Q220" s="6">
        <f>IFERROR(VLOOKUP($D220,LISTINO!$B:$I,6,FALSE),IFERROR(VLOOKUP($E220,LISTINO!$C:$I,5,FALSE),""))</f>
        <v/>
      </c>
      <c r="R220" s="13">
        <f>IF(AND(ISNUMBER(G220),ISNUMBER(Q220)),G220*Q220,"")</f>
        <v/>
      </c>
    </row>
    <row r="221">
      <c r="A221" s="5" t="inlineStr">
        <is>
          <t>ASSI DI ROTAZIONE 1303</t>
        </is>
      </c>
      <c r="B221" s="5" t="inlineStr">
        <is>
          <t>40 MODULI 1303</t>
        </is>
      </c>
      <c r="C221" s="12" t="n">
        <v>3</v>
      </c>
      <c r="D221" s="5" t="inlineStr">
        <is>
          <t>10ROND8</t>
        </is>
      </c>
      <c r="E221" s="5" t="inlineStr">
        <is>
          <t>Rondella zn 8</t>
        </is>
      </c>
      <c r="F221" s="5" t="inlineStr">
        <is>
          <t>Bulloneria e minuteria</t>
        </is>
      </c>
      <c r="G221" s="12" t="n">
        <v>2</v>
      </c>
      <c r="H221" s="12" t="n"/>
      <c r="I221" s="12" t="n"/>
      <c r="J221" s="12" t="n"/>
      <c r="K221" s="12" t="n"/>
      <c r="L221" s="12" t="n"/>
      <c r="M221" s="12" t="n">
        <v>12</v>
      </c>
      <c r="N221" s="12" t="n"/>
      <c r="O221" s="12" t="inlineStr">
        <is>
          <t>pz</t>
        </is>
      </c>
      <c r="P221" s="10" t="n"/>
      <c r="Q221" s="6">
        <f>IFERROR(VLOOKUP($D221,LISTINO!$B:$I,6,FALSE),IFERROR(VLOOKUP($E221,LISTINO!$C:$I,5,FALSE),""))</f>
        <v/>
      </c>
      <c r="R221" s="13">
        <f>IF(AND(ISNUMBER(G221),ISNUMBER(Q221)),G221*Q221,"")</f>
        <v/>
      </c>
    </row>
    <row r="222">
      <c r="A222" s="5" t="inlineStr">
        <is>
          <t>ASSI DI ROTAZIONE 1303</t>
        </is>
      </c>
      <c r="B222" s="5" t="inlineStr">
        <is>
          <t>40 MODULI 1303</t>
        </is>
      </c>
      <c r="C222" s="12" t="n">
        <v>4</v>
      </c>
      <c r="D222" s="5" t="inlineStr">
        <is>
          <t>10ROND8</t>
        </is>
      </c>
      <c r="E222" s="5" t="inlineStr">
        <is>
          <t>Rondella zn 8</t>
        </is>
      </c>
      <c r="F222" s="5" t="inlineStr">
        <is>
          <t>Bulloneria e minuteria</t>
        </is>
      </c>
      <c r="G222" s="12" t="n">
        <v>2</v>
      </c>
      <c r="H222" s="12" t="n"/>
      <c r="I222" s="12" t="n"/>
      <c r="J222" s="12" t="n"/>
      <c r="K222" s="12" t="n"/>
      <c r="L222" s="12" t="n"/>
      <c r="M222" s="12" t="n">
        <v>12</v>
      </c>
      <c r="N222" s="12" t="n"/>
      <c r="O222" s="12" t="inlineStr">
        <is>
          <t>pz</t>
        </is>
      </c>
      <c r="P222" s="10" t="n"/>
      <c r="Q222" s="6">
        <f>IFERROR(VLOOKUP($D222,LISTINO!$B:$I,6,FALSE),IFERROR(VLOOKUP($E222,LISTINO!$C:$I,5,FALSE),""))</f>
        <v/>
      </c>
      <c r="R222" s="13">
        <f>IF(AND(ISNUMBER(G222),ISNUMBER(Q222)),G222*Q222,"")</f>
        <v/>
      </c>
    </row>
    <row r="223">
      <c r="A223" s="5" t="inlineStr">
        <is>
          <t>ASSI DI ROTAZIONE 1303</t>
        </is>
      </c>
      <c r="B223" s="5" t="inlineStr">
        <is>
          <t>40 MODULI 1303</t>
        </is>
      </c>
      <c r="C223" s="12" t="n">
        <v>5</v>
      </c>
      <c r="D223" s="5" t="inlineStr">
        <is>
          <t>10DAZAM8</t>
        </is>
      </c>
      <c r="E223" s="5" t="inlineStr">
        <is>
          <t>Dado autobloccante M8</t>
        </is>
      </c>
      <c r="F223" s="5" t="inlineStr">
        <is>
          <t>Bulloneria e minuteria</t>
        </is>
      </c>
      <c r="G223" s="12" t="n">
        <v>2</v>
      </c>
      <c r="H223" s="12" t="n"/>
      <c r="I223" s="12" t="n"/>
      <c r="J223" s="12" t="n"/>
      <c r="K223" s="12" t="n"/>
      <c r="L223" s="12" t="n"/>
      <c r="M223" s="12" t="n">
        <v>12</v>
      </c>
      <c r="N223" s="12" t="n"/>
      <c r="O223" s="12" t="inlineStr">
        <is>
          <t>pz</t>
        </is>
      </c>
      <c r="P223" s="10" t="n"/>
      <c r="Q223" s="6">
        <f>IFERROR(VLOOKUP($D223,LISTINO!$B:$I,6,FALSE),IFERROR(VLOOKUP($E223,LISTINO!$C:$I,5,FALSE),""))</f>
        <v/>
      </c>
      <c r="R223" s="13">
        <f>IF(AND(ISNUMBER(G223),ISNUMBER(Q223)),G223*Q223,"")</f>
        <v/>
      </c>
    </row>
    <row r="224">
      <c r="A224" s="5" t="inlineStr">
        <is>
          <t>ASSI DI ROTAZIONE 1303</t>
        </is>
      </c>
      <c r="B224" s="5" t="inlineStr">
        <is>
          <t>40 MODULI 1303</t>
        </is>
      </c>
      <c r="C224" s="12" t="n">
        <v>6</v>
      </c>
      <c r="D224" s="5" t="inlineStr">
        <is>
          <t>10BZM10X30</t>
        </is>
      </c>
      <c r="E224" s="5" t="inlineStr">
        <is>
          <t>Bullone testa esagonale zn M10X30</t>
        </is>
      </c>
      <c r="F224" s="5" t="inlineStr">
        <is>
          <t>Bulloneria e minuteria</t>
        </is>
      </c>
      <c r="G224" s="12" t="n">
        <v>8</v>
      </c>
      <c r="H224" s="12" t="n"/>
      <c r="I224" s="12" t="n"/>
      <c r="J224" s="12" t="n"/>
      <c r="K224" s="12" t="n"/>
      <c r="L224" s="12" t="n"/>
      <c r="M224" s="12" t="n">
        <v>16</v>
      </c>
      <c r="N224" s="12" t="n"/>
      <c r="O224" s="12" t="inlineStr">
        <is>
          <t>pz</t>
        </is>
      </c>
      <c r="P224" s="10" t="n"/>
      <c r="Q224" s="6">
        <f>IFERROR(VLOOKUP($D224,LISTINO!$B:$I,6,FALSE),IFERROR(VLOOKUP($E224,LISTINO!$C:$I,5,FALSE),""))</f>
        <v/>
      </c>
      <c r="R224" s="13">
        <f>IF(AND(ISNUMBER(G224),ISNUMBER(Q224)),G224*Q224,"")</f>
        <v/>
      </c>
    </row>
    <row r="225">
      <c r="A225" s="5" t="inlineStr">
        <is>
          <t>ASSI DI ROTAZIONE 1303</t>
        </is>
      </c>
      <c r="B225" s="5" t="inlineStr">
        <is>
          <t>40 MODULI 1303</t>
        </is>
      </c>
      <c r="C225" s="12" t="n">
        <v>7</v>
      </c>
      <c r="D225" s="5" t="inlineStr">
        <is>
          <t>10ROND10</t>
        </is>
      </c>
      <c r="E225" s="5" t="inlineStr">
        <is>
          <t>Rondella zn 10</t>
        </is>
      </c>
      <c r="F225" s="5" t="inlineStr">
        <is>
          <t>Bulloneria e minuteria</t>
        </is>
      </c>
      <c r="G225" s="12" t="n">
        <v>8</v>
      </c>
      <c r="H225" s="12" t="n"/>
      <c r="I225" s="12" t="n"/>
      <c r="J225" s="12" t="n"/>
      <c r="K225" s="12" t="n"/>
      <c r="L225" s="12" t="n"/>
      <c r="M225" s="12" t="n">
        <v>16</v>
      </c>
      <c r="N225" s="12" t="n"/>
      <c r="O225" s="12" t="inlineStr">
        <is>
          <t>pz</t>
        </is>
      </c>
      <c r="P225" s="10" t="n"/>
      <c r="Q225" s="6">
        <f>IFERROR(VLOOKUP($D225,LISTINO!$B:$I,6,FALSE),IFERROR(VLOOKUP($E225,LISTINO!$C:$I,5,FALSE),""))</f>
        <v/>
      </c>
      <c r="R225" s="13">
        <f>IF(AND(ISNUMBER(G225),ISNUMBER(Q225)),G225*Q225,"")</f>
        <v/>
      </c>
    </row>
    <row r="226">
      <c r="A226" s="5" t="inlineStr">
        <is>
          <t>ASSI DI ROTAZIONE 1303</t>
        </is>
      </c>
      <c r="B226" s="5" t="inlineStr">
        <is>
          <t>40 MODULI 1303</t>
        </is>
      </c>
      <c r="C226" s="12" t="n">
        <v>8</v>
      </c>
      <c r="D226" s="5" t="inlineStr">
        <is>
          <t>10ROND10</t>
        </is>
      </c>
      <c r="E226" s="5" t="inlineStr">
        <is>
          <t>Rondella zn 10</t>
        </is>
      </c>
      <c r="F226" s="5" t="inlineStr">
        <is>
          <t>Bulloneria e minuteria</t>
        </is>
      </c>
      <c r="G226" s="12" t="n">
        <v>8</v>
      </c>
      <c r="H226" s="12" t="n"/>
      <c r="I226" s="12" t="n"/>
      <c r="J226" s="12" t="n"/>
      <c r="K226" s="12" t="n"/>
      <c r="L226" s="12" t="n"/>
      <c r="M226" s="12" t="n">
        <v>16</v>
      </c>
      <c r="N226" s="12" t="n"/>
      <c r="O226" s="12" t="inlineStr">
        <is>
          <t>pz</t>
        </is>
      </c>
      <c r="P226" s="10" t="n"/>
      <c r="Q226" s="6">
        <f>IFERROR(VLOOKUP($D226,LISTINO!$B:$I,6,FALSE),IFERROR(VLOOKUP($E226,LISTINO!$C:$I,5,FALSE),""))</f>
        <v/>
      </c>
      <c r="R226" s="13">
        <f>IF(AND(ISNUMBER(G226),ISNUMBER(Q226)),G226*Q226,"")</f>
        <v/>
      </c>
    </row>
    <row r="227">
      <c r="A227" s="5" t="inlineStr">
        <is>
          <t>ASSI DI ROTAZIONE 1303</t>
        </is>
      </c>
      <c r="B227" s="5" t="inlineStr">
        <is>
          <t>40 MODULI 1303</t>
        </is>
      </c>
      <c r="C227" s="12" t="n">
        <v>9</v>
      </c>
      <c r="D227" s="5" t="inlineStr">
        <is>
          <t>10DAZAM10</t>
        </is>
      </c>
      <c r="E227" s="5" t="inlineStr">
        <is>
          <t>Dado autobloccante M10</t>
        </is>
      </c>
      <c r="F227" s="5" t="inlineStr">
        <is>
          <t>Bulloneria e minuteria</t>
        </is>
      </c>
      <c r="G227" s="12" t="n">
        <v>8</v>
      </c>
      <c r="H227" s="12" t="n"/>
      <c r="I227" s="12" t="n"/>
      <c r="J227" s="12" t="n"/>
      <c r="K227" s="12" t="n"/>
      <c r="L227" s="12" t="n"/>
      <c r="M227" s="12" t="n">
        <v>16</v>
      </c>
      <c r="N227" s="12" t="n"/>
      <c r="O227" s="12" t="inlineStr">
        <is>
          <t>pz</t>
        </is>
      </c>
      <c r="P227" s="10" t="n"/>
      <c r="Q227" s="6">
        <f>IFERROR(VLOOKUP($D227,LISTINO!$B:$I,6,FALSE),IFERROR(VLOOKUP($E227,LISTINO!$C:$I,5,FALSE),""))</f>
        <v/>
      </c>
      <c r="R227" s="13">
        <f>IF(AND(ISNUMBER(G227),ISNUMBER(Q227)),G227*Q227,"")</f>
        <v/>
      </c>
    </row>
    <row r="228">
      <c r="A228" s="5" t="inlineStr">
        <is>
          <t>KIT OMEGA+pannelli</t>
        </is>
      </c>
      <c r="B228" s="5" t="n"/>
      <c r="C228" s="12" t="n">
        <v>1</v>
      </c>
      <c r="D228" s="5" t="inlineStr">
        <is>
          <t>10BZM8X25</t>
        </is>
      </c>
      <c r="E228" s="5" t="inlineStr">
        <is>
          <t>Bullone testa esagonale zn M8X25</t>
        </is>
      </c>
      <c r="F228" s="5" t="inlineStr">
        <is>
          <t>Bulloneria e minuteria</t>
        </is>
      </c>
      <c r="G228" s="12" t="n">
        <v>4</v>
      </c>
      <c r="H228" s="12" t="n">
        <v>56</v>
      </c>
      <c r="I228" s="12" t="n">
        <v>80</v>
      </c>
      <c r="J228" s="12" t="n">
        <v>88</v>
      </c>
      <c r="K228" s="12" t="n">
        <v>96</v>
      </c>
      <c r="L228" s="12" t="n">
        <v>152</v>
      </c>
      <c r="M228" s="12" t="n">
        <v>168</v>
      </c>
      <c r="N228" s="12" t="n"/>
      <c r="O228" s="12" t="inlineStr">
        <is>
          <t>pz</t>
        </is>
      </c>
      <c r="P228" s="10" t="n"/>
      <c r="Q228" s="6">
        <f>IFERROR(VLOOKUP($D228,LISTINO!$B:$I,6,FALSE),IFERROR(VLOOKUP($E228,LISTINO!$C:$I,5,FALSE),""))</f>
        <v/>
      </c>
      <c r="R228" s="13">
        <f>IF(AND(ISNUMBER(G228),ISNUMBER(Q228)),G228*Q228,"")</f>
        <v/>
      </c>
    </row>
    <row r="229">
      <c r="A229" s="5" t="inlineStr">
        <is>
          <t>KIT OMEGA+pannelli</t>
        </is>
      </c>
      <c r="B229" s="5" t="n"/>
      <c r="C229" s="12" t="n">
        <v>2</v>
      </c>
      <c r="D229" s="5" t="inlineStr">
        <is>
          <t>TTS.AR.3011</t>
        </is>
      </c>
      <c r="E229" s="5" t="inlineStr">
        <is>
          <t>Supporto a L superiore omega</t>
        </is>
      </c>
      <c r="F229" s="5" t="inlineStr">
        <is>
          <t>Carpenteria metallica</t>
        </is>
      </c>
      <c r="G229" s="12" t="n">
        <v>2</v>
      </c>
      <c r="H229" s="12" t="n">
        <v>28</v>
      </c>
      <c r="I229" s="12" t="n">
        <v>40</v>
      </c>
      <c r="J229" s="12" t="n">
        <v>44</v>
      </c>
      <c r="K229" s="12" t="n">
        <v>48</v>
      </c>
      <c r="L229" s="12" t="n">
        <v>76</v>
      </c>
      <c r="M229" s="12" t="n">
        <v>84</v>
      </c>
      <c r="N229" s="12" t="n"/>
      <c r="O229" s="12" t="inlineStr">
        <is>
          <t>pz</t>
        </is>
      </c>
      <c r="P229" s="10" t="n"/>
      <c r="Q229" s="6">
        <f>IFERROR(VLOOKUP($D229,LISTINO!$B:$I,6,FALSE),IFERROR(VLOOKUP($E229,LISTINO!$C:$I,5,FALSE),""))</f>
        <v/>
      </c>
      <c r="R229" s="13">
        <f>IF(AND(ISNUMBER(G229),ISNUMBER(Q229)),G229*Q229,"")</f>
        <v/>
      </c>
    </row>
    <row r="230">
      <c r="A230" s="5" t="inlineStr">
        <is>
          <t>KIT OMEGA+pannelli</t>
        </is>
      </c>
      <c r="B230" s="5" t="n"/>
      <c r="C230" s="12" t="n">
        <v>3</v>
      </c>
      <c r="D230" s="5" t="inlineStr">
        <is>
          <t>TTS.AR.3012</t>
        </is>
      </c>
      <c r="E230" s="5" t="inlineStr">
        <is>
          <t>Supporto a V inferiore omega</t>
        </is>
      </c>
      <c r="F230" s="5" t="inlineStr">
        <is>
          <t>Carpenteria metallica</t>
        </is>
      </c>
      <c r="G230" s="12" t="n">
        <v>2</v>
      </c>
      <c r="H230" s="12" t="n">
        <v>56</v>
      </c>
      <c r="I230" s="12" t="n">
        <v>40</v>
      </c>
      <c r="J230" s="12" t="n">
        <v>44</v>
      </c>
      <c r="K230" s="12" t="n">
        <v>48</v>
      </c>
      <c r="L230" s="12" t="n">
        <v>76</v>
      </c>
      <c r="M230" s="12" t="n">
        <v>84</v>
      </c>
      <c r="N230" s="12" t="n"/>
      <c r="O230" s="12" t="inlineStr">
        <is>
          <t>pz</t>
        </is>
      </c>
      <c r="P230" s="10" t="n"/>
      <c r="Q230" s="6">
        <f>IFERROR(VLOOKUP($D230,LISTINO!$B:$I,6,FALSE),IFERROR(VLOOKUP($E230,LISTINO!$C:$I,5,FALSE),""))</f>
        <v/>
      </c>
      <c r="R230" s="13">
        <f>IF(AND(ISNUMBER(G230),ISNUMBER(Q230)),G230*Q230,"")</f>
        <v/>
      </c>
    </row>
    <row r="231">
      <c r="A231" s="5" t="inlineStr">
        <is>
          <t>KIT OMEGA+pannelli</t>
        </is>
      </c>
      <c r="B231" s="5" t="n"/>
      <c r="C231" s="12" t="n">
        <v>4</v>
      </c>
      <c r="D231" s="5" t="inlineStr">
        <is>
          <t>10ROND8</t>
        </is>
      </c>
      <c r="E231" s="5" t="inlineStr">
        <is>
          <t>Rondella zn 8</t>
        </is>
      </c>
      <c r="F231" s="5" t="inlineStr">
        <is>
          <t>Bulloneria e minuteria</t>
        </is>
      </c>
      <c r="G231" s="12" t="n">
        <v>4</v>
      </c>
      <c r="H231" s="12" t="n">
        <v>56</v>
      </c>
      <c r="I231" s="12" t="n">
        <v>80</v>
      </c>
      <c r="J231" s="12" t="n">
        <v>88</v>
      </c>
      <c r="K231" s="12" t="n">
        <v>96</v>
      </c>
      <c r="L231" s="12" t="n">
        <v>152</v>
      </c>
      <c r="M231" s="12" t="n">
        <v>168</v>
      </c>
      <c r="N231" s="12" t="n"/>
      <c r="O231" s="12" t="inlineStr">
        <is>
          <t>pz</t>
        </is>
      </c>
      <c r="P231" s="10" t="n"/>
      <c r="Q231" s="6">
        <f>IFERROR(VLOOKUP($D231,LISTINO!$B:$I,6,FALSE),IFERROR(VLOOKUP($E231,LISTINO!$C:$I,5,FALSE),""))</f>
        <v/>
      </c>
      <c r="R231" s="13">
        <f>IF(AND(ISNUMBER(G231),ISNUMBER(Q231)),G231*Q231,"")</f>
        <v/>
      </c>
    </row>
    <row r="232">
      <c r="A232" s="5" t="inlineStr">
        <is>
          <t>KIT OMEGA+pannelli</t>
        </is>
      </c>
      <c r="B232" s="5" t="n"/>
      <c r="C232" s="12" t="n">
        <v>5</v>
      </c>
      <c r="D232" s="5" t="inlineStr">
        <is>
          <t>10DAZAM8</t>
        </is>
      </c>
      <c r="E232" s="5" t="inlineStr">
        <is>
          <t>Dado autobloccante M8</t>
        </is>
      </c>
      <c r="F232" s="5" t="inlineStr">
        <is>
          <t>Bulloneria e minuteria</t>
        </is>
      </c>
      <c r="G232" s="12" t="n">
        <v>4</v>
      </c>
      <c r="H232" s="12" t="n">
        <v>56</v>
      </c>
      <c r="I232" s="12" t="n">
        <v>80</v>
      </c>
      <c r="J232" s="12" t="n">
        <v>88</v>
      </c>
      <c r="K232" s="12" t="n">
        <v>96</v>
      </c>
      <c r="L232" s="12" t="n">
        <v>152</v>
      </c>
      <c r="M232" s="12" t="n">
        <v>168</v>
      </c>
      <c r="N232" s="12" t="n"/>
      <c r="O232" s="12" t="inlineStr">
        <is>
          <t>pz</t>
        </is>
      </c>
      <c r="P232" s="10" t="n"/>
      <c r="Q232" s="6">
        <f>IFERROR(VLOOKUP($D232,LISTINO!$B:$I,6,FALSE),IFERROR(VLOOKUP($E232,LISTINO!$C:$I,5,FALSE),""))</f>
        <v/>
      </c>
      <c r="R232" s="13">
        <f>IF(AND(ISNUMBER(G232),ISNUMBER(Q232)),G232*Q232,"")</f>
        <v/>
      </c>
    </row>
    <row r="233">
      <c r="A233" s="5" t="inlineStr">
        <is>
          <t>KIT OMEGA+pannelli</t>
        </is>
      </c>
      <c r="B233" s="5" t="n"/>
      <c r="C233" s="12" t="n">
        <v>6</v>
      </c>
      <c r="D233" s="5" t="inlineStr">
        <is>
          <t>10BZM10X160</t>
        </is>
      </c>
      <c r="E233" s="5" t="inlineStr">
        <is>
          <t>Bullone testa esagonale zn M10X160</t>
        </is>
      </c>
      <c r="F233" s="5" t="inlineStr">
        <is>
          <t>Bulloneria e minuteria</t>
        </is>
      </c>
      <c r="G233" s="12" t="n">
        <v>4</v>
      </c>
      <c r="H233" s="12" t="n">
        <v>56</v>
      </c>
      <c r="I233" s="12" t="n">
        <v>80</v>
      </c>
      <c r="J233" s="12" t="n">
        <v>88</v>
      </c>
      <c r="K233" s="12" t="n">
        <v>96</v>
      </c>
      <c r="L233" s="12" t="n">
        <v>152</v>
      </c>
      <c r="M233" s="12" t="n">
        <v>168</v>
      </c>
      <c r="N233" s="12" t="n"/>
      <c r="O233" s="12" t="inlineStr">
        <is>
          <t>pz</t>
        </is>
      </c>
      <c r="P233" s="10" t="n"/>
      <c r="Q233" s="6">
        <f>IFERROR(VLOOKUP($D233,LISTINO!$B:$I,6,FALSE),IFERROR(VLOOKUP($E233,LISTINO!$C:$I,5,FALSE),""))</f>
        <v/>
      </c>
      <c r="R233" s="13">
        <f>IF(AND(ISNUMBER(G233),ISNUMBER(Q233)),G233*Q233,"")</f>
        <v/>
      </c>
    </row>
    <row r="234">
      <c r="A234" s="5" t="inlineStr">
        <is>
          <t>KIT OMEGA+pannelli</t>
        </is>
      </c>
      <c r="B234" s="5" t="n"/>
      <c r="C234" s="12" t="n">
        <v>7</v>
      </c>
      <c r="D234" s="5" t="inlineStr">
        <is>
          <t>10ROND10</t>
        </is>
      </c>
      <c r="E234" s="5" t="inlineStr">
        <is>
          <t>Rondella zn 10</t>
        </is>
      </c>
      <c r="F234" s="5" t="inlineStr">
        <is>
          <t>Bulloneria e minuteria</t>
        </is>
      </c>
      <c r="G234" s="12" t="n">
        <v>4</v>
      </c>
      <c r="H234" s="12" t="n">
        <v>56</v>
      </c>
      <c r="I234" s="12" t="n">
        <v>80</v>
      </c>
      <c r="J234" s="12" t="n">
        <v>88</v>
      </c>
      <c r="K234" s="12" t="n">
        <v>96</v>
      </c>
      <c r="L234" s="12" t="n">
        <v>152</v>
      </c>
      <c r="M234" s="12" t="n">
        <v>168</v>
      </c>
      <c r="N234" s="12" t="n"/>
      <c r="O234" s="12" t="inlineStr">
        <is>
          <t>pz</t>
        </is>
      </c>
      <c r="P234" s="10" t="n"/>
      <c r="Q234" s="6">
        <f>IFERROR(VLOOKUP($D234,LISTINO!$B:$I,6,FALSE),IFERROR(VLOOKUP($E234,LISTINO!$C:$I,5,FALSE),""))</f>
        <v/>
      </c>
      <c r="R234" s="13">
        <f>IF(AND(ISNUMBER(G234),ISNUMBER(Q234)),G234*Q234,"")</f>
        <v/>
      </c>
    </row>
    <row r="235">
      <c r="A235" s="5" t="inlineStr">
        <is>
          <t>KIT OMEGA+pannelli</t>
        </is>
      </c>
      <c r="B235" s="5" t="n"/>
      <c r="C235" s="12" t="n">
        <v>8</v>
      </c>
      <c r="D235" s="5" t="inlineStr">
        <is>
          <t>10DAZAM8</t>
        </is>
      </c>
      <c r="E235" s="5" t="inlineStr">
        <is>
          <t>Dado autobloccante M8</t>
        </is>
      </c>
      <c r="F235" s="5" t="inlineStr">
        <is>
          <t>Bulloneria e minuteria</t>
        </is>
      </c>
      <c r="G235" s="12" t="n">
        <v>4</v>
      </c>
      <c r="H235" s="12" t="n">
        <v>56</v>
      </c>
      <c r="I235" s="12" t="n">
        <v>80</v>
      </c>
      <c r="J235" s="12" t="n">
        <v>88</v>
      </c>
      <c r="K235" s="12" t="n">
        <v>96</v>
      </c>
      <c r="L235" s="12" t="n">
        <v>152</v>
      </c>
      <c r="M235" s="12" t="n">
        <v>168</v>
      </c>
      <c r="N235" s="12" t="n"/>
      <c r="O235" s="12" t="inlineStr">
        <is>
          <t>pz</t>
        </is>
      </c>
      <c r="P235" s="10" t="n"/>
      <c r="Q235" s="6">
        <f>IFERROR(VLOOKUP($D235,LISTINO!$B:$I,6,FALSE),IFERROR(VLOOKUP($E235,LISTINO!$C:$I,5,FALSE),""))</f>
        <v/>
      </c>
      <c r="R235" s="13">
        <f>IF(AND(ISNUMBER(G235),ISNUMBER(Q235)),G235*Q235,"")</f>
        <v/>
      </c>
    </row>
    <row r="236">
      <c r="A236" s="5" t="inlineStr">
        <is>
          <t>KIT OMEGA+pannelli</t>
        </is>
      </c>
      <c r="B236" s="5" t="n"/>
      <c r="C236" s="12" t="n">
        <v>9</v>
      </c>
      <c r="D236" s="5" t="inlineStr">
        <is>
          <t>10BZM6X150</t>
        </is>
      </c>
      <c r="E236" s="5" t="inlineStr">
        <is>
          <t>Bullone testa esagonale zn M6X150</t>
        </is>
      </c>
      <c r="F236" s="5" t="inlineStr">
        <is>
          <t>Bulloneria e minuteria</t>
        </is>
      </c>
      <c r="G236" s="12" t="n">
        <v>2</v>
      </c>
      <c r="H236" s="12" t="n">
        <v>28</v>
      </c>
      <c r="I236" s="12" t="n">
        <v>40</v>
      </c>
      <c r="J236" s="12" t="n">
        <v>44</v>
      </c>
      <c r="K236" s="12" t="n">
        <v>48</v>
      </c>
      <c r="L236" s="12" t="n">
        <v>76</v>
      </c>
      <c r="M236" s="12" t="n">
        <v>336</v>
      </c>
      <c r="N236" s="12" t="n"/>
      <c r="O236" s="12" t="inlineStr">
        <is>
          <t>pz</t>
        </is>
      </c>
      <c r="P236" s="10" t="n"/>
      <c r="Q236" s="6">
        <f>IFERROR(VLOOKUP($D236,LISTINO!$B:$I,6,FALSE),IFERROR(VLOOKUP($E236,LISTINO!$C:$I,5,FALSE),""))</f>
        <v/>
      </c>
      <c r="R236" s="13">
        <f>IF(AND(ISNUMBER(G236),ISNUMBER(Q236)),G236*Q236,"")</f>
        <v/>
      </c>
    </row>
    <row r="237">
      <c r="A237" s="5" t="inlineStr">
        <is>
          <t>KIT OMEGA+pannelli</t>
        </is>
      </c>
      <c r="B237" s="5" t="n"/>
      <c r="C237" s="12" t="n">
        <v>10</v>
      </c>
      <c r="D237" s="5" t="inlineStr">
        <is>
          <t>TTS.AR.3013</t>
        </is>
      </c>
      <c r="E237" s="5" t="inlineStr">
        <is>
          <t>Gaffa sotto omega</t>
        </is>
      </c>
      <c r="F237" s="5" t="inlineStr">
        <is>
          <t>Carpenteria metallica</t>
        </is>
      </c>
      <c r="G237" s="12" t="n">
        <v>1</v>
      </c>
      <c r="H237" s="12" t="n">
        <v>14</v>
      </c>
      <c r="I237" s="12" t="n">
        <v>20</v>
      </c>
      <c r="J237" s="12" t="n">
        <v>22</v>
      </c>
      <c r="K237" s="12" t="n">
        <v>24</v>
      </c>
      <c r="L237" s="12" t="n">
        <v>38</v>
      </c>
      <c r="M237" s="12" t="n">
        <v>42</v>
      </c>
      <c r="N237" s="12" t="n"/>
      <c r="O237" s="12" t="inlineStr">
        <is>
          <t>pz</t>
        </is>
      </c>
      <c r="P237" s="10" t="n"/>
      <c r="Q237" s="6">
        <f>IFERROR(VLOOKUP($D237,LISTINO!$B:$I,6,FALSE),IFERROR(VLOOKUP($E237,LISTINO!$C:$I,5,FALSE),""))</f>
        <v/>
      </c>
      <c r="R237" s="13">
        <f>IF(AND(ISNUMBER(G237),ISNUMBER(Q237)),G237*Q237,"")</f>
        <v/>
      </c>
    </row>
    <row r="238">
      <c r="A238" s="5" t="inlineStr">
        <is>
          <t>KIT OMEGA+pannelli</t>
        </is>
      </c>
      <c r="B238" s="5" t="n"/>
      <c r="C238" s="12" t="n">
        <v>11</v>
      </c>
      <c r="D238" s="5" t="inlineStr">
        <is>
          <t>10ROND6</t>
        </is>
      </c>
      <c r="E238" s="5" t="inlineStr">
        <is>
          <t>Rondella zn 6</t>
        </is>
      </c>
      <c r="F238" s="5" t="inlineStr">
        <is>
          <t>Bulloneria e minuteria</t>
        </is>
      </c>
      <c r="G238" s="12" t="n">
        <v>2</v>
      </c>
      <c r="H238" s="12" t="n">
        <v>28</v>
      </c>
      <c r="I238" s="12" t="n">
        <v>40</v>
      </c>
      <c r="J238" s="12" t="n">
        <v>44</v>
      </c>
      <c r="K238" s="12" t="n">
        <v>48</v>
      </c>
      <c r="L238" s="12" t="n">
        <v>76</v>
      </c>
      <c r="M238" s="12" t="n">
        <v>84</v>
      </c>
      <c r="N238" s="12" t="n"/>
      <c r="O238" s="12" t="inlineStr">
        <is>
          <t>pz</t>
        </is>
      </c>
      <c r="P238" s="10" t="n"/>
      <c r="Q238" s="6">
        <f>IFERROR(VLOOKUP($D238,LISTINO!$B:$I,6,FALSE),IFERROR(VLOOKUP($E238,LISTINO!$C:$I,5,FALSE),""))</f>
        <v/>
      </c>
      <c r="R238" s="13">
        <f>IF(AND(ISNUMBER(G238),ISNUMBER(Q238)),G238*Q238,"")</f>
        <v/>
      </c>
    </row>
    <row r="239">
      <c r="A239" s="5" t="inlineStr">
        <is>
          <t>KIT OMEGA+pannelli</t>
        </is>
      </c>
      <c r="B239" s="5" t="n"/>
      <c r="C239" s="12" t="n">
        <v>12</v>
      </c>
      <c r="D239" s="5" t="inlineStr">
        <is>
          <t>10DAZAM6</t>
        </is>
      </c>
      <c r="E239" s="5" t="inlineStr">
        <is>
          <t>Dado autobloccante M6</t>
        </is>
      </c>
      <c r="F239" s="5" t="inlineStr">
        <is>
          <t>Bulloneria e minuteria</t>
        </is>
      </c>
      <c r="G239" s="12" t="n">
        <v>2</v>
      </c>
      <c r="H239" s="12" t="n">
        <v>28</v>
      </c>
      <c r="I239" s="12" t="n">
        <v>40</v>
      </c>
      <c r="J239" s="12" t="n">
        <v>44</v>
      </c>
      <c r="K239" s="12" t="n">
        <v>48</v>
      </c>
      <c r="L239" s="12" t="n">
        <v>76</v>
      </c>
      <c r="M239" s="12" t="n">
        <v>84</v>
      </c>
      <c r="N239" s="12" t="n"/>
      <c r="O239" s="12" t="inlineStr">
        <is>
          <t>pz</t>
        </is>
      </c>
      <c r="P239" s="10" t="n"/>
      <c r="Q239" s="6">
        <f>IFERROR(VLOOKUP($D239,LISTINO!$B:$I,6,FALSE),IFERROR(VLOOKUP($E239,LISTINO!$C:$I,5,FALSE),""))</f>
        <v/>
      </c>
      <c r="R239" s="13">
        <f>IF(AND(ISNUMBER(G239),ISNUMBER(Q239)),G239*Q239,"")</f>
        <v/>
      </c>
    </row>
    <row r="240">
      <c r="A240" s="5" t="inlineStr">
        <is>
          <t>KIT OMEGA+pannelli</t>
        </is>
      </c>
      <c r="B240" s="5" t="n"/>
      <c r="C240" s="12" t="n">
        <v>13</v>
      </c>
      <c r="D240" s="5" t="inlineStr">
        <is>
          <t>TTS.AR.3014</t>
        </is>
      </c>
      <c r="E240" s="5" t="inlineStr">
        <is>
          <t>Omega supporto pannello</t>
        </is>
      </c>
      <c r="F240" s="5" t="inlineStr">
        <is>
          <t>Carpenteria metallica</t>
        </is>
      </c>
      <c r="G240" s="12" t="n">
        <v>1</v>
      </c>
      <c r="H240" s="12" t="n">
        <v>14</v>
      </c>
      <c r="I240" s="12" t="n">
        <v>40</v>
      </c>
      <c r="J240" s="12" t="n">
        <v>22</v>
      </c>
      <c r="K240" s="12" t="n">
        <v>48</v>
      </c>
      <c r="L240" s="12" t="n">
        <v>38</v>
      </c>
      <c r="M240" s="12" t="n">
        <v>42</v>
      </c>
      <c r="N240" s="12" t="n"/>
      <c r="O240" s="12" t="inlineStr">
        <is>
          <t>pz</t>
        </is>
      </c>
      <c r="P240" s="10" t="n"/>
      <c r="Q240" s="6">
        <f>IFERROR(VLOOKUP($D240,LISTINO!$B:$I,6,FALSE),IFERROR(VLOOKUP($E240,LISTINO!$C:$I,5,FALSE),""))</f>
        <v/>
      </c>
      <c r="R240" s="13">
        <f>IF(AND(ISNUMBER(G240),ISNUMBER(Q240)),G240*Q240,"")</f>
        <v/>
      </c>
    </row>
    <row r="241">
      <c r="A241" s="5" t="inlineStr">
        <is>
          <t>KIT OMEGA+pannelli</t>
        </is>
      </c>
      <c r="B241" s="5" t="n"/>
      <c r="C241" s="12" t="n">
        <v>13</v>
      </c>
      <c r="D241" s="5" t="inlineStr">
        <is>
          <t>TTS.AR.3014.18</t>
        </is>
      </c>
      <c r="E241" s="5" t="inlineStr">
        <is>
          <t>Omega supporto pannello mm1,8</t>
        </is>
      </c>
      <c r="F241" s="5" t="inlineStr">
        <is>
          <t>Carpenteria metallica</t>
        </is>
      </c>
      <c r="G241" s="12" t="n">
        <v>0</v>
      </c>
      <c r="H241" s="12" t="n"/>
      <c r="I241" s="12" t="n"/>
      <c r="J241" s="12" t="n"/>
      <c r="K241" s="12" t="n"/>
      <c r="L241" s="12" t="n"/>
      <c r="M241" s="12" t="n"/>
      <c r="N241" s="12" t="n"/>
      <c r="O241" s="12" t="inlineStr">
        <is>
          <t>pz</t>
        </is>
      </c>
      <c r="P241" s="10" t="n"/>
      <c r="Q241" s="6">
        <f>IFERROR(VLOOKUP($D241,LISTINO!$B:$I,6,FALSE),IFERROR(VLOOKUP($E241,LISTINO!$C:$I,5,FALSE),""))</f>
        <v/>
      </c>
      <c r="R241" s="13">
        <f>IF(AND(ISNUMBER(G241),ISNUMBER(Q241)),G241*Q241,"")</f>
        <v/>
      </c>
    </row>
    <row r="242">
      <c r="A242" s="5" t="inlineStr">
        <is>
          <t>KIT OMEGA+pannelli</t>
        </is>
      </c>
      <c r="B242" s="5" t="n"/>
      <c r="C242" s="12" t="n">
        <v>14</v>
      </c>
      <c r="D242" s="5" t="inlineStr">
        <is>
          <t>10ROND8</t>
        </is>
      </c>
      <c r="E242" s="5" t="inlineStr">
        <is>
          <t>Rondella zn 8</t>
        </is>
      </c>
      <c r="F242" s="5" t="inlineStr">
        <is>
          <t>Bulloneria e minuteria</t>
        </is>
      </c>
      <c r="G242" s="12" t="n">
        <v>4</v>
      </c>
      <c r="H242" s="12" t="n">
        <v>56</v>
      </c>
      <c r="I242" s="12" t="n">
        <v>80</v>
      </c>
      <c r="J242" s="12" t="n">
        <v>88</v>
      </c>
      <c r="K242" s="12" t="n">
        <v>96</v>
      </c>
      <c r="L242" s="12" t="n">
        <v>152</v>
      </c>
      <c r="M242" s="12" t="n">
        <v>168</v>
      </c>
      <c r="N242" s="12" t="n"/>
      <c r="O242" s="12" t="inlineStr">
        <is>
          <t>pz</t>
        </is>
      </c>
      <c r="P242" s="10" t="n"/>
      <c r="Q242" s="6">
        <f>IFERROR(VLOOKUP($D242,LISTINO!$B:$I,6,FALSE),IFERROR(VLOOKUP($E242,LISTINO!$C:$I,5,FALSE),""))</f>
        <v/>
      </c>
      <c r="R242" s="13">
        <f>IF(AND(ISNUMBER(G242),ISNUMBER(Q242)),G242*Q242,"")</f>
        <v/>
      </c>
    </row>
    <row r="243">
      <c r="A243" s="5" t="inlineStr">
        <is>
          <t>KIT OMEGA+pannelli</t>
        </is>
      </c>
      <c r="B243" s="5" t="n"/>
      <c r="C243" s="12" t="n">
        <v>15</v>
      </c>
      <c r="D243" s="5" t="inlineStr">
        <is>
          <t>10ROND10</t>
        </is>
      </c>
      <c r="E243" s="5" t="inlineStr">
        <is>
          <t>Rondella zn 10</t>
        </is>
      </c>
      <c r="F243" s="5" t="inlineStr">
        <is>
          <t>Bulloneria e minuteria</t>
        </is>
      </c>
      <c r="G243" s="12" t="n">
        <v>4</v>
      </c>
      <c r="H243" s="12" t="n">
        <v>56</v>
      </c>
      <c r="I243" s="12" t="n">
        <v>80</v>
      </c>
      <c r="J243" s="12" t="n">
        <v>88</v>
      </c>
      <c r="K243" s="12" t="n">
        <v>96</v>
      </c>
      <c r="L243" s="12" t="n">
        <v>152</v>
      </c>
      <c r="M243" s="12" t="n">
        <v>168</v>
      </c>
      <c r="N243" s="12" t="n"/>
      <c r="O243" s="12" t="inlineStr">
        <is>
          <t>pz</t>
        </is>
      </c>
      <c r="P243" s="10" t="n"/>
      <c r="Q243" s="6">
        <f>IFERROR(VLOOKUP($D243,LISTINO!$B:$I,6,FALSE),IFERROR(VLOOKUP($E243,LISTINO!$C:$I,5,FALSE),""))</f>
        <v/>
      </c>
      <c r="R243" s="13">
        <f>IF(AND(ISNUMBER(G243),ISNUMBER(Q243)),G243*Q243,"")</f>
        <v/>
      </c>
    </row>
    <row r="244">
      <c r="A244" s="5" t="inlineStr">
        <is>
          <t>KIT OMEGA+pannelli</t>
        </is>
      </c>
      <c r="B244" s="5" t="n"/>
      <c r="C244" s="12" t="n">
        <v>16</v>
      </c>
      <c r="D244" s="5" t="inlineStr">
        <is>
          <t>10ROND6</t>
        </is>
      </c>
      <c r="E244" s="5" t="inlineStr">
        <is>
          <t>Rondella zn 6</t>
        </is>
      </c>
      <c r="F244" s="5" t="inlineStr">
        <is>
          <t>Bulloneria e minuteria</t>
        </is>
      </c>
      <c r="G244" s="12" t="n">
        <v>2</v>
      </c>
      <c r="H244" s="12" t="n">
        <v>28</v>
      </c>
      <c r="I244" s="12" t="n">
        <v>40</v>
      </c>
      <c r="J244" s="12" t="n">
        <v>44</v>
      </c>
      <c r="K244" s="12" t="n">
        <v>48</v>
      </c>
      <c r="L244" s="12" t="n">
        <v>76</v>
      </c>
      <c r="M244" s="12" t="n">
        <v>84</v>
      </c>
      <c r="N244" s="12" t="n"/>
      <c r="O244" s="12" t="inlineStr">
        <is>
          <t>pz</t>
        </is>
      </c>
      <c r="P244" s="10" t="n"/>
      <c r="Q244" s="6">
        <f>IFERROR(VLOOKUP($D244,LISTINO!$B:$I,6,FALSE),IFERROR(VLOOKUP($E244,LISTINO!$C:$I,5,FALSE),""))</f>
        <v/>
      </c>
      <c r="R244" s="13">
        <f>IF(AND(ISNUMBER(G244),ISNUMBER(Q244)),G244*Q244,"")</f>
        <v/>
      </c>
    </row>
    <row r="245">
      <c r="A245" t="inlineStr">
        <is>
          <t>KIT OMEGA+pannelli</t>
        </is>
      </c>
      <c r="C245" s="14" t="n">
        <v>1</v>
      </c>
      <c r="E245" t="inlineStr">
        <is>
          <t>Pannello fotovoltaico</t>
        </is>
      </c>
      <c r="F245" t="inlineStr">
        <is>
          <t>Moduli fotovoltaici</t>
        </is>
      </c>
      <c r="G245" s="14" t="n">
        <v>1</v>
      </c>
      <c r="H245" s="14" t="n">
        <v>12</v>
      </c>
      <c r="I245" s="14" t="n">
        <v>18</v>
      </c>
      <c r="J245" s="14" t="n">
        <v>20</v>
      </c>
      <c r="K245" s="14" t="n">
        <v>22</v>
      </c>
      <c r="L245" s="14" t="n">
        <v>36</v>
      </c>
      <c r="M245" s="14" t="n">
        <v>40</v>
      </c>
      <c r="N245" s="14" t="n"/>
      <c r="O245" s="14" t="inlineStr">
        <is>
          <t>pz</t>
        </is>
      </c>
      <c r="P245" s="15" t="n"/>
      <c r="Q245" s="13">
        <f>IFERROR(VLOOKUP($D245,LISTINO!$B:$I,6,FALSE),IFERROR(VLOOKUP($E245,LISTINO!$C:$I,5,FALSE),""))</f>
        <v/>
      </c>
      <c r="R245" s="13">
        <f>IF(AND(ISNUMBER(G245),ISNUMBER(Q245)),G245*Q245,"")</f>
        <v/>
      </c>
    </row>
    <row r="246">
      <c r="A246" t="inlineStr">
        <is>
          <t>KIT OMEGA+pannelli</t>
        </is>
      </c>
      <c r="C246" s="14" t="n">
        <v>3</v>
      </c>
      <c r="D246" t="inlineStr">
        <is>
          <t>10ROND8</t>
        </is>
      </c>
      <c r="E246" s="7" t="inlineStr">
        <is>
          <t>Rondella da 8 zn</t>
        </is>
      </c>
      <c r="F246" t="inlineStr">
        <is>
          <t>Bulloneria e minuteria</t>
        </is>
      </c>
      <c r="G246" s="14" t="n">
        <v>4</v>
      </c>
      <c r="H246" s="14" t="n">
        <v>12</v>
      </c>
      <c r="I246" s="14" t="n">
        <v>72</v>
      </c>
      <c r="J246" s="14" t="n">
        <v>80</v>
      </c>
      <c r="K246" s="14" t="n">
        <v>88</v>
      </c>
      <c r="L246" s="14" t="n">
        <v>144</v>
      </c>
      <c r="M246" s="14" t="n">
        <v>160</v>
      </c>
      <c r="N246" s="14" t="n"/>
      <c r="O246" s="14" t="inlineStr">
        <is>
          <t>pz</t>
        </is>
      </c>
      <c r="P246" s="15" t="n"/>
      <c r="Q246" s="8">
        <f>IFERROR(VLOOKUP($D246,LISTINO!$B:$I,6,FALSE),IFERROR(VLOOKUP($E246,LISTINO!$C:$I,5,FALSE),""))</f>
        <v/>
      </c>
      <c r="R246" s="13">
        <f>IF(AND(ISNUMBER(G246),ISNUMBER(Q246)),G246*Q246,"")</f>
        <v/>
      </c>
    </row>
    <row r="247">
      <c r="A247" t="inlineStr">
        <is>
          <t>KIT OMEGA+pannelli</t>
        </is>
      </c>
      <c r="C247" s="14" t="n">
        <v>4</v>
      </c>
      <c r="D247" t="inlineStr">
        <is>
          <t>10BZM8X25</t>
        </is>
      </c>
      <c r="E247" t="inlineStr">
        <is>
          <t>Bullone testa esagonale zn M8x25</t>
        </is>
      </c>
      <c r="F247" t="inlineStr">
        <is>
          <t>Bulloneria e minuteria</t>
        </is>
      </c>
      <c r="G247" s="14" t="n">
        <v>4</v>
      </c>
      <c r="H247" s="14" t="n">
        <v>48</v>
      </c>
      <c r="I247" s="14" t="n">
        <v>72</v>
      </c>
      <c r="J247" s="14" t="n">
        <v>80</v>
      </c>
      <c r="K247" s="14" t="n">
        <v>88</v>
      </c>
      <c r="L247" s="14" t="n">
        <v>144</v>
      </c>
      <c r="M247" s="14" t="n">
        <v>160</v>
      </c>
      <c r="N247" s="14" t="n"/>
      <c r="O247" s="14" t="inlineStr">
        <is>
          <t>pz</t>
        </is>
      </c>
      <c r="P247" s="15" t="n"/>
      <c r="Q247" s="13">
        <f>IFERROR(VLOOKUP($D247,LISTINO!$B:$I,6,FALSE),IFERROR(VLOOKUP($E247,LISTINO!$C:$I,5,FALSE),""))</f>
        <v/>
      </c>
      <c r="R247" s="13">
        <f>IF(AND(ISNUMBER(G247),ISNUMBER(Q247)),G247*Q247,"")</f>
        <v/>
      </c>
    </row>
    <row r="248">
      <c r="A248" t="inlineStr">
        <is>
          <t>KIT OMEGA+pannelli</t>
        </is>
      </c>
      <c r="C248" s="14" t="n">
        <v>5</v>
      </c>
      <c r="D248" t="inlineStr">
        <is>
          <t>10ROND8</t>
        </is>
      </c>
      <c r="E248" t="inlineStr">
        <is>
          <t>Rondella da 8 zn</t>
        </is>
      </c>
      <c r="F248" t="inlineStr">
        <is>
          <t>Bulloneria e minuteria</t>
        </is>
      </c>
      <c r="G248" s="14" t="n">
        <v>4</v>
      </c>
      <c r="H248" s="14" t="n">
        <v>48</v>
      </c>
      <c r="I248" s="14" t="n">
        <v>72</v>
      </c>
      <c r="J248" s="14" t="n">
        <v>80</v>
      </c>
      <c r="K248" s="14" t="n">
        <v>88</v>
      </c>
      <c r="L248" s="14" t="n">
        <v>144</v>
      </c>
      <c r="M248" s="14" t="n">
        <v>160</v>
      </c>
      <c r="N248" s="14" t="n"/>
      <c r="O248" s="14" t="inlineStr">
        <is>
          <t>pz</t>
        </is>
      </c>
      <c r="P248" s="15" t="n"/>
      <c r="Q248" s="13">
        <f>IFERROR(VLOOKUP($D248,LISTINO!$B:$I,6,FALSE),IFERROR(VLOOKUP($E248,LISTINO!$C:$I,5,FALSE),""))</f>
        <v/>
      </c>
      <c r="R248" s="13">
        <f>IF(AND(ISNUMBER(G248),ISNUMBER(Q248)),G248*Q248,"")</f>
        <v/>
      </c>
    </row>
    <row r="249">
      <c r="A249" t="inlineStr">
        <is>
          <t>KIT OMEGA+pannelli</t>
        </is>
      </c>
      <c r="C249" s="14" t="n">
        <v>6</v>
      </c>
      <c r="D249" t="inlineStr">
        <is>
          <t>10DADAZM8</t>
        </is>
      </c>
      <c r="E249" t="inlineStr">
        <is>
          <t>Dado autobloccante M8 zn</t>
        </is>
      </c>
      <c r="F249" t="inlineStr">
        <is>
          <t>Bulloneria e minuteria</t>
        </is>
      </c>
      <c r="G249" s="14" t="n">
        <v>4</v>
      </c>
      <c r="H249" s="14" t="n">
        <v>48</v>
      </c>
      <c r="I249" s="14" t="n">
        <v>72</v>
      </c>
      <c r="J249" s="14" t="n">
        <v>80</v>
      </c>
      <c r="K249" s="14" t="n">
        <v>88</v>
      </c>
      <c r="L249" s="14" t="n">
        <v>144</v>
      </c>
      <c r="M249" s="14" t="n">
        <v>160</v>
      </c>
      <c r="N249" s="14" t="n"/>
      <c r="O249" s="14" t="inlineStr">
        <is>
          <t>pz</t>
        </is>
      </c>
      <c r="P249" s="15" t="n"/>
      <c r="Q249" s="13">
        <f>IFERROR(VLOOKUP($D249,LISTINO!$B:$I,6,FALSE),IFERROR(VLOOKUP($E249,LISTINO!$C:$I,5,FALSE),""))</f>
        <v/>
      </c>
      <c r="R249" s="13">
        <f>IF(AND(ISNUMBER(G249),ISNUMBER(Q249)),G249*Q249,"")</f>
        <v/>
      </c>
    </row>
    <row r="250">
      <c r="A250" t="inlineStr">
        <is>
          <t>KIT OMEGA+pannelli</t>
        </is>
      </c>
      <c r="C250" s="14" t="n">
        <v>1</v>
      </c>
      <c r="E250" t="inlineStr">
        <is>
          <t>Pannellino fotovoltaico optional</t>
        </is>
      </c>
      <c r="F250" t="inlineStr">
        <is>
          <t>Moduli fotovoltaici</t>
        </is>
      </c>
      <c r="G250" s="14" t="n">
        <v>1</v>
      </c>
      <c r="H250" s="14" t="n"/>
      <c r="I250" s="14" t="n"/>
      <c r="J250" s="14" t="n"/>
      <c r="K250" s="14" t="n"/>
      <c r="L250" s="14" t="n"/>
      <c r="M250" s="14" t="n"/>
      <c r="N250" s="14" t="n"/>
      <c r="O250" s="14" t="inlineStr">
        <is>
          <t>pz</t>
        </is>
      </c>
      <c r="P250" s="15" t="n"/>
      <c r="Q250" s="13">
        <f>IFERROR(VLOOKUP($D250,LISTINO!$B:$I,6,FALSE),IFERROR(VLOOKUP($E250,LISTINO!$C:$I,5,FALSE),""))</f>
        <v/>
      </c>
      <c r="R250" s="13">
        <f>IF(AND(ISNUMBER(G250),ISNUMBER(Q250)),G250*Q250,"")</f>
        <v/>
      </c>
    </row>
    <row r="251">
      <c r="A251" t="inlineStr">
        <is>
          <t>KIT OMEGA+pannelli</t>
        </is>
      </c>
      <c r="C251" s="14" t="n">
        <v>3</v>
      </c>
      <c r="D251" t="inlineStr">
        <is>
          <t>10ROND8</t>
        </is>
      </c>
      <c r="E251" t="inlineStr">
        <is>
          <t>Rondella da 8 zn</t>
        </is>
      </c>
      <c r="F251" t="inlineStr">
        <is>
          <t>Bulloneria e minuteria</t>
        </is>
      </c>
      <c r="G251" s="14" t="n">
        <v>4</v>
      </c>
      <c r="H251" s="14" t="n"/>
      <c r="I251" s="14" t="n"/>
      <c r="J251" s="14" t="n"/>
      <c r="K251" s="14" t="n"/>
      <c r="L251" s="14" t="n"/>
      <c r="M251" s="14" t="n"/>
      <c r="N251" s="14" t="n"/>
      <c r="O251" s="14" t="inlineStr">
        <is>
          <t>pz</t>
        </is>
      </c>
      <c r="P251" s="15" t="n"/>
      <c r="Q251" s="13">
        <f>IFERROR(VLOOKUP($D251,LISTINO!$B:$I,6,FALSE),IFERROR(VLOOKUP($E251,LISTINO!$C:$I,5,FALSE),""))</f>
        <v/>
      </c>
      <c r="R251" s="13">
        <f>IF(AND(ISNUMBER(G251),ISNUMBER(Q251)),G251*Q251,"")</f>
        <v/>
      </c>
    </row>
    <row r="252">
      <c r="A252" t="inlineStr">
        <is>
          <t>KIT OMEGA+pannelli</t>
        </is>
      </c>
      <c r="C252" s="14" t="n">
        <v>4</v>
      </c>
      <c r="D252" t="inlineStr">
        <is>
          <t>10BZM8X25</t>
        </is>
      </c>
      <c r="E252" t="inlineStr">
        <is>
          <t>Bullone testa esagonale zn M8x25</t>
        </is>
      </c>
      <c r="F252" t="inlineStr">
        <is>
          <t>Bulloneria e minuteria</t>
        </is>
      </c>
      <c r="G252" s="14" t="n">
        <v>4</v>
      </c>
      <c r="H252" s="14" t="n"/>
      <c r="I252" s="14" t="n"/>
      <c r="J252" s="14" t="n"/>
      <c r="K252" s="14" t="n"/>
      <c r="L252" s="14" t="n"/>
      <c r="M252" s="14" t="n"/>
      <c r="N252" s="14" t="n"/>
      <c r="O252" s="14" t="inlineStr">
        <is>
          <t>pz</t>
        </is>
      </c>
      <c r="P252" s="15" t="n"/>
      <c r="Q252" s="13">
        <f>IFERROR(VLOOKUP($D252,LISTINO!$B:$I,6,FALSE),IFERROR(VLOOKUP($E252,LISTINO!$C:$I,5,FALSE),""))</f>
        <v/>
      </c>
      <c r="R252" s="13">
        <f>IF(AND(ISNUMBER(G252),ISNUMBER(Q252)),G252*Q252,"")</f>
        <v/>
      </c>
    </row>
    <row r="253">
      <c r="A253" t="inlineStr">
        <is>
          <t>KIT OMEGA+pannelli</t>
        </is>
      </c>
      <c r="C253" s="14" t="n">
        <v>5</v>
      </c>
      <c r="D253" t="inlineStr">
        <is>
          <t>10ROND8</t>
        </is>
      </c>
      <c r="E253" t="inlineStr">
        <is>
          <t>Rondella da 8 zn</t>
        </is>
      </c>
      <c r="F253" t="inlineStr">
        <is>
          <t>Bulloneria e minuteria</t>
        </is>
      </c>
      <c r="G253" s="14" t="n">
        <v>4</v>
      </c>
      <c r="H253" s="14" t="n"/>
      <c r="I253" s="14" t="n"/>
      <c r="J253" s="14" t="n"/>
      <c r="K253" s="14" t="n"/>
      <c r="L253" s="14" t="n"/>
      <c r="M253" s="14" t="n"/>
      <c r="N253" s="14" t="n"/>
      <c r="O253" s="14" t="inlineStr">
        <is>
          <t>pz</t>
        </is>
      </c>
      <c r="P253" s="15" t="n"/>
      <c r="Q253" s="13">
        <f>IFERROR(VLOOKUP($D253,LISTINO!$B:$I,6,FALSE),IFERROR(VLOOKUP($E253,LISTINO!$C:$I,5,FALSE),""))</f>
        <v/>
      </c>
      <c r="R253" s="13">
        <f>IF(AND(ISNUMBER(G253),ISNUMBER(Q253)),G253*Q253,"")</f>
        <v/>
      </c>
    </row>
    <row r="254">
      <c r="A254" t="inlineStr">
        <is>
          <t>KIT OMEGA+pannelli</t>
        </is>
      </c>
      <c r="C254" s="14" t="n">
        <v>6</v>
      </c>
      <c r="D254" t="inlineStr">
        <is>
          <t>10DADAZM8</t>
        </is>
      </c>
      <c r="E254" t="inlineStr">
        <is>
          <t>Dado autobloccante M8 zn</t>
        </is>
      </c>
      <c r="F254" t="inlineStr">
        <is>
          <t>Bulloneria e minuteria</t>
        </is>
      </c>
      <c r="G254" s="14" t="n">
        <v>4</v>
      </c>
      <c r="H254" s="14" t="n"/>
      <c r="I254" s="14" t="n"/>
      <c r="J254" s="14" t="n"/>
      <c r="K254" s="14" t="n"/>
      <c r="L254" s="14" t="n"/>
      <c r="M254" s="14" t="n"/>
      <c r="N254" s="14" t="n"/>
      <c r="O254" s="14" t="inlineStr">
        <is>
          <t>pz</t>
        </is>
      </c>
      <c r="P254" s="15" t="n"/>
      <c r="Q254" s="13">
        <f>IFERROR(VLOOKUP($D254,LISTINO!$B:$I,6,FALSE),IFERROR(VLOOKUP($E254,LISTINO!$C:$I,5,FALSE),""))</f>
        <v/>
      </c>
      <c r="R254" s="13">
        <f>IF(AND(ISNUMBER(G254),ISNUMBER(Q254)),G254*Q254,"")</f>
        <v/>
      </c>
    </row>
    <row r="255">
      <c r="A255" t="inlineStr">
        <is>
          <t>KIT FINE CORSA</t>
        </is>
      </c>
      <c r="B255" t="inlineStr">
        <is>
          <t>1 KIT PER TRACKER</t>
        </is>
      </c>
      <c r="C255" s="14" t="n">
        <v>1</v>
      </c>
      <c r="D255" t="inlineStr">
        <is>
          <t>10BZM5X30</t>
        </is>
      </c>
      <c r="E255" t="inlineStr">
        <is>
          <t>Bullone testa esagonale zn M5x30</t>
        </is>
      </c>
      <c r="F255" t="inlineStr">
        <is>
          <t>Bulloneria e minuteria</t>
        </is>
      </c>
      <c r="G255" s="14" t="n">
        <v>4</v>
      </c>
      <c r="H255" s="14" t="n"/>
      <c r="I255" s="14" t="n"/>
      <c r="J255" s="14" t="n"/>
      <c r="K255" s="14" t="n"/>
      <c r="L255" s="14" t="n"/>
      <c r="M255" s="14" t="n"/>
      <c r="N255" s="14" t="n"/>
      <c r="O255" s="14" t="inlineStr">
        <is>
          <t>pz</t>
        </is>
      </c>
      <c r="P255" s="15" t="n"/>
      <c r="Q255" s="13">
        <f>IFERROR(VLOOKUP($D255,LISTINO!$B:$I,6,FALSE),IFERROR(VLOOKUP($E255,LISTINO!$C:$I,5,FALSE),""))</f>
        <v/>
      </c>
      <c r="R255" s="13">
        <f>IF(AND(ISNUMBER(G255),ISNUMBER(Q255)),G255*Q255,"")</f>
        <v/>
      </c>
    </row>
    <row r="256">
      <c r="A256" t="inlineStr">
        <is>
          <t>KIT FINE CORSA</t>
        </is>
      </c>
      <c r="B256" t="inlineStr">
        <is>
          <t>1 KIT PER TRACKER</t>
        </is>
      </c>
      <c r="C256" s="14" t="n">
        <v>2</v>
      </c>
      <c r="D256" t="inlineStr">
        <is>
          <t>10S-FC</t>
        </is>
      </c>
      <c r="E256" t="inlineStr">
        <is>
          <t>Sensore fine corsa elettrico</t>
        </is>
      </c>
      <c r="F256" t="inlineStr">
        <is>
          <t>Sensoristica e strumentazione</t>
        </is>
      </c>
      <c r="G256" s="14" t="n">
        <v>1</v>
      </c>
      <c r="H256" s="14" t="n"/>
      <c r="I256" s="14" t="n"/>
      <c r="J256" s="14" t="n"/>
      <c r="K256" s="14" t="n"/>
      <c r="L256" s="14" t="n"/>
      <c r="M256" s="14" t="n"/>
      <c r="N256" s="14" t="n"/>
      <c r="O256" s="14" t="inlineStr">
        <is>
          <t>pz</t>
        </is>
      </c>
      <c r="P256" s="15" t="n"/>
      <c r="Q256" s="13">
        <f>IFERROR(VLOOKUP($D256,LISTINO!$B:$I,6,FALSE),IFERROR(VLOOKUP($E256,LISTINO!$C:$I,5,FALSE),""))</f>
        <v/>
      </c>
      <c r="R256" s="13">
        <f>IF(AND(ISNUMBER(G256),ISNUMBER(Q256)),G256*Q256,"")</f>
        <v/>
      </c>
    </row>
    <row r="257">
      <c r="A257" t="inlineStr">
        <is>
          <t>KIT FINE CORSA</t>
        </is>
      </c>
      <c r="B257" t="inlineStr">
        <is>
          <t>1 KIT PER TRACKER</t>
        </is>
      </c>
      <c r="C257" s="14" t="n">
        <v>3</v>
      </c>
      <c r="D257" t="inlineStr">
        <is>
          <t>TTS.AR.5011</t>
        </is>
      </c>
      <c r="E257" t="inlineStr">
        <is>
          <t>Piastra ad L supporto fine corsa</t>
        </is>
      </c>
      <c r="F257" t="inlineStr">
        <is>
          <t>Carpenteria metallica</t>
        </is>
      </c>
      <c r="G257" s="14" t="n">
        <v>1</v>
      </c>
      <c r="H257" s="14" t="n"/>
      <c r="I257" s="14" t="n"/>
      <c r="J257" s="14" t="n"/>
      <c r="K257" s="14" t="n"/>
      <c r="L257" s="14" t="n"/>
      <c r="M257" s="14" t="n"/>
      <c r="N257" s="14" t="n"/>
      <c r="O257" s="14" t="inlineStr">
        <is>
          <t>pz</t>
        </is>
      </c>
      <c r="P257" s="15" t="n"/>
      <c r="Q257" s="13">
        <f>IFERROR(VLOOKUP($D257,LISTINO!$B:$I,6,FALSE),IFERROR(VLOOKUP($E257,LISTINO!$C:$I,5,FALSE),""))</f>
        <v/>
      </c>
      <c r="R257" s="13">
        <f>IF(AND(ISNUMBER(G257),ISNUMBER(Q257)),G257*Q257,"")</f>
        <v/>
      </c>
    </row>
    <row r="258">
      <c r="A258" t="inlineStr">
        <is>
          <t>KIT FINE CORSA</t>
        </is>
      </c>
      <c r="B258" t="inlineStr">
        <is>
          <t>1 KIT PER TRACKER</t>
        </is>
      </c>
      <c r="C258" s="14" t="n">
        <v>4</v>
      </c>
      <c r="D258" t="inlineStr">
        <is>
          <t>10ROND5</t>
        </is>
      </c>
      <c r="E258" t="inlineStr">
        <is>
          <t>Rondella zn 5</t>
        </is>
      </c>
      <c r="F258" t="inlineStr">
        <is>
          <t>Bulloneria e minuteria</t>
        </is>
      </c>
      <c r="G258" s="14" t="n">
        <v>2</v>
      </c>
      <c r="H258" s="14" t="n"/>
      <c r="I258" s="14" t="n"/>
      <c r="J258" s="14" t="n"/>
      <c r="K258" s="14" t="n"/>
      <c r="L258" s="14" t="n"/>
      <c r="M258" s="14" t="n"/>
      <c r="N258" s="14" t="n"/>
      <c r="O258" s="14" t="inlineStr">
        <is>
          <t>pz</t>
        </is>
      </c>
      <c r="P258" s="15" t="n"/>
      <c r="Q258" s="13">
        <f>IFERROR(VLOOKUP($D258,LISTINO!$B:$I,6,FALSE),IFERROR(VLOOKUP($E258,LISTINO!$C:$I,5,FALSE),""))</f>
        <v/>
      </c>
      <c r="R258" s="13">
        <f>IF(AND(ISNUMBER(G258),ISNUMBER(Q258)),G258*Q258,"")</f>
        <v/>
      </c>
    </row>
    <row r="259">
      <c r="A259" t="inlineStr">
        <is>
          <t>KIT FINE CORSA</t>
        </is>
      </c>
      <c r="B259" t="inlineStr">
        <is>
          <t>1 KIT PER TRACKER</t>
        </is>
      </c>
      <c r="C259" s="14" t="n">
        <v>5</v>
      </c>
      <c r="D259" t="inlineStr">
        <is>
          <t>10DAZAM5</t>
        </is>
      </c>
      <c r="E259" t="inlineStr">
        <is>
          <t>Dado M5 autobloccante</t>
        </is>
      </c>
      <c r="F259" t="inlineStr">
        <is>
          <t>Bulloneria e minuteria</t>
        </is>
      </c>
      <c r="G259" s="14" t="n">
        <v>4</v>
      </c>
      <c r="H259" s="14" t="n"/>
      <c r="I259" s="14" t="n"/>
      <c r="J259" s="14" t="n"/>
      <c r="K259" s="14" t="n"/>
      <c r="L259" s="14" t="n"/>
      <c r="M259" s="14" t="n"/>
      <c r="N259" s="14" t="n"/>
      <c r="O259" s="14" t="inlineStr">
        <is>
          <t>pz</t>
        </is>
      </c>
      <c r="P259" s="15" t="n"/>
      <c r="Q259" s="13">
        <f>IFERROR(VLOOKUP($D259,LISTINO!$B:$I,6,FALSE),IFERROR(VLOOKUP($E259,LISTINO!$C:$I,5,FALSE),""))</f>
        <v/>
      </c>
      <c r="R259" s="13">
        <f>IF(AND(ISNUMBER(G259),ISNUMBER(Q259)),G259*Q259,"")</f>
        <v/>
      </c>
    </row>
    <row r="260">
      <c r="A260" t="inlineStr">
        <is>
          <t>KIT FINE CORSA</t>
        </is>
      </c>
      <c r="B260" t="inlineStr">
        <is>
          <t>1 KIT PER TRACKER</t>
        </is>
      </c>
      <c r="C260" s="14" t="n">
        <v>6</v>
      </c>
      <c r="D260" t="inlineStr">
        <is>
          <t>10BZM6X20</t>
        </is>
      </c>
      <c r="E260" t="inlineStr">
        <is>
          <t>Bullone testa esagonale zn M6X20</t>
        </is>
      </c>
      <c r="F260" t="inlineStr">
        <is>
          <t>Bulloneria e minuteria</t>
        </is>
      </c>
      <c r="G260" s="14" t="n">
        <v>2</v>
      </c>
      <c r="H260" s="14" t="n"/>
      <c r="I260" s="14" t="n"/>
      <c r="J260" s="14" t="n"/>
      <c r="K260" s="14" t="n"/>
      <c r="L260" s="14" t="n"/>
      <c r="M260" s="14" t="n"/>
      <c r="N260" s="14" t="n"/>
      <c r="O260" s="14" t="inlineStr">
        <is>
          <t>pz</t>
        </is>
      </c>
      <c r="P260" s="15" t="n"/>
      <c r="Q260" s="13">
        <f>IFERROR(VLOOKUP($D260,LISTINO!$B:$I,6,FALSE),IFERROR(VLOOKUP($E260,LISTINO!$C:$I,5,FALSE),""))</f>
        <v/>
      </c>
      <c r="R260" s="13">
        <f>IF(AND(ISNUMBER(G260),ISNUMBER(Q260)),G260*Q260,"")</f>
        <v/>
      </c>
    </row>
    <row r="261">
      <c r="A261" t="inlineStr">
        <is>
          <t>KIT FINE CORSA</t>
        </is>
      </c>
      <c r="B261" t="inlineStr">
        <is>
          <t>1 KIT PER TRACKER</t>
        </is>
      </c>
      <c r="C261" s="14" t="n">
        <v>7</v>
      </c>
      <c r="D261" t="inlineStr">
        <is>
          <t>10ROND6</t>
        </is>
      </c>
      <c r="E261" t="inlineStr">
        <is>
          <t>Rondella zn 6</t>
        </is>
      </c>
      <c r="F261" t="inlineStr">
        <is>
          <t>Bulloneria e minuteria</t>
        </is>
      </c>
      <c r="G261" s="14" t="n">
        <v>2</v>
      </c>
      <c r="H261" s="14" t="n"/>
      <c r="I261" s="14" t="n"/>
      <c r="J261" s="14" t="n"/>
      <c r="K261" s="14" t="n"/>
      <c r="L261" s="14" t="n"/>
      <c r="M261" s="14" t="n"/>
      <c r="N261" s="14" t="n"/>
      <c r="O261" s="14" t="inlineStr">
        <is>
          <t>pz</t>
        </is>
      </c>
      <c r="P261" s="15" t="n"/>
      <c r="Q261" s="13">
        <f>IFERROR(VLOOKUP($D261,LISTINO!$B:$I,6,FALSE),IFERROR(VLOOKUP($E261,LISTINO!$C:$I,5,FALSE),""))</f>
        <v/>
      </c>
      <c r="R261" s="13">
        <f>IF(AND(ISNUMBER(G261),ISNUMBER(Q261)),G261*Q261,"")</f>
        <v/>
      </c>
    </row>
    <row r="262">
      <c r="A262" t="inlineStr">
        <is>
          <t>KIT FINE CORSA</t>
        </is>
      </c>
      <c r="B262" t="inlineStr">
        <is>
          <t>1 KIT PER TRACKER</t>
        </is>
      </c>
      <c r="C262" s="14" t="n">
        <v>9</v>
      </c>
      <c r="D262" t="inlineStr">
        <is>
          <t>10ROND6</t>
        </is>
      </c>
      <c r="E262" t="inlineStr">
        <is>
          <t>Rondella zn 6</t>
        </is>
      </c>
      <c r="F262" t="inlineStr">
        <is>
          <t>Bulloneria e minuteria</t>
        </is>
      </c>
      <c r="G262" s="14" t="n">
        <v>2</v>
      </c>
      <c r="H262" s="14" t="n"/>
      <c r="I262" s="14" t="n"/>
      <c r="J262" s="14" t="n"/>
      <c r="K262" s="14" t="n"/>
      <c r="L262" s="14" t="n"/>
      <c r="M262" s="14" t="n"/>
      <c r="N262" s="14" t="n"/>
      <c r="O262" s="14" t="inlineStr">
        <is>
          <t>pz</t>
        </is>
      </c>
      <c r="P262" s="15" t="n"/>
      <c r="Q262" s="13">
        <f>IFERROR(VLOOKUP($D262,LISTINO!$B:$I,6,FALSE),IFERROR(VLOOKUP($E262,LISTINO!$C:$I,5,FALSE),""))</f>
        <v/>
      </c>
      <c r="R262" s="13">
        <f>IF(AND(ISNUMBER(G262),ISNUMBER(Q262)),G262*Q262,"")</f>
        <v/>
      </c>
    </row>
    <row r="263">
      <c r="A263" t="inlineStr">
        <is>
          <t>KIT FINE CORSA</t>
        </is>
      </c>
      <c r="B263" t="inlineStr">
        <is>
          <t>1 KIT PER TRACKER</t>
        </is>
      </c>
      <c r="C263" s="14" t="n">
        <v>10</v>
      </c>
      <c r="D263" t="inlineStr">
        <is>
          <t>10DAZAM6</t>
        </is>
      </c>
      <c r="E263" t="inlineStr">
        <is>
          <t>Dado M6 autobloccante</t>
        </is>
      </c>
      <c r="F263" t="inlineStr">
        <is>
          <t>Bulloneria e minuteria</t>
        </is>
      </c>
      <c r="G263" s="14" t="n">
        <v>2</v>
      </c>
      <c r="H263" s="14" t="n"/>
      <c r="I263" s="14" t="n"/>
      <c r="J263" s="14" t="n"/>
      <c r="K263" s="14" t="n"/>
      <c r="L263" s="14" t="n"/>
      <c r="M263" s="14" t="n"/>
      <c r="N263" s="14" t="n"/>
      <c r="O263" s="14" t="inlineStr">
        <is>
          <t>pz</t>
        </is>
      </c>
      <c r="P263" s="15" t="n"/>
      <c r="Q263" s="13">
        <f>IFERROR(VLOOKUP($D263,LISTINO!$B:$I,6,FALSE),IFERROR(VLOOKUP($E263,LISTINO!$C:$I,5,FALSE),""))</f>
        <v/>
      </c>
      <c r="R263" s="13">
        <f>IF(AND(ISNUMBER(G263),ISNUMBER(Q263)),G263*Q263,"")</f>
        <v/>
      </c>
    </row>
    <row r="264">
      <c r="A264" t="inlineStr">
        <is>
          <t>KIT FINE CORSA</t>
        </is>
      </c>
      <c r="B264" t="inlineStr">
        <is>
          <t>1 KIT PER TRACKER</t>
        </is>
      </c>
      <c r="C264" s="14" t="n">
        <v>1</v>
      </c>
      <c r="D264" t="inlineStr">
        <is>
          <t>10BZM16X25</t>
        </is>
      </c>
      <c r="E264" t="inlineStr">
        <is>
          <t>Bullone testa esagonale zn M16X25</t>
        </is>
      </c>
      <c r="F264" t="inlineStr">
        <is>
          <t>Bulloneria e minuteria</t>
        </is>
      </c>
      <c r="G264" s="14" t="n">
        <v>2</v>
      </c>
      <c r="H264" s="14" t="n"/>
      <c r="I264" s="14" t="n"/>
      <c r="J264" s="14" t="n"/>
      <c r="K264" s="14" t="n"/>
      <c r="L264" s="14" t="n"/>
      <c r="M264" s="14" t="n"/>
      <c r="N264" s="14" t="n"/>
      <c r="O264" s="14" t="inlineStr">
        <is>
          <t>pz</t>
        </is>
      </c>
      <c r="P264" s="15" t="n"/>
      <c r="Q264" s="13">
        <f>IFERROR(VLOOKUP($D264,LISTINO!$B:$I,6,FALSE),IFERROR(VLOOKUP($E264,LISTINO!$C:$I,5,FALSE),""))</f>
        <v/>
      </c>
      <c r="R264" s="13">
        <f>IF(AND(ISNUMBER(G264),ISNUMBER(Q264)),G264*Q264,"")</f>
        <v/>
      </c>
    </row>
    <row r="265">
      <c r="A265" t="inlineStr">
        <is>
          <t>KIT FINE CORSA</t>
        </is>
      </c>
      <c r="B265" t="inlineStr">
        <is>
          <t>1 KIT PER TRACKER</t>
        </is>
      </c>
      <c r="C265" s="14" t="n">
        <v>2</v>
      </c>
      <c r="D265" t="inlineStr">
        <is>
          <t>10ROND16</t>
        </is>
      </c>
      <c r="E265" t="inlineStr">
        <is>
          <t>Rondella zn 16</t>
        </is>
      </c>
      <c r="F265" t="inlineStr">
        <is>
          <t>Bulloneria e minuteria</t>
        </is>
      </c>
      <c r="G265" s="14" t="n">
        <v>2</v>
      </c>
      <c r="H265" s="14" t="n"/>
      <c r="I265" s="14" t="n"/>
      <c r="J265" s="14" t="n"/>
      <c r="K265" s="14" t="n"/>
      <c r="L265" s="14" t="n"/>
      <c r="M265" s="14" t="n"/>
      <c r="N265" s="14" t="n"/>
      <c r="O265" s="14" t="inlineStr">
        <is>
          <t>pz</t>
        </is>
      </c>
      <c r="P265" s="15" t="n"/>
      <c r="Q265" s="13">
        <f>IFERROR(VLOOKUP($D265,LISTINO!$B:$I,6,FALSE),IFERROR(VLOOKUP($E265,LISTINO!$C:$I,5,FALSE),""))</f>
        <v/>
      </c>
      <c r="R265" s="13">
        <f>IF(AND(ISNUMBER(G265),ISNUMBER(Q265)),G265*Q265,"")</f>
        <v/>
      </c>
    </row>
    <row r="266">
      <c r="A266" t="inlineStr">
        <is>
          <t>KIT FINE CORSA</t>
        </is>
      </c>
      <c r="B266" t="inlineStr">
        <is>
          <t>1 KIT PER TRACKER</t>
        </is>
      </c>
      <c r="C266" s="14" t="n">
        <v>3</v>
      </c>
      <c r="D266" t="inlineStr">
        <is>
          <t>TTS.AR.5012</t>
        </is>
      </c>
      <c r="E266" t="inlineStr">
        <is>
          <t>Leva battente sensore fine corsa</t>
        </is>
      </c>
      <c r="F266" t="inlineStr">
        <is>
          <t>Carpenteria metallica</t>
        </is>
      </c>
      <c r="G266" s="14" t="n">
        <v>1</v>
      </c>
      <c r="H266" s="14" t="n"/>
      <c r="I266" s="14" t="n"/>
      <c r="J266" s="14" t="n"/>
      <c r="K266" s="14" t="n"/>
      <c r="L266" s="14" t="n"/>
      <c r="M266" s="14" t="n"/>
      <c r="N266" s="14" t="n"/>
      <c r="O266" s="14" t="inlineStr">
        <is>
          <t>pz</t>
        </is>
      </c>
      <c r="P266" s="15" t="n"/>
      <c r="Q266" s="13">
        <f>IFERROR(VLOOKUP($D266,LISTINO!$B:$I,6,FALSE),IFERROR(VLOOKUP($E266,LISTINO!$C:$I,5,FALSE),""))</f>
        <v/>
      </c>
      <c r="R266" s="13">
        <f>IF(AND(ISNUMBER(G266),ISNUMBER(Q266)),G266*Q266,"")</f>
        <v/>
      </c>
    </row>
    <row r="267">
      <c r="A267" t="inlineStr">
        <is>
          <t>KIT INCLINOMETRO</t>
        </is>
      </c>
      <c r="B267" t="inlineStr">
        <is>
          <t>1 KIT PER TRACKER</t>
        </is>
      </c>
      <c r="C267" s="14" t="n">
        <v>1</v>
      </c>
      <c r="D267" t="inlineStr">
        <is>
          <t>TTS.AR.4011</t>
        </is>
      </c>
      <c r="E267" t="inlineStr">
        <is>
          <t>Supporto superiore inclinometro</t>
        </is>
      </c>
      <c r="F267" t="inlineStr">
        <is>
          <t>Carpenteria metallica</t>
        </is>
      </c>
      <c r="G267" s="14" t="n">
        <v>1</v>
      </c>
      <c r="H267" s="14" t="n"/>
      <c r="I267" s="14" t="n"/>
      <c r="J267" s="14" t="n"/>
      <c r="K267" s="14" t="n"/>
      <c r="L267" s="14" t="n"/>
      <c r="M267" s="14" t="n"/>
      <c r="N267" s="14" t="n"/>
      <c r="O267" s="14" t="inlineStr">
        <is>
          <t>pz</t>
        </is>
      </c>
      <c r="P267" s="15" t="n"/>
      <c r="Q267" s="13">
        <f>IFERROR(VLOOKUP($D267,LISTINO!$B:$I,6,FALSE),IFERROR(VLOOKUP($E267,LISTINO!$C:$I,5,FALSE),""))</f>
        <v/>
      </c>
      <c r="R267" s="13">
        <f>IF(AND(ISNUMBER(G267),ISNUMBER(Q267)),G267*Q267,"")</f>
        <v/>
      </c>
    </row>
    <row r="268">
      <c r="A268" t="inlineStr">
        <is>
          <t>KIT INCLINOMETRO</t>
        </is>
      </c>
      <c r="B268" t="inlineStr">
        <is>
          <t>1 KIT PER TRACKER</t>
        </is>
      </c>
      <c r="C268" s="14" t="n">
        <v>2</v>
      </c>
      <c r="D268" t="inlineStr">
        <is>
          <t>10BZM8X150</t>
        </is>
      </c>
      <c r="E268" t="inlineStr">
        <is>
          <t>Bullone testa esagonale zn M8X150</t>
        </is>
      </c>
      <c r="F268" t="inlineStr">
        <is>
          <t>Bulloneria e minuteria</t>
        </is>
      </c>
      <c r="G268" s="14" t="n">
        <v>4</v>
      </c>
      <c r="H268" s="14" t="n"/>
      <c r="I268" s="14" t="n"/>
      <c r="J268" s="14" t="n"/>
      <c r="K268" s="14" t="n"/>
      <c r="L268" s="14" t="n"/>
      <c r="M268" s="14" t="n"/>
      <c r="N268" s="14" t="n"/>
      <c r="O268" s="14" t="inlineStr">
        <is>
          <t>pz</t>
        </is>
      </c>
      <c r="P268" s="15" t="n"/>
      <c r="Q268" s="13">
        <f>IFERROR(VLOOKUP($D268,LISTINO!$B:$I,6,FALSE),IFERROR(VLOOKUP($E268,LISTINO!$C:$I,5,FALSE),""))</f>
        <v/>
      </c>
      <c r="R268" s="13">
        <f>IF(AND(ISNUMBER(G268),ISNUMBER(Q268)),G268*Q268,"")</f>
        <v/>
      </c>
    </row>
    <row r="269">
      <c r="A269" t="inlineStr">
        <is>
          <t>KIT INCLINOMETRO</t>
        </is>
      </c>
      <c r="B269" t="inlineStr">
        <is>
          <t>1 KIT PER TRACKER</t>
        </is>
      </c>
      <c r="C269" s="14" t="n">
        <v>3</v>
      </c>
      <c r="D269" t="inlineStr">
        <is>
          <t>10ROND8</t>
        </is>
      </c>
      <c r="E269" t="inlineStr">
        <is>
          <t>Rondella zn 8</t>
        </is>
      </c>
      <c r="F269" t="inlineStr">
        <is>
          <t>Bulloneria e minuteria</t>
        </is>
      </c>
      <c r="G269" s="14" t="n">
        <v>4</v>
      </c>
      <c r="H269" s="14" t="n"/>
      <c r="I269" s="14" t="n"/>
      <c r="J269" s="14" t="n"/>
      <c r="K269" s="14" t="n"/>
      <c r="L269" s="14" t="n"/>
      <c r="M269" s="14" t="n"/>
      <c r="N269" s="14" t="n"/>
      <c r="O269" s="14" t="inlineStr">
        <is>
          <t>pz</t>
        </is>
      </c>
      <c r="P269" s="15" t="n"/>
      <c r="Q269" s="13">
        <f>IFERROR(VLOOKUP($D269,LISTINO!$B:$I,6,FALSE),IFERROR(VLOOKUP($E269,LISTINO!$C:$I,5,FALSE),""))</f>
        <v/>
      </c>
      <c r="R269" s="13">
        <f>IF(AND(ISNUMBER(G269),ISNUMBER(Q269)),G269*Q269,"")</f>
        <v/>
      </c>
    </row>
    <row r="270">
      <c r="A270" t="inlineStr">
        <is>
          <t>KIT INCLINOMETRO</t>
        </is>
      </c>
      <c r="B270" t="inlineStr">
        <is>
          <t>1 KIT PER TRACKER</t>
        </is>
      </c>
      <c r="C270" s="14" t="n">
        <v>4</v>
      </c>
      <c r="D270" t="inlineStr">
        <is>
          <t>TTS.AR.4012</t>
        </is>
      </c>
      <c r="E270" t="inlineStr">
        <is>
          <t>Supporto inferiore inclinometro</t>
        </is>
      </c>
      <c r="F270" t="inlineStr">
        <is>
          <t>Carpenteria metallica</t>
        </is>
      </c>
      <c r="G270" s="14" t="n">
        <v>1</v>
      </c>
      <c r="H270" s="14" t="n"/>
      <c r="I270" s="14" t="n"/>
      <c r="J270" s="14" t="n"/>
      <c r="K270" s="14" t="n"/>
      <c r="L270" s="14" t="n"/>
      <c r="M270" s="14" t="n"/>
      <c r="N270" s="14" t="n"/>
      <c r="O270" s="14" t="inlineStr">
        <is>
          <t>pz</t>
        </is>
      </c>
      <c r="P270" s="15" t="n"/>
      <c r="Q270" s="13">
        <f>IFERROR(VLOOKUP($D270,LISTINO!$B:$I,6,FALSE),IFERROR(VLOOKUP($E270,LISTINO!$C:$I,5,FALSE),""))</f>
        <v/>
      </c>
      <c r="R270" s="13">
        <f>IF(AND(ISNUMBER(G270),ISNUMBER(Q270)),G270*Q270,"")</f>
        <v/>
      </c>
    </row>
    <row r="271">
      <c r="A271" t="inlineStr">
        <is>
          <t>KIT INCLINOMETRO</t>
        </is>
      </c>
      <c r="B271" t="inlineStr">
        <is>
          <t>1 KIT PER TRACKER</t>
        </is>
      </c>
      <c r="C271" s="14" t="n">
        <v>5</v>
      </c>
      <c r="D271" t="inlineStr">
        <is>
          <t>10ROND8</t>
        </is>
      </c>
      <c r="E271" t="inlineStr">
        <is>
          <t>Rondella zn 8</t>
        </is>
      </c>
      <c r="F271" t="inlineStr">
        <is>
          <t>Bulloneria e minuteria</t>
        </is>
      </c>
      <c r="G271" s="14" t="n">
        <v>4</v>
      </c>
      <c r="H271" s="14" t="n"/>
      <c r="I271" s="14" t="n"/>
      <c r="J271" s="14" t="n"/>
      <c r="K271" s="14" t="n"/>
      <c r="L271" s="14" t="n"/>
      <c r="M271" s="14" t="n"/>
      <c r="N271" s="14" t="n"/>
      <c r="O271" s="14" t="inlineStr">
        <is>
          <t>pz</t>
        </is>
      </c>
      <c r="P271" s="15" t="n"/>
      <c r="Q271" s="13">
        <f>IFERROR(VLOOKUP($D271,LISTINO!$B:$I,6,FALSE),IFERROR(VLOOKUP($E271,LISTINO!$C:$I,5,FALSE),""))</f>
        <v/>
      </c>
      <c r="R271" s="13">
        <f>IF(AND(ISNUMBER(G271),ISNUMBER(Q271)),G271*Q271,"")</f>
        <v/>
      </c>
    </row>
    <row r="272">
      <c r="A272" t="inlineStr">
        <is>
          <t>KIT INCLINOMETRO</t>
        </is>
      </c>
      <c r="B272" t="inlineStr">
        <is>
          <t>1 KIT PER TRACKER</t>
        </is>
      </c>
      <c r="C272" s="14" t="n">
        <v>6</v>
      </c>
      <c r="D272" t="inlineStr">
        <is>
          <t>10DAZAM8</t>
        </is>
      </c>
      <c r="E272" t="inlineStr">
        <is>
          <t>Dado M8 autobloccante</t>
        </is>
      </c>
      <c r="F272" t="inlineStr">
        <is>
          <t>Bulloneria e minuteria</t>
        </is>
      </c>
      <c r="G272" s="14" t="n">
        <v>4</v>
      </c>
      <c r="H272" s="14" t="n"/>
      <c r="I272" s="14" t="n"/>
      <c r="J272" s="14" t="n"/>
      <c r="K272" s="14" t="n"/>
      <c r="L272" s="14" t="n"/>
      <c r="M272" s="14" t="n"/>
      <c r="N272" s="14" t="n"/>
      <c r="O272" s="14" t="inlineStr">
        <is>
          <t>pz</t>
        </is>
      </c>
      <c r="P272" s="15" t="n"/>
      <c r="Q272" s="13">
        <f>IFERROR(VLOOKUP($D272,LISTINO!$B:$I,6,FALSE),IFERROR(VLOOKUP($E272,LISTINO!$C:$I,5,FALSE),""))</f>
        <v/>
      </c>
      <c r="R272" s="13">
        <f>IF(AND(ISNUMBER(G272),ISNUMBER(Q272)),G272*Q272,"")</f>
        <v/>
      </c>
    </row>
    <row r="273">
      <c r="A273" t="inlineStr">
        <is>
          <t>KIT INCLINOMETRO</t>
        </is>
      </c>
      <c r="B273" t="inlineStr">
        <is>
          <t>1 KIT PER TRACKER</t>
        </is>
      </c>
      <c r="C273" s="14" t="n">
        <v>7</v>
      </c>
      <c r="D273" t="inlineStr">
        <is>
          <t>TK1024S</t>
        </is>
      </c>
      <c r="E273" t="inlineStr">
        <is>
          <t>Inclinometro</t>
        </is>
      </c>
      <c r="F273" t="inlineStr">
        <is>
          <t>Sensoristica e strumentazione</t>
        </is>
      </c>
      <c r="G273" s="14" t="n">
        <v>1</v>
      </c>
      <c r="H273" s="14" t="n"/>
      <c r="I273" s="14" t="n"/>
      <c r="J273" s="14" t="n"/>
      <c r="K273" s="14" t="n"/>
      <c r="L273" s="14" t="n"/>
      <c r="M273" s="14" t="n"/>
      <c r="N273" s="14" t="n"/>
      <c r="O273" s="14" t="inlineStr">
        <is>
          <t>pz</t>
        </is>
      </c>
      <c r="P273" s="15" t="n"/>
      <c r="Q273" s="13">
        <f>IFERROR(VLOOKUP($D273,LISTINO!$B:$I,6,FALSE),IFERROR(VLOOKUP($E273,LISTINO!$C:$I,5,FALSE),""))</f>
        <v/>
      </c>
      <c r="R273" s="13">
        <f>IF(AND(ISNUMBER(G273),ISNUMBER(Q273)),G273*Q273,"")</f>
        <v/>
      </c>
    </row>
    <row r="274">
      <c r="A274" t="inlineStr">
        <is>
          <t>KIT INCLINOMETRO</t>
        </is>
      </c>
      <c r="B274" t="inlineStr">
        <is>
          <t>1 KIT PER TRACKER</t>
        </is>
      </c>
      <c r="C274" s="14" t="n">
        <v>8</v>
      </c>
      <c r="D274" t="inlineStr">
        <is>
          <t>M5X30 8.8 ISO1207</t>
        </is>
      </c>
      <c r="E274" t="inlineStr">
        <is>
          <t>Bullone testa esagonale con intaglio M5x30</t>
        </is>
      </c>
      <c r="F274" t="inlineStr">
        <is>
          <t>Bulloneria e minuteria</t>
        </is>
      </c>
      <c r="G274" s="14" t="n">
        <v>4</v>
      </c>
      <c r="H274" s="14" t="n"/>
      <c r="I274" s="14" t="n"/>
      <c r="J274" s="14" t="n"/>
      <c r="K274" s="14" t="n"/>
      <c r="L274" s="14" t="n"/>
      <c r="M274" s="14" t="n"/>
      <c r="N274" s="14" t="n"/>
      <c r="O274" s="14" t="inlineStr">
        <is>
          <t>pz</t>
        </is>
      </c>
      <c r="P274" s="15" t="n"/>
      <c r="Q274" s="13">
        <f>IFERROR(VLOOKUP($D274,LISTINO!$B:$I,6,FALSE),IFERROR(VLOOKUP($E274,LISTINO!$C:$I,5,FALSE),""))</f>
        <v/>
      </c>
      <c r="R274" s="13">
        <f>IF(AND(ISNUMBER(G274),ISNUMBER(Q274)),G274*Q274,"")</f>
        <v/>
      </c>
    </row>
    <row r="275">
      <c r="A275" t="inlineStr">
        <is>
          <t>KIT INCLINOMETRO</t>
        </is>
      </c>
      <c r="B275" t="inlineStr">
        <is>
          <t>1 KIT PER TRACKER</t>
        </is>
      </c>
      <c r="C275" s="14" t="n">
        <v>9</v>
      </c>
      <c r="D275" t="inlineStr">
        <is>
          <t>10ROND5</t>
        </is>
      </c>
      <c r="E275" t="inlineStr">
        <is>
          <t>Rondella zn 5</t>
        </is>
      </c>
      <c r="F275" t="inlineStr">
        <is>
          <t>Bulloneria e minuteria</t>
        </is>
      </c>
      <c r="G275" s="14" t="n">
        <v>4</v>
      </c>
      <c r="H275" s="14" t="n"/>
      <c r="I275" s="14" t="n"/>
      <c r="J275" s="14" t="n"/>
      <c r="K275" s="14" t="n"/>
      <c r="L275" s="14" t="n"/>
      <c r="M275" s="14" t="n"/>
      <c r="N275" s="14" t="n"/>
      <c r="O275" s="14" t="inlineStr">
        <is>
          <t>pz</t>
        </is>
      </c>
      <c r="P275" s="15" t="n"/>
      <c r="Q275" s="13">
        <f>IFERROR(VLOOKUP($D275,LISTINO!$B:$I,6,FALSE),IFERROR(VLOOKUP($E275,LISTINO!$C:$I,5,FALSE),""))</f>
        <v/>
      </c>
      <c r="R275" s="13">
        <f>IF(AND(ISNUMBER(G275),ISNUMBER(Q275)),G275*Q275,"")</f>
        <v/>
      </c>
    </row>
    <row r="276">
      <c r="A276" t="inlineStr">
        <is>
          <t>KIT INCLINOMETRO</t>
        </is>
      </c>
      <c r="B276" t="inlineStr">
        <is>
          <t>1 KIT PER TRACKER</t>
        </is>
      </c>
      <c r="C276" s="14" t="n">
        <v>10</v>
      </c>
      <c r="D276" t="inlineStr">
        <is>
          <t>10DAZAM5</t>
        </is>
      </c>
      <c r="E276" t="inlineStr">
        <is>
          <t>Dado M5 autobloccante</t>
        </is>
      </c>
      <c r="F276" t="inlineStr">
        <is>
          <t>Bulloneria e minuteria</t>
        </is>
      </c>
      <c r="G276" s="14" t="n">
        <v>4</v>
      </c>
      <c r="H276" s="14" t="n"/>
      <c r="I276" s="14" t="n"/>
      <c r="J276" s="14" t="n"/>
      <c r="K276" s="14" t="n"/>
      <c r="L276" s="14" t="n"/>
      <c r="M276" s="14" t="n"/>
      <c r="N276" s="14" t="n"/>
      <c r="O276" s="14" t="inlineStr">
        <is>
          <t>pz</t>
        </is>
      </c>
      <c r="P276" s="15" t="n"/>
      <c r="Q276" s="13">
        <f>IFERROR(VLOOKUP($D276,LISTINO!$B:$I,6,FALSE),IFERROR(VLOOKUP($E276,LISTINO!$C:$I,5,FALSE),""))</f>
        <v/>
      </c>
      <c r="R276" s="13">
        <f>IF(AND(ISNUMBER(G276),ISNUMBER(Q276)),G276*Q276,"")</f>
        <v/>
      </c>
    </row>
    <row r="277">
      <c r="A277" t="inlineStr">
        <is>
          <t>kit quadro motore</t>
        </is>
      </c>
      <c r="C277" s="14" t="n">
        <v>1</v>
      </c>
      <c r="D277" t="inlineStr">
        <is>
          <t>TTS.PM.2011</t>
        </is>
      </c>
      <c r="E277" t="inlineStr">
        <is>
          <t>Angolare 30x30x4 lungo 370 mm. superiore</t>
        </is>
      </c>
      <c r="F277" t="inlineStr">
        <is>
          <t>Carpenteria metallica</t>
        </is>
      </c>
      <c r="G277" s="14" t="n">
        <v>1</v>
      </c>
      <c r="H277" s="14" t="n"/>
      <c r="I277" s="14" t="n"/>
      <c r="J277" s="14" t="n"/>
      <c r="K277" s="14" t="n"/>
      <c r="L277" s="14" t="n"/>
      <c r="M277" s="14" t="n"/>
      <c r="N277" s="14" t="n"/>
      <c r="O277" s="14" t="inlineStr">
        <is>
          <t>pz</t>
        </is>
      </c>
      <c r="P277" s="15" t="n"/>
      <c r="Q277" s="13">
        <f>IFERROR(VLOOKUP($D277,LISTINO!$B:$I,6,FALSE),IFERROR(VLOOKUP($E277,LISTINO!$C:$I,5,FALSE),""))</f>
        <v/>
      </c>
      <c r="R277" s="13">
        <f>IF(AND(ISNUMBER(G277),ISNUMBER(Q277)),G277*Q277,"")</f>
        <v/>
      </c>
    </row>
    <row r="278">
      <c r="A278" t="inlineStr">
        <is>
          <t>kit quadro motore</t>
        </is>
      </c>
      <c r="C278" s="14" t="n">
        <v>2</v>
      </c>
      <c r="D278" t="inlineStr">
        <is>
          <t>TTS.PM.2012</t>
        </is>
      </c>
      <c r="E278" t="inlineStr">
        <is>
          <t>Angolare 30x30x4 lungo 370 mm. inferiore</t>
        </is>
      </c>
      <c r="F278" t="inlineStr">
        <is>
          <t>Carpenteria metallica</t>
        </is>
      </c>
      <c r="G278" s="14" t="n">
        <v>1</v>
      </c>
      <c r="H278" s="14" t="n"/>
      <c r="I278" s="14" t="n"/>
      <c r="J278" s="14" t="n"/>
      <c r="K278" s="14" t="n"/>
      <c r="L278" s="14" t="n"/>
      <c r="M278" s="14" t="n"/>
      <c r="N278" s="14" t="n"/>
      <c r="O278" s="14" t="inlineStr">
        <is>
          <t>pz</t>
        </is>
      </c>
      <c r="P278" s="15" t="n"/>
      <c r="Q278" s="13">
        <f>IFERROR(VLOOKUP($D278,LISTINO!$B:$I,6,FALSE),IFERROR(VLOOKUP($E278,LISTINO!$C:$I,5,FALSE),""))</f>
        <v/>
      </c>
      <c r="R278" s="13">
        <f>IF(AND(ISNUMBER(G278),ISNUMBER(Q278)),G278*Q278,"")</f>
        <v/>
      </c>
    </row>
    <row r="279">
      <c r="A279" t="inlineStr">
        <is>
          <t>kit quadro motore</t>
        </is>
      </c>
      <c r="C279" s="14" t="n">
        <v>3</v>
      </c>
      <c r="D279" t="inlineStr">
        <is>
          <t>10BZM6X30</t>
        </is>
      </c>
      <c r="E279" t="inlineStr">
        <is>
          <t>Bullone testa esagonale zn M6X30</t>
        </is>
      </c>
      <c r="F279" t="inlineStr">
        <is>
          <t>Bulloneria e minuteria</t>
        </is>
      </c>
      <c r="G279" s="14" t="n">
        <v>4</v>
      </c>
      <c r="H279" s="14" t="n"/>
      <c r="I279" s="14" t="n"/>
      <c r="J279" s="14" t="n"/>
      <c r="K279" s="14" t="n"/>
      <c r="L279" s="14" t="n"/>
      <c r="M279" s="14" t="n"/>
      <c r="N279" s="14" t="n"/>
      <c r="O279" s="14" t="inlineStr">
        <is>
          <t>pz</t>
        </is>
      </c>
      <c r="P279" s="15" t="n"/>
      <c r="Q279" s="13">
        <f>IFERROR(VLOOKUP($D279,LISTINO!$B:$I,6,FALSE),IFERROR(VLOOKUP($E279,LISTINO!$C:$I,5,FALSE),""))</f>
        <v/>
      </c>
      <c r="R279" s="13">
        <f>IF(AND(ISNUMBER(G279),ISNUMBER(Q279)),G279*Q279,"")</f>
        <v/>
      </c>
    </row>
    <row r="280">
      <c r="A280" t="inlineStr">
        <is>
          <t>kit quadro motore</t>
        </is>
      </c>
      <c r="C280" s="14" t="n">
        <v>4</v>
      </c>
      <c r="D280" t="inlineStr">
        <is>
          <t>10ROND6</t>
        </is>
      </c>
      <c r="E280" t="inlineStr">
        <is>
          <t>Rondella zn 6</t>
        </is>
      </c>
      <c r="F280" t="inlineStr">
        <is>
          <t>Bulloneria e minuteria</t>
        </is>
      </c>
      <c r="G280" s="14" t="n">
        <v>4</v>
      </c>
      <c r="H280" s="14" t="n"/>
      <c r="I280" s="14" t="n"/>
      <c r="J280" s="14" t="n"/>
      <c r="K280" s="14" t="n"/>
      <c r="L280" s="14" t="n"/>
      <c r="M280" s="14" t="n"/>
      <c r="N280" s="14" t="n"/>
      <c r="O280" s="14" t="inlineStr">
        <is>
          <t>pz</t>
        </is>
      </c>
      <c r="P280" s="15" t="n"/>
      <c r="Q280" s="13">
        <f>IFERROR(VLOOKUP($D280,LISTINO!$B:$I,6,FALSE),IFERROR(VLOOKUP($E280,LISTINO!$C:$I,5,FALSE),""))</f>
        <v/>
      </c>
      <c r="R280" s="13">
        <f>IF(AND(ISNUMBER(G280),ISNUMBER(Q280)),G280*Q280,"")</f>
        <v/>
      </c>
    </row>
    <row r="281">
      <c r="A281" t="inlineStr">
        <is>
          <t>kit quadro motore</t>
        </is>
      </c>
      <c r="C281" s="14" t="n">
        <v>5</v>
      </c>
      <c r="D281" t="inlineStr">
        <is>
          <t>10ROND6</t>
        </is>
      </c>
      <c r="E281" t="inlineStr">
        <is>
          <t>Rondella zn 6</t>
        </is>
      </c>
      <c r="F281" t="inlineStr">
        <is>
          <t>Bulloneria e minuteria</t>
        </is>
      </c>
      <c r="G281" s="14" t="n">
        <v>4</v>
      </c>
      <c r="H281" s="14" t="n"/>
      <c r="I281" s="14" t="n"/>
      <c r="J281" s="14" t="n"/>
      <c r="K281" s="14" t="n"/>
      <c r="L281" s="14" t="n"/>
      <c r="M281" s="14" t="n"/>
      <c r="N281" s="14" t="n"/>
      <c r="O281" s="14" t="inlineStr">
        <is>
          <t>pz</t>
        </is>
      </c>
      <c r="P281" s="15" t="n"/>
      <c r="Q281" s="13">
        <f>IFERROR(VLOOKUP($D281,LISTINO!$B:$I,6,FALSE),IFERROR(VLOOKUP($E281,LISTINO!$C:$I,5,FALSE),""))</f>
        <v/>
      </c>
      <c r="R281" s="13">
        <f>IF(AND(ISNUMBER(G281),ISNUMBER(Q281)),G281*Q281,"")</f>
        <v/>
      </c>
    </row>
    <row r="282">
      <c r="A282" t="inlineStr">
        <is>
          <t>kit quadro motore</t>
        </is>
      </c>
      <c r="C282" s="14" t="n">
        <v>6</v>
      </c>
      <c r="D282" t="inlineStr">
        <is>
          <t>10DAZAM6</t>
        </is>
      </c>
      <c r="E282" t="inlineStr">
        <is>
          <t>Dado M6 autobloccante</t>
        </is>
      </c>
      <c r="F282" t="inlineStr">
        <is>
          <t>Bulloneria e minuteria</t>
        </is>
      </c>
      <c r="G282" s="14" t="n">
        <v>4</v>
      </c>
      <c r="H282" s="14" t="n"/>
      <c r="I282" s="14" t="n"/>
      <c r="J282" s="14" t="n"/>
      <c r="K282" s="14" t="n"/>
      <c r="L282" s="14" t="n"/>
      <c r="M282" s="14" t="n"/>
      <c r="N282" s="14" t="n"/>
      <c r="O282" s="14" t="inlineStr">
        <is>
          <t>pz</t>
        </is>
      </c>
      <c r="P282" s="15" t="n"/>
      <c r="Q282" s="13">
        <f>IFERROR(VLOOKUP($D282,LISTINO!$B:$I,6,FALSE),IFERROR(VLOOKUP($E282,LISTINO!$C:$I,5,FALSE),""))</f>
        <v/>
      </c>
      <c r="R282" s="13">
        <f>IF(AND(ISNUMBER(G282),ISNUMBER(Q282)),G282*Q282,"")</f>
        <v/>
      </c>
    </row>
    <row r="283">
      <c r="A283" t="inlineStr">
        <is>
          <t>kit quadro motore</t>
        </is>
      </c>
      <c r="C283" s="14" t="n">
        <v>7</v>
      </c>
      <c r="D283" t="inlineStr">
        <is>
          <t>TTS.PM.001.IPE140.22</t>
        </is>
      </c>
      <c r="E283" t="inlineStr">
        <is>
          <t>Pilastro motore trave ipe140 x 2220 con foratura alloggiamento quadro motore (standard)</t>
        </is>
      </c>
      <c r="F283" t="inlineStr">
        <is>
          <t>Carpenteria metallica</t>
        </is>
      </c>
      <c r="G283" s="14" t="n">
        <v>1</v>
      </c>
      <c r="H283" s="14" t="n"/>
      <c r="I283" s="14" t="n"/>
      <c r="J283" s="14" t="n"/>
      <c r="K283" s="14" t="n"/>
      <c r="L283" s="14" t="n"/>
      <c r="M283" s="14" t="n"/>
      <c r="N283" s="14" t="inlineStr">
        <is>
          <t>X</t>
        </is>
      </c>
      <c r="O283" s="14" t="inlineStr">
        <is>
          <t>pz</t>
        </is>
      </c>
      <c r="P283" s="15" t="n"/>
      <c r="Q283" s="13">
        <f>IFERROR(VLOOKUP($D283,LISTINO!$B:$I,6,FALSE),IFERROR(VLOOKUP($E283,LISTINO!$C:$I,5,FALSE),""))</f>
        <v/>
      </c>
      <c r="R283" s="13">
        <f>IF(AND(ISNUMBER(G283),ISNUMBER(Q283)),G283*Q283,"")</f>
        <v/>
      </c>
    </row>
    <row r="284">
      <c r="A284" t="inlineStr">
        <is>
          <t>kit quadro motore</t>
        </is>
      </c>
      <c r="C284" s="14" t="n">
        <v>8</v>
      </c>
      <c r="D284" t="inlineStr">
        <is>
          <t>B04601</t>
        </is>
      </c>
      <c r="E284" t="inlineStr">
        <is>
          <t>Quadro in vetroresina Pedro VTR 01</t>
        </is>
      </c>
      <c r="F284" t="inlineStr">
        <is>
          <t>Quadristica ed elettrico</t>
        </is>
      </c>
      <c r="G284" s="14" t="n">
        <v>1</v>
      </c>
      <c r="H284" s="14" t="n"/>
      <c r="I284" s="14" t="n"/>
      <c r="J284" s="14" t="n"/>
      <c r="K284" s="14" t="n"/>
      <c r="L284" s="14" t="n"/>
      <c r="M284" s="14" t="n"/>
      <c r="N284" s="14" t="n"/>
      <c r="O284" s="14" t="inlineStr">
        <is>
          <t>pz</t>
        </is>
      </c>
      <c r="P284" s="15" t="n"/>
      <c r="Q284" s="13">
        <f>IFERROR(VLOOKUP($D284,LISTINO!$B:$I,6,FALSE),IFERROR(VLOOKUP($E284,LISTINO!$C:$I,5,FALSE),""))</f>
        <v/>
      </c>
      <c r="R284" s="13">
        <f>IF(AND(ISNUMBER(G284),ISNUMBER(Q284)),G284*Q284,"")</f>
        <v/>
      </c>
    </row>
    <row r="285">
      <c r="A285" t="inlineStr">
        <is>
          <t>kit quadro motore</t>
        </is>
      </c>
      <c r="C285" s="14" t="n">
        <v>9</v>
      </c>
      <c r="D285" t="inlineStr">
        <is>
          <t>10BZM8X25</t>
        </is>
      </c>
      <c r="E285" t="inlineStr">
        <is>
          <t>Bullone testa esagonale zn M8X25</t>
        </is>
      </c>
      <c r="F285" t="inlineStr">
        <is>
          <t>Bulloneria e minuteria</t>
        </is>
      </c>
      <c r="G285" s="14" t="n">
        <v>4</v>
      </c>
      <c r="H285" s="14" t="n"/>
      <c r="I285" s="14" t="n"/>
      <c r="J285" s="14" t="n"/>
      <c r="K285" s="14" t="n"/>
      <c r="L285" s="14" t="n"/>
      <c r="M285" s="14" t="n"/>
      <c r="N285" s="14" t="n"/>
      <c r="O285" s="14" t="inlineStr">
        <is>
          <t>pz</t>
        </is>
      </c>
      <c r="P285" s="15" t="n"/>
      <c r="Q285" s="13">
        <f>IFERROR(VLOOKUP($D285,LISTINO!$B:$I,6,FALSE),IFERROR(VLOOKUP($E285,LISTINO!$C:$I,5,FALSE),""))</f>
        <v/>
      </c>
      <c r="R285" s="13">
        <f>IF(AND(ISNUMBER(G285),ISNUMBER(Q285)),G285*Q285,"")</f>
        <v/>
      </c>
    </row>
    <row r="286">
      <c r="A286" t="inlineStr">
        <is>
          <t>kit quadro motore</t>
        </is>
      </c>
      <c r="C286" s="14" t="n">
        <v>10</v>
      </c>
      <c r="D286" t="inlineStr">
        <is>
          <t>10ROND8</t>
        </is>
      </c>
      <c r="E286" t="inlineStr">
        <is>
          <t>Rondella zn 8</t>
        </is>
      </c>
      <c r="F286" t="inlineStr">
        <is>
          <t>Bulloneria e minuteria</t>
        </is>
      </c>
      <c r="G286" s="14" t="n">
        <v>4</v>
      </c>
      <c r="H286" s="14" t="n"/>
      <c r="I286" s="14" t="n"/>
      <c r="J286" s="14" t="n"/>
      <c r="K286" s="14" t="n"/>
      <c r="L286" s="14" t="n"/>
      <c r="M286" s="14" t="n"/>
      <c r="N286" s="14" t="n"/>
      <c r="O286" s="14" t="inlineStr">
        <is>
          <t>pz</t>
        </is>
      </c>
      <c r="P286" s="15" t="n"/>
      <c r="Q286" s="13">
        <f>IFERROR(VLOOKUP($D286,LISTINO!$B:$I,6,FALSE),IFERROR(VLOOKUP($E286,LISTINO!$C:$I,5,FALSE),""))</f>
        <v/>
      </c>
      <c r="R286" s="13">
        <f>IF(AND(ISNUMBER(G286),ISNUMBER(Q286)),G286*Q286,"")</f>
        <v/>
      </c>
    </row>
    <row r="287">
      <c r="A287" t="inlineStr">
        <is>
          <t>kit quadro motore</t>
        </is>
      </c>
      <c r="C287" s="14" t="n">
        <v>11</v>
      </c>
      <c r="D287" t="inlineStr">
        <is>
          <t>10ROND8</t>
        </is>
      </c>
      <c r="E287" t="inlineStr">
        <is>
          <t>Rondella zn 8</t>
        </is>
      </c>
      <c r="F287" t="inlineStr">
        <is>
          <t>Bulloneria e minuteria</t>
        </is>
      </c>
      <c r="G287" s="14" t="n">
        <v>4</v>
      </c>
      <c r="H287" s="14" t="n"/>
      <c r="I287" s="14" t="n"/>
      <c r="J287" s="14" t="n"/>
      <c r="K287" s="14" t="n"/>
      <c r="L287" s="14" t="n"/>
      <c r="M287" s="14" t="n"/>
      <c r="N287" s="14" t="n"/>
      <c r="O287" s="14" t="inlineStr">
        <is>
          <t>pz</t>
        </is>
      </c>
      <c r="P287" s="15" t="n"/>
      <c r="Q287" s="13">
        <f>IFERROR(VLOOKUP($D287,LISTINO!$B:$I,6,FALSE),IFERROR(VLOOKUP($E287,LISTINO!$C:$I,5,FALSE),""))</f>
        <v/>
      </c>
      <c r="R287" s="13">
        <f>IF(AND(ISNUMBER(G287),ISNUMBER(Q287)),G287*Q287,"")</f>
        <v/>
      </c>
    </row>
    <row r="288">
      <c r="A288" t="inlineStr">
        <is>
          <t>kit quadro motore</t>
        </is>
      </c>
      <c r="C288" s="14" t="n">
        <v>12</v>
      </c>
      <c r="D288" t="inlineStr">
        <is>
          <t>10DAZAM8</t>
        </is>
      </c>
      <c r="E288" t="inlineStr">
        <is>
          <t>Dado M8 autobloccante</t>
        </is>
      </c>
      <c r="F288" t="inlineStr">
        <is>
          <t>Bulloneria e minuteria</t>
        </is>
      </c>
      <c r="G288" s="14" t="n">
        <v>4</v>
      </c>
      <c r="H288" s="14" t="n"/>
      <c r="I288" s="14" t="n"/>
      <c r="J288" s="14" t="n"/>
      <c r="K288" s="14" t="n"/>
      <c r="L288" s="14" t="n"/>
      <c r="M288" s="14" t="n"/>
      <c r="N288" s="14" t="n"/>
      <c r="O288" s="14" t="inlineStr">
        <is>
          <t>pz</t>
        </is>
      </c>
      <c r="P288" s="15" t="n"/>
      <c r="Q288" s="13">
        <f>IFERROR(VLOOKUP($D288,LISTINO!$B:$I,6,FALSE),IFERROR(VLOOKUP($E288,LISTINO!$C:$I,5,FALSE),""))</f>
        <v/>
      </c>
      <c r="R288" s="13">
        <f>IF(AND(ISNUMBER(G288),ISNUMBER(Q288)),G288*Q288,"")</f>
        <v/>
      </c>
    </row>
    <row r="289">
      <c r="A289" t="inlineStr">
        <is>
          <t>kit quadri centralina meteo</t>
        </is>
      </c>
      <c r="C289" s="14" t="n">
        <v>1</v>
      </c>
      <c r="D289" t="inlineStr">
        <is>
          <t>TTS.PM.001.IPE140.22.QC</t>
        </is>
      </c>
      <c r="E289" t="inlineStr">
        <is>
          <t>Pilastro motore trave ipe140 x 2220 con foratura alloggiamento quadro motore + quadro centralina meteo + quadro alimentazione centralina meteo</t>
        </is>
      </c>
      <c r="F289" t="inlineStr">
        <is>
          <t>Carpenteria metallica</t>
        </is>
      </c>
      <c r="G289" s="14" t="n">
        <v>1</v>
      </c>
      <c r="H289" s="14" t="n"/>
      <c r="I289" s="14" t="n"/>
      <c r="J289" s="14" t="n"/>
      <c r="K289" s="14" t="n"/>
      <c r="L289" s="14" t="n"/>
      <c r="M289" s="14" t="n"/>
      <c r="N289" s="14" t="n"/>
      <c r="O289" s="14" t="inlineStr">
        <is>
          <t>pz</t>
        </is>
      </c>
      <c r="P289" s="15" t="n"/>
      <c r="Q289" s="13">
        <f>IFERROR(VLOOKUP($D289,LISTINO!$B:$I,6,FALSE),IFERROR(VLOOKUP($E289,LISTINO!$C:$I,5,FALSE),""))</f>
        <v/>
      </c>
      <c r="R289" s="13">
        <f>IF(AND(ISNUMBER(G289),ISNUMBER(Q289)),G289*Q289,"")</f>
        <v/>
      </c>
    </row>
    <row r="290">
      <c r="A290" t="inlineStr">
        <is>
          <t>kit quadri centralina meteo</t>
        </is>
      </c>
      <c r="C290" s="14" t="n">
        <v>1</v>
      </c>
      <c r="D290" t="inlineStr">
        <is>
          <t>TTS.PM.001.IPEA140.22.QC</t>
        </is>
      </c>
      <c r="E290" t="inlineStr">
        <is>
          <t>Pilastro motore trave ipea140 x 2220 con foratura alloggiamento quadro motore + quadro centralina meteo + quadro alimentazione centralina meteo (alleggerita)</t>
        </is>
      </c>
      <c r="F290" t="inlineStr">
        <is>
          <t>Carpenteria metallica</t>
        </is>
      </c>
      <c r="G290" s="14" t="n">
        <v>0</v>
      </c>
      <c r="H290" s="14" t="n"/>
      <c r="I290" s="14" t="n"/>
      <c r="J290" s="14" t="n"/>
      <c r="K290" s="14" t="n"/>
      <c r="L290" s="14" t="n"/>
      <c r="M290" s="14" t="n"/>
      <c r="N290" s="14" t="n"/>
      <c r="O290" s="14" t="inlineStr">
        <is>
          <t>pz</t>
        </is>
      </c>
      <c r="P290" s="15" t="n"/>
      <c r="Q290" s="13">
        <f>IFERROR(VLOOKUP($D290,LISTINO!$B:$I,6,FALSE),IFERROR(VLOOKUP($E290,LISTINO!$C:$I,5,FALSE),""))</f>
        <v/>
      </c>
      <c r="R290" s="13">
        <f>IF(AND(ISNUMBER(G290),ISNUMBER(Q290)),G290*Q290,"")</f>
        <v/>
      </c>
    </row>
    <row r="291">
      <c r="A291" t="inlineStr">
        <is>
          <t>kit quadri centralina meteo</t>
        </is>
      </c>
      <c r="C291" s="14" t="n">
        <v>2</v>
      </c>
      <c r="D291" t="inlineStr">
        <is>
          <t>TTS.PM.2011</t>
        </is>
      </c>
      <c r="E291" t="inlineStr">
        <is>
          <t>Angolare 30x30x4 lungo 370 mm. superiore</t>
        </is>
      </c>
      <c r="F291" t="inlineStr">
        <is>
          <t>Carpenteria metallica</t>
        </is>
      </c>
      <c r="G291" s="14" t="n">
        <v>1</v>
      </c>
      <c r="H291" s="14" t="n"/>
      <c r="I291" s="14" t="n"/>
      <c r="J291" s="14" t="n"/>
      <c r="K291" s="14" t="n"/>
      <c r="L291" s="14" t="n"/>
      <c r="M291" s="14" t="n"/>
      <c r="N291" s="14" t="n"/>
      <c r="O291" s="14" t="inlineStr">
        <is>
          <t>pz</t>
        </is>
      </c>
      <c r="P291" s="15" t="n"/>
      <c r="Q291" s="13">
        <f>IFERROR(VLOOKUP($D291,LISTINO!$B:$I,6,FALSE),IFERROR(VLOOKUP($E291,LISTINO!$C:$I,5,FALSE),""))</f>
        <v/>
      </c>
      <c r="R291" s="13">
        <f>IF(AND(ISNUMBER(G291),ISNUMBER(Q291)),G291*Q291,"")</f>
        <v/>
      </c>
    </row>
    <row r="292">
      <c r="A292" t="inlineStr">
        <is>
          <t>kit quadri centralina meteo</t>
        </is>
      </c>
      <c r="C292" s="14" t="n">
        <v>3</v>
      </c>
      <c r="D292" t="inlineStr">
        <is>
          <t>10DAZAM6</t>
        </is>
      </c>
      <c r="E292" t="inlineStr">
        <is>
          <t>Dado M6 autobloccante</t>
        </is>
      </c>
      <c r="F292" t="inlineStr">
        <is>
          <t>Bulloneria e minuteria</t>
        </is>
      </c>
      <c r="G292" s="14" t="n">
        <v>4</v>
      </c>
      <c r="H292" s="14" t="n"/>
      <c r="I292" s="14" t="n"/>
      <c r="J292" s="14" t="n"/>
      <c r="K292" s="14" t="n"/>
      <c r="L292" s="14" t="n"/>
      <c r="M292" s="14" t="n"/>
      <c r="N292" s="14" t="n"/>
      <c r="O292" s="14" t="inlineStr">
        <is>
          <t>pz</t>
        </is>
      </c>
      <c r="P292" s="15" t="n"/>
      <c r="Q292" s="13">
        <f>IFERROR(VLOOKUP($D292,LISTINO!$B:$I,6,FALSE),IFERROR(VLOOKUP($E292,LISTINO!$C:$I,5,FALSE),""))</f>
        <v/>
      </c>
      <c r="R292" s="13">
        <f>IF(AND(ISNUMBER(G292),ISNUMBER(Q292)),G292*Q292,"")</f>
        <v/>
      </c>
    </row>
    <row r="293">
      <c r="A293" t="inlineStr">
        <is>
          <t>kit quadri centralina meteo</t>
        </is>
      </c>
      <c r="C293" s="14" t="n">
        <v>4</v>
      </c>
      <c r="D293" t="inlineStr">
        <is>
          <t>10ROND6</t>
        </is>
      </c>
      <c r="E293" t="inlineStr">
        <is>
          <t>Rondella zn 6</t>
        </is>
      </c>
      <c r="F293" t="inlineStr">
        <is>
          <t>Bulloneria e minuteria</t>
        </is>
      </c>
      <c r="G293" s="14" t="n">
        <v>4</v>
      </c>
      <c r="H293" s="14" t="n"/>
      <c r="I293" s="14" t="n"/>
      <c r="J293" s="14" t="n"/>
      <c r="K293" s="14" t="n"/>
      <c r="L293" s="14" t="n"/>
      <c r="M293" s="14" t="n"/>
      <c r="N293" s="14" t="n"/>
      <c r="O293" s="14" t="inlineStr">
        <is>
          <t>pz</t>
        </is>
      </c>
      <c r="P293" s="15" t="n"/>
      <c r="Q293" s="13">
        <f>IFERROR(VLOOKUP($D293,LISTINO!$B:$I,6,FALSE),IFERROR(VLOOKUP($E293,LISTINO!$C:$I,5,FALSE),""))</f>
        <v/>
      </c>
      <c r="R293" s="13">
        <f>IF(AND(ISNUMBER(G293),ISNUMBER(Q293)),G293*Q293,"")</f>
        <v/>
      </c>
    </row>
    <row r="294">
      <c r="A294" t="inlineStr">
        <is>
          <t>kit quadri centralina meteo</t>
        </is>
      </c>
      <c r="C294" s="14" t="n">
        <v>5</v>
      </c>
      <c r="D294" t="inlineStr">
        <is>
          <t>10ROND6</t>
        </is>
      </c>
      <c r="E294" t="inlineStr">
        <is>
          <t>Rondella zn 6</t>
        </is>
      </c>
      <c r="F294" t="inlineStr">
        <is>
          <t>Bulloneria e minuteria</t>
        </is>
      </c>
      <c r="G294" s="14" t="n">
        <v>4</v>
      </c>
      <c r="H294" s="14" t="n"/>
      <c r="I294" s="14" t="n"/>
      <c r="J294" s="14" t="n"/>
      <c r="K294" s="14" t="n"/>
      <c r="L294" s="14" t="n"/>
      <c r="M294" s="14" t="n"/>
      <c r="N294" s="14" t="n"/>
      <c r="O294" s="14" t="inlineStr">
        <is>
          <t>pz</t>
        </is>
      </c>
      <c r="P294" s="15" t="n"/>
      <c r="Q294" s="13">
        <f>IFERROR(VLOOKUP($D294,LISTINO!$B:$I,6,FALSE),IFERROR(VLOOKUP($E294,LISTINO!$C:$I,5,FALSE),""))</f>
        <v/>
      </c>
      <c r="R294" s="13">
        <f>IF(AND(ISNUMBER(G294),ISNUMBER(Q294)),G294*Q294,"")</f>
        <v/>
      </c>
    </row>
    <row r="295">
      <c r="A295" t="inlineStr">
        <is>
          <t>kit quadri centralina meteo</t>
        </is>
      </c>
      <c r="C295" s="14" t="n">
        <v>6</v>
      </c>
      <c r="D295" t="inlineStr">
        <is>
          <t>10BZM6X25</t>
        </is>
      </c>
      <c r="E295" t="inlineStr">
        <is>
          <t>Bullone testa esagonale zn M6X30</t>
        </is>
      </c>
      <c r="F295" t="inlineStr">
        <is>
          <t>Bulloneria e minuteria</t>
        </is>
      </c>
      <c r="G295" s="14" t="n">
        <v>4</v>
      </c>
      <c r="H295" s="14" t="n"/>
      <c r="I295" s="14" t="n"/>
      <c r="J295" s="14" t="n"/>
      <c r="K295" s="14" t="n"/>
      <c r="L295" s="14" t="n"/>
      <c r="M295" s="14" t="n"/>
      <c r="N295" s="14" t="n"/>
      <c r="O295" s="14" t="inlineStr">
        <is>
          <t>pz</t>
        </is>
      </c>
      <c r="P295" s="15" t="n"/>
      <c r="Q295" s="13">
        <f>IFERROR(VLOOKUP($D295,LISTINO!$B:$I,6,FALSE),IFERROR(VLOOKUP($E295,LISTINO!$C:$I,5,FALSE),""))</f>
        <v/>
      </c>
      <c r="R295" s="13">
        <f>IF(AND(ISNUMBER(G295),ISNUMBER(Q295)),G295*Q295,"")</f>
        <v/>
      </c>
    </row>
    <row r="296">
      <c r="A296" t="inlineStr">
        <is>
          <t>kit quadri centralina meteo</t>
        </is>
      </c>
      <c r="C296" s="14" t="n">
        <v>7</v>
      </c>
      <c r="D296" t="inlineStr">
        <is>
          <t>TTS.PM.2012</t>
        </is>
      </c>
      <c r="E296" t="inlineStr">
        <is>
          <t>Angolare 30x30x4 lungo 370 mm. inferiore</t>
        </is>
      </c>
      <c r="F296" t="inlineStr">
        <is>
          <t>Carpenteria metallica</t>
        </is>
      </c>
      <c r="G296" s="14" t="n">
        <v>1</v>
      </c>
      <c r="H296" s="14" t="n"/>
      <c r="I296" s="14" t="n"/>
      <c r="J296" s="14" t="n"/>
      <c r="K296" s="14" t="n"/>
      <c r="L296" s="14" t="n"/>
      <c r="M296" s="14" t="n"/>
      <c r="N296" s="14" t="n"/>
      <c r="O296" s="14" t="inlineStr">
        <is>
          <t>pz</t>
        </is>
      </c>
      <c r="P296" s="15" t="n"/>
      <c r="Q296" s="13">
        <f>IFERROR(VLOOKUP($D296,LISTINO!$B:$I,6,FALSE),IFERROR(VLOOKUP($E296,LISTINO!$C:$I,5,FALSE),""))</f>
        <v/>
      </c>
      <c r="R296" s="13">
        <f>IF(AND(ISNUMBER(G296),ISNUMBER(Q296)),G296*Q296,"")</f>
        <v/>
      </c>
    </row>
    <row r="297">
      <c r="A297" t="inlineStr">
        <is>
          <t>kit quadri centralina meteo</t>
        </is>
      </c>
      <c r="C297" s="14" t="n">
        <v>8</v>
      </c>
      <c r="D297" t="inlineStr">
        <is>
          <t>15T-JUNCTBOXIP65</t>
        </is>
      </c>
      <c r="E297" t="inlineStr">
        <is>
          <t>Box centralina meteo</t>
        </is>
      </c>
      <c r="F297" t="inlineStr">
        <is>
          <t>Quadristica ed elettrico</t>
        </is>
      </c>
      <c r="G297" s="14" t="n">
        <v>1</v>
      </c>
      <c r="H297" s="14" t="n"/>
      <c r="I297" s="14" t="n"/>
      <c r="J297" s="14" t="n"/>
      <c r="K297" s="14" t="n"/>
      <c r="L297" s="14" t="n"/>
      <c r="M297" s="14" t="n"/>
      <c r="N297" s="14" t="n"/>
      <c r="O297" s="14" t="inlineStr">
        <is>
          <t>pz</t>
        </is>
      </c>
      <c r="P297" s="15" t="n"/>
      <c r="Q297" s="13">
        <f>IFERROR(VLOOKUP($D297,LISTINO!$B:$I,6,FALSE),IFERROR(VLOOKUP($E297,LISTINO!$C:$I,5,FALSE),""))</f>
        <v/>
      </c>
      <c r="R297" s="13">
        <f>IF(AND(ISNUMBER(G297),ISNUMBER(Q297)),G297*Q297,"")</f>
        <v/>
      </c>
    </row>
    <row r="298">
      <c r="A298" t="inlineStr">
        <is>
          <t>kit quadri centralina meteo</t>
        </is>
      </c>
      <c r="C298" s="14" t="n">
        <v>9</v>
      </c>
      <c r="D298" t="inlineStr">
        <is>
          <t>10ROND8</t>
        </is>
      </c>
      <c r="E298" t="inlineStr">
        <is>
          <t>Rondella zn 8</t>
        </is>
      </c>
      <c r="F298" t="inlineStr">
        <is>
          <t>Bulloneria e minuteria</t>
        </is>
      </c>
      <c r="G298" s="14" t="n">
        <v>4</v>
      </c>
      <c r="H298" s="14" t="n"/>
      <c r="I298" s="14" t="n"/>
      <c r="J298" s="14" t="n"/>
      <c r="K298" s="14" t="n"/>
      <c r="L298" s="14" t="n"/>
      <c r="M298" s="14" t="n"/>
      <c r="N298" s="14" t="n"/>
      <c r="O298" s="14" t="inlineStr">
        <is>
          <t>pz</t>
        </is>
      </c>
      <c r="P298" s="15" t="n"/>
      <c r="Q298" s="13">
        <f>IFERROR(VLOOKUP($D298,LISTINO!$B:$I,6,FALSE),IFERROR(VLOOKUP($E298,LISTINO!$C:$I,5,FALSE),""))</f>
        <v/>
      </c>
      <c r="R298" s="13">
        <f>IF(AND(ISNUMBER(G298),ISNUMBER(Q298)),G298*Q298,"")</f>
        <v/>
      </c>
    </row>
    <row r="299">
      <c r="A299" t="inlineStr">
        <is>
          <t>kit quadri centralina meteo</t>
        </is>
      </c>
      <c r="C299" s="14" t="n">
        <v>10</v>
      </c>
      <c r="D299" t="inlineStr">
        <is>
          <t>10BZM8X25</t>
        </is>
      </c>
      <c r="E299" t="inlineStr">
        <is>
          <t>Bullone testa esagonale zn M8X25</t>
        </is>
      </c>
      <c r="F299" t="inlineStr">
        <is>
          <t>Bulloneria e minuteria</t>
        </is>
      </c>
      <c r="G299" s="14" t="n">
        <v>4</v>
      </c>
      <c r="H299" s="14" t="n"/>
      <c r="I299" s="14" t="n"/>
      <c r="J299" s="14" t="n"/>
      <c r="K299" s="14" t="n"/>
      <c r="L299" s="14" t="n"/>
      <c r="M299" s="14" t="n"/>
      <c r="N299" s="14" t="n"/>
      <c r="O299" s="14" t="inlineStr">
        <is>
          <t>pz</t>
        </is>
      </c>
      <c r="P299" s="15" t="n"/>
      <c r="Q299" s="13">
        <f>IFERROR(VLOOKUP($D299,LISTINO!$B:$I,6,FALSE),IFERROR(VLOOKUP($E299,LISTINO!$C:$I,5,FALSE),""))</f>
        <v/>
      </c>
      <c r="R299" s="13">
        <f>IF(AND(ISNUMBER(G299),ISNUMBER(Q299)),G299*Q299,"")</f>
        <v/>
      </c>
    </row>
    <row r="300">
      <c r="A300" t="inlineStr">
        <is>
          <t>kit quadri centralina meteo</t>
        </is>
      </c>
      <c r="C300" s="14" t="n">
        <v>11</v>
      </c>
      <c r="D300" t="inlineStr">
        <is>
          <t>10ROND8</t>
        </is>
      </c>
      <c r="E300" t="inlineStr">
        <is>
          <t>Rondella zn 8</t>
        </is>
      </c>
      <c r="F300" t="inlineStr">
        <is>
          <t>Bulloneria e minuteria</t>
        </is>
      </c>
      <c r="G300" s="14" t="n">
        <v>4</v>
      </c>
      <c r="H300" s="14" t="n"/>
      <c r="I300" s="14" t="n"/>
      <c r="J300" s="14" t="n"/>
      <c r="K300" s="14" t="n"/>
      <c r="L300" s="14" t="n"/>
      <c r="M300" s="14" t="n"/>
      <c r="N300" s="14" t="n"/>
      <c r="O300" s="14" t="inlineStr">
        <is>
          <t>pz</t>
        </is>
      </c>
      <c r="P300" s="15" t="n"/>
      <c r="Q300" s="13">
        <f>IFERROR(VLOOKUP($D300,LISTINO!$B:$I,6,FALSE),IFERROR(VLOOKUP($E300,LISTINO!$C:$I,5,FALSE),""))</f>
        <v/>
      </c>
      <c r="R300" s="13">
        <f>IF(AND(ISNUMBER(G300),ISNUMBER(Q300)),G300*Q300,"")</f>
        <v/>
      </c>
    </row>
    <row r="301">
      <c r="A301" t="inlineStr">
        <is>
          <t>kit quadri centralina meteo</t>
        </is>
      </c>
      <c r="C301" s="14" t="n">
        <v>12</v>
      </c>
      <c r="D301" t="inlineStr">
        <is>
          <t>10DAZAM8</t>
        </is>
      </c>
      <c r="E301" t="inlineStr">
        <is>
          <t>Dado M8 autobloccante</t>
        </is>
      </c>
      <c r="F301" t="inlineStr">
        <is>
          <t>Bulloneria e minuteria</t>
        </is>
      </c>
      <c r="G301" s="14" t="n">
        <v>4</v>
      </c>
      <c r="H301" s="14" t="n"/>
      <c r="I301" s="14" t="n"/>
      <c r="J301" s="14" t="n"/>
      <c r="K301" s="14" t="n"/>
      <c r="L301" s="14" t="n"/>
      <c r="M301" s="14" t="n"/>
      <c r="N301" s="14" t="n"/>
      <c r="O301" s="14" t="inlineStr">
        <is>
          <t>pz</t>
        </is>
      </c>
      <c r="P301" s="15" t="n"/>
      <c r="Q301" s="13">
        <f>IFERROR(VLOOKUP($D301,LISTINO!$B:$I,6,FALSE),IFERROR(VLOOKUP($E301,LISTINO!$C:$I,5,FALSE),""))</f>
        <v/>
      </c>
      <c r="R301" s="13">
        <f>IF(AND(ISNUMBER(G301),ISNUMBER(Q301)),G301*Q301,"")</f>
        <v/>
      </c>
    </row>
    <row r="302">
      <c r="A302" t="inlineStr">
        <is>
          <t>kit quadri centralina meteo</t>
        </is>
      </c>
      <c r="C302" s="14" t="n">
        <v>13</v>
      </c>
      <c r="D302" t="inlineStr">
        <is>
          <t>10BZM8X25</t>
        </is>
      </c>
      <c r="E302" t="inlineStr">
        <is>
          <t>Bullone testa esagonale zn M8X25</t>
        </is>
      </c>
      <c r="F302" t="inlineStr">
        <is>
          <t>Bulloneria e minuteria</t>
        </is>
      </c>
      <c r="G302" s="14" t="n">
        <v>4</v>
      </c>
      <c r="H302" s="14" t="n"/>
      <c r="I302" s="14" t="n"/>
      <c r="J302" s="14" t="n"/>
      <c r="K302" s="14" t="n"/>
      <c r="L302" s="14" t="n"/>
      <c r="M302" s="14" t="n"/>
      <c r="N302" s="14" t="n"/>
      <c r="O302" s="14" t="inlineStr">
        <is>
          <t>pz</t>
        </is>
      </c>
      <c r="P302" s="15" t="n"/>
      <c r="Q302" s="13">
        <f>IFERROR(VLOOKUP($D302,LISTINO!$B:$I,6,FALSE),IFERROR(VLOOKUP($E302,LISTINO!$C:$I,5,FALSE),""))</f>
        <v/>
      </c>
      <c r="R302" s="13">
        <f>IF(AND(ISNUMBER(G302),ISNUMBER(Q302)),G302*Q302,"")</f>
        <v/>
      </c>
    </row>
    <row r="303">
      <c r="A303" t="inlineStr">
        <is>
          <t>kit quadri centralina meteo</t>
        </is>
      </c>
      <c r="C303" s="14" t="n">
        <v>14</v>
      </c>
      <c r="D303" t="inlineStr">
        <is>
          <t>10ROND8</t>
        </is>
      </c>
      <c r="E303" t="inlineStr">
        <is>
          <t>Rondella zn 8</t>
        </is>
      </c>
      <c r="F303" t="inlineStr">
        <is>
          <t>Bulloneria e minuteria</t>
        </is>
      </c>
      <c r="G303" s="14" t="n">
        <v>4</v>
      </c>
      <c r="H303" s="14" t="n"/>
      <c r="I303" s="14" t="n"/>
      <c r="J303" s="14" t="n"/>
      <c r="K303" s="14" t="n"/>
      <c r="L303" s="14" t="n"/>
      <c r="M303" s="14" t="n"/>
      <c r="N303" s="14" t="n"/>
      <c r="O303" s="14" t="inlineStr">
        <is>
          <t>pz</t>
        </is>
      </c>
      <c r="P303" s="15" t="n"/>
      <c r="Q303" s="13">
        <f>IFERROR(VLOOKUP($D303,LISTINO!$B:$I,6,FALSE),IFERROR(VLOOKUP($E303,LISTINO!$C:$I,5,FALSE),""))</f>
        <v/>
      </c>
      <c r="R303" s="13">
        <f>IF(AND(ISNUMBER(G303),ISNUMBER(Q303)),G303*Q303,"")</f>
        <v/>
      </c>
    </row>
    <row r="304">
      <c r="A304" t="inlineStr">
        <is>
          <t>kit quadri centralina meteo</t>
        </is>
      </c>
      <c r="C304" s="14" t="n">
        <v>15</v>
      </c>
      <c r="D304" t="inlineStr">
        <is>
          <t>TTS.PM.2012</t>
        </is>
      </c>
      <c r="E304" s="7" t="inlineStr">
        <is>
          <t>Angolare 30x30x4 lungo 370 mm. inferiore</t>
        </is>
      </c>
      <c r="F304" t="inlineStr">
        <is>
          <t>Carpenteria metallica</t>
        </is>
      </c>
      <c r="G304" s="14" t="n">
        <v>1</v>
      </c>
      <c r="H304" s="14" t="n"/>
      <c r="I304" s="14" t="n"/>
      <c r="J304" s="14" t="n"/>
      <c r="K304" s="14" t="n"/>
      <c r="L304" s="14" t="n"/>
      <c r="M304" s="14" t="n"/>
      <c r="N304" s="14" t="n"/>
      <c r="O304" s="14" t="inlineStr">
        <is>
          <t>pz</t>
        </is>
      </c>
      <c r="P304" s="15" t="n"/>
      <c r="Q304" s="13">
        <f>IFERROR(VLOOKUP($D304,LISTINO!$B:$I,6,FALSE),IFERROR(VLOOKUP($E304,LISTINO!$C:$I,5,FALSE),""))</f>
        <v/>
      </c>
      <c r="R304" s="8">
        <f>IF(AND(ISNUMBER(G304),ISNUMBER(Q304)),G304*Q304,"")</f>
        <v/>
      </c>
    </row>
    <row r="305">
      <c r="A305" t="inlineStr">
        <is>
          <t>kit quadri centralina meteo</t>
        </is>
      </c>
      <c r="C305" s="14" t="n">
        <v>16</v>
      </c>
      <c r="D305" t="inlineStr">
        <is>
          <t>B04601</t>
        </is>
      </c>
      <c r="E305" t="inlineStr">
        <is>
          <t>Quadro in vetroresina Pedro VTR 01</t>
        </is>
      </c>
      <c r="F305" t="inlineStr">
        <is>
          <t>Quadristica ed elettrico</t>
        </is>
      </c>
      <c r="G305" s="14" t="n">
        <v>1</v>
      </c>
      <c r="H305" s="14" t="n"/>
      <c r="I305" s="14" t="n"/>
      <c r="J305" s="14" t="n"/>
      <c r="K305" s="14" t="n"/>
      <c r="L305" s="14" t="n"/>
      <c r="M305" s="14" t="n"/>
      <c r="N305" s="14" t="inlineStr">
        <is>
          <t>X</t>
        </is>
      </c>
      <c r="O305" s="14" t="inlineStr">
        <is>
          <t>pz</t>
        </is>
      </c>
      <c r="P305" s="15" t="n"/>
      <c r="Q305" s="13">
        <f>IFERROR(VLOOKUP($D305,LISTINO!$B:$I,6,FALSE),IFERROR(VLOOKUP($E305,LISTINO!$C:$I,5,FALSE),""))</f>
        <v/>
      </c>
      <c r="R305" s="13">
        <f>IF(AND(ISNUMBER(G305),ISNUMBER(Q305)),G305*Q305,"")</f>
        <v/>
      </c>
    </row>
    <row r="306">
      <c r="A306" t="inlineStr">
        <is>
          <t>kit quadri centralina meteo</t>
        </is>
      </c>
      <c r="C306" s="14" t="n">
        <v>17</v>
      </c>
      <c r="D306" t="inlineStr">
        <is>
          <t>B04601</t>
        </is>
      </c>
      <c r="E306" t="inlineStr">
        <is>
          <t>Quadro in vetroresina Pedro VTR 01</t>
        </is>
      </c>
      <c r="F306" t="inlineStr">
        <is>
          <t>Quadristica ed elettrico</t>
        </is>
      </c>
      <c r="G306" s="14" t="n">
        <v>1</v>
      </c>
      <c r="H306" s="14" t="n"/>
      <c r="I306" s="14" t="n"/>
      <c r="J306" s="14" t="n"/>
      <c r="K306" s="14" t="n"/>
      <c r="L306" s="14" t="n"/>
      <c r="M306" s="14" t="n"/>
      <c r="N306" s="14" t="n"/>
      <c r="O306" s="14" t="inlineStr">
        <is>
          <t>pz</t>
        </is>
      </c>
      <c r="P306" s="15" t="n"/>
      <c r="Q306" s="13">
        <f>IFERROR(VLOOKUP($D306,LISTINO!$B:$I,6,FALSE),IFERROR(VLOOKUP($E306,LISTINO!$C:$I,5,FALSE),""))</f>
        <v/>
      </c>
      <c r="R306" s="13">
        <f>IF(AND(ISNUMBER(G306),ISNUMBER(Q306)),G306*Q306,"")</f>
        <v/>
      </c>
    </row>
    <row r="307">
      <c r="A307" t="inlineStr">
        <is>
          <t>kit quadri centralina meteo</t>
        </is>
      </c>
      <c r="C307" s="14" t="n">
        <v>18</v>
      </c>
      <c r="D307" t="inlineStr">
        <is>
          <t>10ROND8</t>
        </is>
      </c>
      <c r="E307" t="inlineStr">
        <is>
          <t>Rondella zn 8</t>
        </is>
      </c>
      <c r="F307" t="inlineStr">
        <is>
          <t>Bulloneria e minuteria</t>
        </is>
      </c>
      <c r="G307" s="14" t="n">
        <v>4</v>
      </c>
      <c r="H307" s="14" t="n"/>
      <c r="I307" s="14" t="n"/>
      <c r="J307" s="14" t="n"/>
      <c r="K307" s="14" t="n"/>
      <c r="L307" s="14" t="n"/>
      <c r="M307" s="14" t="n"/>
      <c r="N307" s="14" t="n"/>
      <c r="O307" s="14" t="inlineStr">
        <is>
          <t>pz</t>
        </is>
      </c>
      <c r="P307" s="15" t="n"/>
      <c r="Q307" s="13">
        <f>IFERROR(VLOOKUP($D307,LISTINO!$B:$I,6,FALSE),IFERROR(VLOOKUP($E307,LISTINO!$C:$I,5,FALSE),""))</f>
        <v/>
      </c>
      <c r="R307" s="13">
        <f>IF(AND(ISNUMBER(G307),ISNUMBER(Q307)),G307*Q307,"")</f>
        <v/>
      </c>
    </row>
    <row r="308">
      <c r="A308" t="inlineStr">
        <is>
          <t>kit quadri centralina meteo</t>
        </is>
      </c>
      <c r="C308" s="14" t="n">
        <v>19</v>
      </c>
      <c r="D308" t="inlineStr">
        <is>
          <t>10DAZAM8</t>
        </is>
      </c>
      <c r="E308" t="inlineStr">
        <is>
          <t>Dado M8 autobloccante</t>
        </is>
      </c>
      <c r="F308" t="inlineStr">
        <is>
          <t>Bulloneria e minuteria</t>
        </is>
      </c>
      <c r="G308" s="14" t="n">
        <v>4</v>
      </c>
      <c r="H308" s="14" t="n"/>
      <c r="I308" s="14" t="n"/>
      <c r="J308" s="14" t="n"/>
      <c r="K308" s="14" t="n"/>
      <c r="L308" s="14" t="n"/>
      <c r="M308" s="14" t="n"/>
      <c r="N308" s="14" t="n"/>
      <c r="O308" s="14" t="inlineStr">
        <is>
          <t>pz</t>
        </is>
      </c>
      <c r="P308" s="15" t="n"/>
      <c r="Q308" s="13">
        <f>IFERROR(VLOOKUP($D308,LISTINO!$B:$I,6,FALSE),IFERROR(VLOOKUP($E308,LISTINO!$C:$I,5,FALSE),""))</f>
        <v/>
      </c>
      <c r="R308" s="13">
        <f>IF(AND(ISNUMBER(G308),ISNUMBER(Q308)),G308*Q308,"")</f>
        <v/>
      </c>
    </row>
    <row r="309">
      <c r="A309" t="inlineStr">
        <is>
          <t>kit quadri area</t>
        </is>
      </c>
      <c r="C309" s="14" t="n">
        <v>1</v>
      </c>
      <c r="D309" t="inlineStr">
        <is>
          <t>TTS.PC.3011</t>
        </is>
      </c>
      <c r="E309" t="inlineStr">
        <is>
          <t>Angolare 40x40x4 lungo 869 mm. superiore</t>
        </is>
      </c>
      <c r="F309" t="inlineStr">
        <is>
          <t>Carpenteria metallica</t>
        </is>
      </c>
      <c r="G309" s="14" t="n">
        <v>1</v>
      </c>
      <c r="H309" s="14" t="n"/>
      <c r="I309" s="14" t="n"/>
      <c r="J309" s="14" t="n"/>
      <c r="K309" s="14" t="n"/>
      <c r="L309" s="14" t="n"/>
      <c r="M309" s="14" t="n"/>
      <c r="N309" s="14" t="n"/>
      <c r="O309" s="14" t="inlineStr">
        <is>
          <t>pz</t>
        </is>
      </c>
      <c r="P309" s="15" t="n"/>
      <c r="Q309" s="13">
        <f>IFERROR(VLOOKUP($D309,LISTINO!$B:$I,6,FALSE),IFERROR(VLOOKUP($E309,LISTINO!$C:$I,5,FALSE),""))</f>
        <v/>
      </c>
      <c r="R309" s="13">
        <f>IF(AND(ISNUMBER(G309),ISNUMBER(Q309)),G309*Q309,"")</f>
        <v/>
      </c>
    </row>
    <row r="310">
      <c r="A310" t="inlineStr">
        <is>
          <t>kit quadri area</t>
        </is>
      </c>
      <c r="C310" s="14" t="n">
        <v>2</v>
      </c>
      <c r="D310" t="inlineStr">
        <is>
          <t>TTS.PC.3012</t>
        </is>
      </c>
      <c r="E310" t="inlineStr">
        <is>
          <t>Angolare 40x40x4 lungo 869 mm. inferiore</t>
        </is>
      </c>
      <c r="F310" t="inlineStr">
        <is>
          <t>Carpenteria metallica</t>
        </is>
      </c>
      <c r="G310" s="14" t="n">
        <v>1</v>
      </c>
      <c r="H310" s="14" t="n"/>
      <c r="I310" s="14" t="n"/>
      <c r="J310" s="14" t="n"/>
      <c r="K310" s="14" t="n"/>
      <c r="L310" s="14" t="n"/>
      <c r="M310" s="14" t="n"/>
      <c r="N310" s="14" t="n"/>
      <c r="O310" s="14" t="inlineStr">
        <is>
          <t>pz</t>
        </is>
      </c>
      <c r="P310" s="15" t="n"/>
      <c r="Q310" s="13">
        <f>IFERROR(VLOOKUP($D310,LISTINO!$B:$I,6,FALSE),IFERROR(VLOOKUP($E310,LISTINO!$C:$I,5,FALSE),""))</f>
        <v/>
      </c>
      <c r="R310" s="13">
        <f>IF(AND(ISNUMBER(G310),ISNUMBER(Q310)),G310*Q310,"")</f>
        <v/>
      </c>
    </row>
    <row r="311">
      <c r="A311" t="inlineStr">
        <is>
          <t>kit quadri area</t>
        </is>
      </c>
      <c r="C311" s="14" t="n">
        <v>3</v>
      </c>
      <c r="D311" t="inlineStr">
        <is>
          <t>10BZM8X25</t>
        </is>
      </c>
      <c r="E311" t="inlineStr">
        <is>
          <t>Bullone testa esagonale zn M6X30</t>
        </is>
      </c>
      <c r="F311" t="inlineStr">
        <is>
          <t>Bulloneria e minuteria</t>
        </is>
      </c>
      <c r="G311" s="14" t="n">
        <v>2</v>
      </c>
      <c r="H311" s="14" t="n"/>
      <c r="I311" s="14" t="n"/>
      <c r="J311" s="14" t="n"/>
      <c r="K311" s="14" t="n"/>
      <c r="L311" s="14" t="n"/>
      <c r="M311" s="14" t="n"/>
      <c r="N311" s="14" t="n"/>
      <c r="O311" s="14" t="inlineStr">
        <is>
          <t>pz</t>
        </is>
      </c>
      <c r="P311" s="15" t="n"/>
      <c r="Q311" s="13">
        <f>IFERROR(VLOOKUP($D311,LISTINO!$B:$I,6,FALSE),IFERROR(VLOOKUP($E311,LISTINO!$C:$I,5,FALSE),""))</f>
        <v/>
      </c>
      <c r="R311" s="13">
        <f>IF(AND(ISNUMBER(G311),ISNUMBER(Q311)),G311*Q311,"")</f>
        <v/>
      </c>
    </row>
    <row r="312">
      <c r="A312" t="inlineStr">
        <is>
          <t>kit quadri area</t>
        </is>
      </c>
      <c r="C312" s="14" t="n">
        <v>4</v>
      </c>
      <c r="D312" t="inlineStr">
        <is>
          <t>10ROND8</t>
        </is>
      </c>
      <c r="E312" t="inlineStr">
        <is>
          <t>Rondella zn 6</t>
        </is>
      </c>
      <c r="F312" t="inlineStr">
        <is>
          <t>Bulloneria e minuteria</t>
        </is>
      </c>
      <c r="G312" s="14" t="n">
        <v>2</v>
      </c>
      <c r="H312" s="14" t="n"/>
      <c r="I312" s="14" t="n"/>
      <c r="J312" s="14" t="n"/>
      <c r="K312" s="14" t="n"/>
      <c r="L312" s="14" t="n"/>
      <c r="M312" s="14" t="n"/>
      <c r="N312" s="14" t="n"/>
      <c r="O312" s="14" t="inlineStr">
        <is>
          <t>pz</t>
        </is>
      </c>
      <c r="P312" s="15" t="n"/>
      <c r="Q312" s="13">
        <f>IFERROR(VLOOKUP($D312,LISTINO!$B:$I,6,FALSE),IFERROR(VLOOKUP($E312,LISTINO!$C:$I,5,FALSE),""))</f>
        <v/>
      </c>
      <c r="R312" s="13">
        <f>IF(AND(ISNUMBER(G312),ISNUMBER(Q312)),G312*Q312,"")</f>
        <v/>
      </c>
    </row>
    <row r="313">
      <c r="A313" t="inlineStr">
        <is>
          <t>kit quadri area</t>
        </is>
      </c>
      <c r="C313" s="14" t="n">
        <v>5</v>
      </c>
      <c r="D313" t="inlineStr">
        <is>
          <t>10ROND8</t>
        </is>
      </c>
      <c r="E313" t="inlineStr">
        <is>
          <t>Rondella zn 6</t>
        </is>
      </c>
      <c r="F313" t="inlineStr">
        <is>
          <t>Bulloneria e minuteria</t>
        </is>
      </c>
      <c r="G313" s="14" t="n">
        <v>2</v>
      </c>
      <c r="H313" s="14" t="n"/>
      <c r="I313" s="14" t="n"/>
      <c r="J313" s="14" t="n"/>
      <c r="K313" s="14" t="n"/>
      <c r="L313" s="14" t="n"/>
      <c r="M313" s="14" t="n"/>
      <c r="N313" s="14" t="n"/>
      <c r="O313" s="14" t="inlineStr">
        <is>
          <t>pz</t>
        </is>
      </c>
      <c r="P313" s="15" t="n"/>
      <c r="Q313" s="13">
        <f>IFERROR(VLOOKUP($D313,LISTINO!$B:$I,6,FALSE),IFERROR(VLOOKUP($E313,LISTINO!$C:$I,5,FALSE),""))</f>
        <v/>
      </c>
      <c r="R313" s="13">
        <f>IF(AND(ISNUMBER(G313),ISNUMBER(Q313)),G313*Q313,"")</f>
        <v/>
      </c>
    </row>
    <row r="314">
      <c r="A314" t="inlineStr">
        <is>
          <t>kit quadri area</t>
        </is>
      </c>
      <c r="C314" s="14" t="n">
        <v>6</v>
      </c>
      <c r="D314" t="inlineStr">
        <is>
          <t>10DAZAM8</t>
        </is>
      </c>
      <c r="E314" t="inlineStr">
        <is>
          <t>Dado M6 autobloccante</t>
        </is>
      </c>
      <c r="F314" t="inlineStr">
        <is>
          <t>Bulloneria e minuteria</t>
        </is>
      </c>
      <c r="G314" s="14" t="n">
        <v>2</v>
      </c>
      <c r="H314" s="14" t="n"/>
      <c r="I314" s="14" t="n"/>
      <c r="J314" s="14" t="n"/>
      <c r="K314" s="14" t="n"/>
      <c r="L314" s="14" t="n"/>
      <c r="M314" s="14" t="n"/>
      <c r="N314" s="14" t="n"/>
      <c r="O314" s="14" t="inlineStr">
        <is>
          <t>pz</t>
        </is>
      </c>
      <c r="P314" s="15" t="n"/>
      <c r="Q314" s="13">
        <f>IFERROR(VLOOKUP($D314,LISTINO!$B:$I,6,FALSE),IFERROR(VLOOKUP($E314,LISTINO!$C:$I,5,FALSE),""))</f>
        <v/>
      </c>
      <c r="R314" s="13">
        <f>IF(AND(ISNUMBER(G314),ISNUMBER(Q314)),G314*Q314,"")</f>
        <v/>
      </c>
    </row>
    <row r="315">
      <c r="A315" t="inlineStr">
        <is>
          <t>kit quadri area</t>
        </is>
      </c>
      <c r="C315" s="14" t="n">
        <v>7</v>
      </c>
      <c r="D315" t="inlineStr">
        <is>
          <t>10BZM8X25</t>
        </is>
      </c>
      <c r="E315" t="inlineStr">
        <is>
          <t>Bullone testa esagonale zn M6X30</t>
        </is>
      </c>
      <c r="F315" t="inlineStr">
        <is>
          <t>Bulloneria e minuteria</t>
        </is>
      </c>
      <c r="G315" s="14" t="n">
        <v>4</v>
      </c>
      <c r="H315" s="14" t="n"/>
      <c r="I315" s="14" t="n"/>
      <c r="J315" s="14" t="n"/>
      <c r="K315" s="14" t="n"/>
      <c r="L315" s="14" t="n"/>
      <c r="M315" s="14" t="n"/>
      <c r="N315" s="14" t="n"/>
      <c r="O315" s="14" t="inlineStr">
        <is>
          <t>pz</t>
        </is>
      </c>
      <c r="P315" s="15" t="n"/>
      <c r="Q315" s="13">
        <f>IFERROR(VLOOKUP($D315,LISTINO!$B:$I,6,FALSE),IFERROR(VLOOKUP($E315,LISTINO!$C:$I,5,FALSE),""))</f>
        <v/>
      </c>
      <c r="R315" s="13">
        <f>IF(AND(ISNUMBER(G315),ISNUMBER(Q315)),G315*Q315,"")</f>
        <v/>
      </c>
    </row>
    <row r="316">
      <c r="A316" t="inlineStr">
        <is>
          <t>kit quadri area</t>
        </is>
      </c>
      <c r="C316" s="14" t="n">
        <v>8</v>
      </c>
      <c r="D316" t="inlineStr">
        <is>
          <t>10ROND8</t>
        </is>
      </c>
      <c r="E316" t="inlineStr">
        <is>
          <t>Rondella zn 6</t>
        </is>
      </c>
      <c r="F316" t="inlineStr">
        <is>
          <t>Bulloneria e minuteria</t>
        </is>
      </c>
      <c r="G316" s="14" t="n">
        <v>2</v>
      </c>
      <c r="H316" s="14" t="n"/>
      <c r="I316" s="14" t="n"/>
      <c r="J316" s="14" t="n"/>
      <c r="K316" s="14" t="n"/>
      <c r="L316" s="14" t="n"/>
      <c r="M316" s="14" t="n"/>
      <c r="N316" s="14" t="n"/>
      <c r="O316" s="14" t="inlineStr">
        <is>
          <t>pz</t>
        </is>
      </c>
      <c r="P316" s="15" t="n"/>
      <c r="Q316" s="13">
        <f>IFERROR(VLOOKUP($D316,LISTINO!$B:$I,6,FALSE),IFERROR(VLOOKUP($E316,LISTINO!$C:$I,5,FALSE),""))</f>
        <v/>
      </c>
      <c r="R316" s="13">
        <f>IF(AND(ISNUMBER(G316),ISNUMBER(Q316)),G316*Q316,"")</f>
        <v/>
      </c>
    </row>
    <row r="317">
      <c r="A317" t="inlineStr">
        <is>
          <t>kit quadri area</t>
        </is>
      </c>
      <c r="C317" s="14" t="n">
        <v>9</v>
      </c>
      <c r="D317" t="inlineStr">
        <is>
          <t>10ROND8</t>
        </is>
      </c>
      <c r="E317" t="inlineStr">
        <is>
          <t>Rondella zn 6</t>
        </is>
      </c>
      <c r="F317" t="inlineStr">
        <is>
          <t>Bulloneria e minuteria</t>
        </is>
      </c>
      <c r="G317" s="14" t="n">
        <v>2</v>
      </c>
      <c r="H317" s="14" t="n"/>
      <c r="I317" s="14" t="n"/>
      <c r="J317" s="14" t="n"/>
      <c r="K317" s="14" t="n"/>
      <c r="L317" s="14" t="n"/>
      <c r="M317" s="14" t="n"/>
      <c r="N317" s="14" t="n"/>
      <c r="O317" s="14" t="inlineStr">
        <is>
          <t>pz</t>
        </is>
      </c>
      <c r="P317" s="15" t="n"/>
      <c r="Q317" s="13">
        <f>IFERROR(VLOOKUP($D317,LISTINO!$B:$I,6,FALSE),IFERROR(VLOOKUP($E317,LISTINO!$C:$I,5,FALSE),""))</f>
        <v/>
      </c>
      <c r="R317" s="13">
        <f>IF(AND(ISNUMBER(G317),ISNUMBER(Q317)),G317*Q317,"")</f>
        <v/>
      </c>
    </row>
    <row r="318">
      <c r="A318" t="inlineStr">
        <is>
          <t>kit quadri area</t>
        </is>
      </c>
      <c r="C318" s="14" t="n">
        <v>10</v>
      </c>
      <c r="D318" t="inlineStr">
        <is>
          <t>10DAZAM8</t>
        </is>
      </c>
      <c r="E318" t="inlineStr">
        <is>
          <t>Dado M6 autobloccante</t>
        </is>
      </c>
      <c r="F318" t="inlineStr">
        <is>
          <t>Bulloneria e minuteria</t>
        </is>
      </c>
      <c r="G318" s="14" t="n">
        <v>2</v>
      </c>
      <c r="H318" s="14" t="n"/>
      <c r="I318" s="14" t="n"/>
      <c r="J318" s="14" t="n"/>
      <c r="K318" s="14" t="n"/>
      <c r="L318" s="14" t="n"/>
      <c r="M318" s="14" t="n"/>
      <c r="N318" s="14" t="n"/>
      <c r="O318" s="14" t="inlineStr">
        <is>
          <t>pz</t>
        </is>
      </c>
      <c r="P318" s="15" t="n"/>
      <c r="Q318" s="13">
        <f>IFERROR(VLOOKUP($D318,LISTINO!$B:$I,6,FALSE),IFERROR(VLOOKUP($E318,LISTINO!$C:$I,5,FALSE),""))</f>
        <v/>
      </c>
      <c r="R318" s="13">
        <f>IF(AND(ISNUMBER(G318),ISNUMBER(Q318)),G318*Q318,"")</f>
        <v/>
      </c>
    </row>
    <row r="319">
      <c r="A319" t="inlineStr">
        <is>
          <t>kit quadri area</t>
        </is>
      </c>
      <c r="C319" s="14" t="n">
        <v>11</v>
      </c>
      <c r="D319" t="inlineStr">
        <is>
          <t>TTS.PC.3013</t>
        </is>
      </c>
      <c r="E319" t="inlineStr">
        <is>
          <t>Palo MAX lungo mt.2,150</t>
        </is>
      </c>
      <c r="F319" t="inlineStr">
        <is>
          <t>Carpenteria metallica</t>
        </is>
      </c>
      <c r="G319" s="14" t="n">
        <v>1</v>
      </c>
      <c r="H319" s="14" t="n"/>
      <c r="I319" s="14" t="n"/>
      <c r="J319" s="14" t="n"/>
      <c r="K319" s="14" t="n"/>
      <c r="L319" s="14" t="n"/>
      <c r="M319" s="14" t="n"/>
      <c r="N319" s="14" t="n"/>
      <c r="O319" s="14" t="inlineStr">
        <is>
          <t>pz</t>
        </is>
      </c>
      <c r="P319" s="15" t="n"/>
      <c r="Q319" s="13">
        <f>IFERROR(VLOOKUP($D319,LISTINO!$B:$I,6,FALSE),IFERROR(VLOOKUP($E319,LISTINO!$C:$I,5,FALSE),""))</f>
        <v/>
      </c>
      <c r="R319" s="13">
        <f>IF(AND(ISNUMBER(G319),ISNUMBER(Q319)),G319*Q319,"")</f>
        <v/>
      </c>
    </row>
    <row r="320">
      <c r="A320" t="inlineStr">
        <is>
          <t>kit quadri area</t>
        </is>
      </c>
      <c r="C320" s="14" t="n">
        <v>12</v>
      </c>
      <c r="D320" t="inlineStr">
        <is>
          <t>TTS.PC.001.IPE140.23.FQA</t>
        </is>
      </c>
      <c r="E320" t="inlineStr">
        <is>
          <t>Pilastro cuscinetto trave ipe140 x mt. 2,30 con foratura alloggiamento quadro area</t>
        </is>
      </c>
      <c r="F320" t="inlineStr">
        <is>
          <t>Carpenteria metallica</t>
        </is>
      </c>
      <c r="G320" s="14" t="n">
        <v>1</v>
      </c>
      <c r="H320" s="14" t="n"/>
      <c r="I320" s="14" t="n"/>
      <c r="J320" s="14" t="n"/>
      <c r="K320" s="14" t="n"/>
      <c r="L320" s="14" t="n"/>
      <c r="M320" s="14" t="n"/>
      <c r="N320" s="14" t="inlineStr">
        <is>
          <t>X</t>
        </is>
      </c>
      <c r="O320" s="14" t="inlineStr">
        <is>
          <t>pz</t>
        </is>
      </c>
      <c r="P320" s="15" t="n"/>
      <c r="Q320" s="13">
        <f>IFERROR(VLOOKUP($D320,LISTINO!$B:$I,6,FALSE),IFERROR(VLOOKUP($E320,LISTINO!$C:$I,5,FALSE),""))</f>
        <v/>
      </c>
      <c r="R320" s="13">
        <f>IF(AND(ISNUMBER(G320),ISNUMBER(Q320)),G320*Q320,"")</f>
        <v/>
      </c>
    </row>
    <row r="321">
      <c r="A321" t="inlineStr">
        <is>
          <t>kit quadri area</t>
        </is>
      </c>
      <c r="C321" s="14" t="n">
        <v>12</v>
      </c>
      <c r="D321" t="inlineStr">
        <is>
          <t>TTS.PC.001.IPEA140.23.FQA</t>
        </is>
      </c>
      <c r="E321" t="inlineStr">
        <is>
          <t>Pilastro cuscinetto trave ipea140 x mt. 2,30 con foratura alloggiamento quadro area (alleggerita)</t>
        </is>
      </c>
      <c r="F321" t="inlineStr">
        <is>
          <t>Carpenteria metallica</t>
        </is>
      </c>
      <c r="G321" s="14" t="n">
        <v>0</v>
      </c>
      <c r="H321" s="14" t="n"/>
      <c r="I321" s="14" t="n"/>
      <c r="J321" s="14" t="n"/>
      <c r="K321" s="14" t="n"/>
      <c r="L321" s="14" t="n"/>
      <c r="M321" s="14" t="n"/>
      <c r="N321" s="14" t="n"/>
      <c r="O321" s="14" t="inlineStr">
        <is>
          <t>pz</t>
        </is>
      </c>
      <c r="P321" s="15" t="n"/>
      <c r="Q321" s="13">
        <f>IFERROR(VLOOKUP($D321,LISTINO!$B:$I,6,FALSE),IFERROR(VLOOKUP($E321,LISTINO!$C:$I,5,FALSE),""))</f>
        <v/>
      </c>
      <c r="R321" s="13">
        <f>IF(AND(ISNUMBER(G321),ISNUMBER(Q321)),G321*Q321,"")</f>
        <v/>
      </c>
    </row>
    <row r="322">
      <c r="A322" t="inlineStr">
        <is>
          <t>kit quadri inverter</t>
        </is>
      </c>
      <c r="C322" s="14" t="n">
        <v>1</v>
      </c>
      <c r="D322" t="inlineStr">
        <is>
          <t>10BZM8X20</t>
        </is>
      </c>
      <c r="E322" t="inlineStr">
        <is>
          <t>Bullone testa esagonale zn M8X20</t>
        </is>
      </c>
      <c r="F322" t="inlineStr">
        <is>
          <t>Bulloneria e minuteria</t>
        </is>
      </c>
      <c r="G322" s="14" t="n">
        <v>2</v>
      </c>
      <c r="H322" s="14" t="n"/>
      <c r="I322" s="14" t="n"/>
      <c r="J322" s="14" t="n"/>
      <c r="K322" s="14" t="n"/>
      <c r="L322" s="14" t="n"/>
      <c r="M322" s="14" t="n"/>
      <c r="N322" s="14" t="n"/>
      <c r="O322" s="14" t="inlineStr">
        <is>
          <t>pz</t>
        </is>
      </c>
      <c r="P322" s="15" t="n"/>
      <c r="Q322" s="13">
        <f>IFERROR(VLOOKUP($D322,LISTINO!$B:$I,6,FALSE),IFERROR(VLOOKUP($E322,LISTINO!$C:$I,5,FALSE),""))</f>
        <v/>
      </c>
      <c r="R322" s="13">
        <f>IF(AND(ISNUMBER(G322),ISNUMBER(Q322)),G322*Q322,"")</f>
        <v/>
      </c>
    </row>
    <row r="323">
      <c r="A323" t="inlineStr">
        <is>
          <t>kit quadri inverter</t>
        </is>
      </c>
      <c r="C323" s="14" t="n">
        <v>2</v>
      </c>
      <c r="D323" t="inlineStr">
        <is>
          <t>10ROND8</t>
        </is>
      </c>
      <c r="E323" t="inlineStr">
        <is>
          <t>Rondella zn 8</t>
        </is>
      </c>
      <c r="F323" t="inlineStr">
        <is>
          <t>Bulloneria e minuteria</t>
        </is>
      </c>
      <c r="G323" s="14" t="n">
        <v>2</v>
      </c>
      <c r="H323" s="14" t="n"/>
      <c r="I323" s="14" t="n"/>
      <c r="J323" s="14" t="n"/>
      <c r="K323" s="14" t="n"/>
      <c r="L323" s="14" t="n"/>
      <c r="M323" s="14" t="n"/>
      <c r="N323" s="14" t="n"/>
      <c r="O323" s="14" t="inlineStr">
        <is>
          <t>pz</t>
        </is>
      </c>
      <c r="P323" s="15" t="n"/>
      <c r="Q323" s="13">
        <f>IFERROR(VLOOKUP($D323,LISTINO!$B:$I,6,FALSE),IFERROR(VLOOKUP($E323,LISTINO!$C:$I,5,FALSE),""))</f>
        <v/>
      </c>
      <c r="R323" s="13">
        <f>IF(AND(ISNUMBER(G323),ISNUMBER(Q323)),G323*Q323,"")</f>
        <v/>
      </c>
    </row>
    <row r="324">
      <c r="A324" t="inlineStr">
        <is>
          <t>kit quadri inverter</t>
        </is>
      </c>
      <c r="C324" s="14" t="n">
        <v>3</v>
      </c>
      <c r="D324" t="inlineStr">
        <is>
          <t>TTS.PC.2011.1076</t>
        </is>
      </c>
      <c r="E324" t="inlineStr">
        <is>
          <t>Angolare 40x40x4 lungo 1076 mm. supporto inferiore</t>
        </is>
      </c>
      <c r="F324" t="inlineStr">
        <is>
          <t>Carpenteria metallica</t>
        </is>
      </c>
      <c r="G324" s="14" t="n">
        <v>1</v>
      </c>
      <c r="H324" s="14" t="n"/>
      <c r="I324" s="14" t="n"/>
      <c r="J324" s="14" t="n"/>
      <c r="K324" s="14" t="n"/>
      <c r="L324" s="14" t="n"/>
      <c r="M324" s="14" t="n"/>
      <c r="N324" s="14" t="n"/>
      <c r="O324" s="14" t="inlineStr">
        <is>
          <t>pz</t>
        </is>
      </c>
      <c r="P324" s="15" t="n"/>
      <c r="Q324" s="13">
        <f>IFERROR(VLOOKUP($D324,LISTINO!$B:$I,6,FALSE),IFERROR(VLOOKUP($E324,LISTINO!$C:$I,5,FALSE),""))</f>
        <v/>
      </c>
      <c r="R324" s="13">
        <f>IF(AND(ISNUMBER(G324),ISNUMBER(Q324)),G324*Q324,"")</f>
        <v/>
      </c>
    </row>
    <row r="325">
      <c r="A325" t="inlineStr">
        <is>
          <t>kit quadri inverter</t>
        </is>
      </c>
      <c r="C325" s="14" t="n">
        <v>4</v>
      </c>
      <c r="D325" t="inlineStr">
        <is>
          <t>TTS.PC.2013</t>
        </is>
      </c>
      <c r="E325" t="inlineStr">
        <is>
          <t>Palo MAX lungo mt.2,040</t>
        </is>
      </c>
      <c r="F325" t="inlineStr">
        <is>
          <t>Carpenteria metallica</t>
        </is>
      </c>
      <c r="G325" s="14" t="n">
        <v>1</v>
      </c>
      <c r="H325" s="14" t="n"/>
      <c r="I325" s="14" t="n"/>
      <c r="J325" s="14" t="n"/>
      <c r="K325" s="14" t="n"/>
      <c r="L325" s="14" t="n"/>
      <c r="M325" s="14" t="n"/>
      <c r="N325" s="14" t="n"/>
      <c r="O325" s="14" t="inlineStr">
        <is>
          <t>pz</t>
        </is>
      </c>
      <c r="P325" s="15" t="n"/>
      <c r="Q325" s="13">
        <f>IFERROR(VLOOKUP($D325,LISTINO!$B:$I,6,FALSE),IFERROR(VLOOKUP($E325,LISTINO!$C:$I,5,FALSE),""))</f>
        <v/>
      </c>
      <c r="R325" s="13">
        <f>IF(AND(ISNUMBER(G325),ISNUMBER(Q325)),G325*Q325,"")</f>
        <v/>
      </c>
    </row>
    <row r="326">
      <c r="A326" t="inlineStr">
        <is>
          <t>kit quadri inverter</t>
        </is>
      </c>
      <c r="C326" s="14" t="n">
        <v>5</v>
      </c>
      <c r="D326" t="inlineStr">
        <is>
          <t>10ROND8</t>
        </is>
      </c>
      <c r="E326" t="inlineStr">
        <is>
          <t>Rondella zn 8</t>
        </is>
      </c>
      <c r="F326" t="inlineStr">
        <is>
          <t>Bulloneria e minuteria</t>
        </is>
      </c>
      <c r="G326" s="14" t="n">
        <v>2</v>
      </c>
      <c r="H326" s="14" t="n"/>
      <c r="I326" s="14" t="n"/>
      <c r="J326" s="14" t="n"/>
      <c r="K326" s="14" t="n"/>
      <c r="L326" s="14" t="n"/>
      <c r="M326" s="14" t="n"/>
      <c r="N326" s="14" t="n"/>
      <c r="O326" s="14" t="inlineStr">
        <is>
          <t>pz</t>
        </is>
      </c>
      <c r="P326" s="15" t="n"/>
      <c r="Q326" s="13">
        <f>IFERROR(VLOOKUP($D326,LISTINO!$B:$I,6,FALSE),IFERROR(VLOOKUP($E326,LISTINO!$C:$I,5,FALSE),""))</f>
        <v/>
      </c>
      <c r="R326" s="13">
        <f>IF(AND(ISNUMBER(G326),ISNUMBER(Q326)),G326*Q326,"")</f>
        <v/>
      </c>
    </row>
    <row r="327">
      <c r="A327" t="inlineStr">
        <is>
          <t>kit quadri inverter</t>
        </is>
      </c>
      <c r="C327" s="14" t="n">
        <v>6</v>
      </c>
      <c r="D327" t="inlineStr">
        <is>
          <t>10DAZAM8</t>
        </is>
      </c>
      <c r="E327" t="inlineStr">
        <is>
          <t>Dado M8 autobloccante</t>
        </is>
      </c>
      <c r="F327" t="inlineStr">
        <is>
          <t>Bulloneria e minuteria</t>
        </is>
      </c>
      <c r="G327" s="14" t="n">
        <v>2</v>
      </c>
      <c r="H327" s="14" t="n"/>
      <c r="I327" s="14" t="n"/>
      <c r="J327" s="14" t="n"/>
      <c r="K327" s="14" t="n"/>
      <c r="L327" s="14" t="n"/>
      <c r="M327" s="14" t="n"/>
      <c r="N327" s="14" t="n"/>
      <c r="O327" s="14" t="inlineStr">
        <is>
          <t>pz</t>
        </is>
      </c>
      <c r="P327" s="15" t="n"/>
      <c r="Q327" s="13">
        <f>IFERROR(VLOOKUP($D327,LISTINO!$B:$I,6,FALSE),IFERROR(VLOOKUP($E327,LISTINO!$C:$I,5,FALSE),""))</f>
        <v/>
      </c>
      <c r="R327" s="13">
        <f>IF(AND(ISNUMBER(G327),ISNUMBER(Q327)),G327*Q327,"")</f>
        <v/>
      </c>
    </row>
    <row r="328">
      <c r="A328" t="inlineStr">
        <is>
          <t>kit quadri inverter</t>
        </is>
      </c>
      <c r="C328" s="14" t="n">
        <v>7</v>
      </c>
      <c r="D328" t="inlineStr">
        <is>
          <t>10BZM8X30</t>
        </is>
      </c>
      <c r="E328" t="inlineStr">
        <is>
          <t>Bullone testa esagonale zn M8X30</t>
        </is>
      </c>
      <c r="F328" t="inlineStr">
        <is>
          <t>Bulloneria e minuteria</t>
        </is>
      </c>
      <c r="G328" s="14" t="n">
        <v>4</v>
      </c>
      <c r="H328" s="14" t="n"/>
      <c r="I328" s="14" t="n"/>
      <c r="J328" s="14" t="n"/>
      <c r="K328" s="14" t="n"/>
      <c r="L328" s="14" t="n"/>
      <c r="M328" s="14" t="n"/>
      <c r="N328" s="14" t="n"/>
      <c r="O328" s="14" t="inlineStr">
        <is>
          <t>pz</t>
        </is>
      </c>
      <c r="P328" s="15" t="n"/>
      <c r="Q328" s="13">
        <f>IFERROR(VLOOKUP($D328,LISTINO!$B:$I,6,FALSE),IFERROR(VLOOKUP($E328,LISTINO!$C:$I,5,FALSE),""))</f>
        <v/>
      </c>
      <c r="R328" s="13">
        <f>IF(AND(ISNUMBER(G328),ISNUMBER(Q328)),G328*Q328,"")</f>
        <v/>
      </c>
    </row>
    <row r="329">
      <c r="A329" t="inlineStr">
        <is>
          <t>kit quadri inverter</t>
        </is>
      </c>
      <c r="C329" s="14" t="n">
        <v>8</v>
      </c>
      <c r="D329" t="inlineStr">
        <is>
          <t>10ROND8</t>
        </is>
      </c>
      <c r="E329" t="inlineStr">
        <is>
          <t>Rondella zn 8</t>
        </is>
      </c>
      <c r="F329" t="inlineStr">
        <is>
          <t>Bulloneria e minuteria</t>
        </is>
      </c>
      <c r="G329" s="14" t="n">
        <v>4</v>
      </c>
      <c r="H329" s="14" t="n"/>
      <c r="I329" s="14" t="n"/>
      <c r="J329" s="14" t="n"/>
      <c r="K329" s="14" t="n"/>
      <c r="L329" s="14" t="n"/>
      <c r="M329" s="14" t="n"/>
      <c r="N329" s="14" t="n"/>
      <c r="O329" s="14" t="inlineStr">
        <is>
          <t>pz</t>
        </is>
      </c>
      <c r="P329" s="15" t="n"/>
      <c r="Q329" s="13">
        <f>IFERROR(VLOOKUP($D329,LISTINO!$B:$I,6,FALSE),IFERROR(VLOOKUP($E329,LISTINO!$C:$I,5,FALSE),""))</f>
        <v/>
      </c>
      <c r="R329" s="13">
        <f>IF(AND(ISNUMBER(G329),ISNUMBER(Q329)),G329*Q329,"")</f>
        <v/>
      </c>
    </row>
    <row r="330">
      <c r="A330" t="inlineStr">
        <is>
          <t>kit quadri inverter</t>
        </is>
      </c>
      <c r="C330" s="14" t="n">
        <v>9</v>
      </c>
      <c r="D330" t="inlineStr">
        <is>
          <t>TTS.PC.2012.1076</t>
        </is>
      </c>
      <c r="E330" t="inlineStr">
        <is>
          <t>Angolare 40x40x4 lungo1076 mm. supporto superiore</t>
        </is>
      </c>
      <c r="F330" t="inlineStr">
        <is>
          <t>Carpenteria metallica</t>
        </is>
      </c>
      <c r="G330" s="14" t="n">
        <v>1</v>
      </c>
      <c r="H330" s="14" t="n"/>
      <c r="I330" s="14" t="n"/>
      <c r="J330" s="14" t="n"/>
      <c r="K330" s="14" t="n"/>
      <c r="L330" s="14" t="n"/>
      <c r="M330" s="14" t="n"/>
      <c r="N330" s="14" t="n"/>
      <c r="O330" s="14" t="inlineStr">
        <is>
          <t>pz</t>
        </is>
      </c>
      <c r="P330" s="15" t="n"/>
      <c r="Q330" s="13">
        <f>IFERROR(VLOOKUP($D330,LISTINO!$B:$I,6,FALSE),IFERROR(VLOOKUP($E330,LISTINO!$C:$I,5,FALSE),""))</f>
        <v/>
      </c>
      <c r="R330" s="13">
        <f>IF(AND(ISNUMBER(G330),ISNUMBER(Q330)),G330*Q330,"")</f>
        <v/>
      </c>
    </row>
    <row r="331">
      <c r="A331" t="inlineStr">
        <is>
          <t>kit quadri inverter</t>
        </is>
      </c>
      <c r="C331" s="14" t="n">
        <v>10</v>
      </c>
      <c r="D331" t="inlineStr">
        <is>
          <t>TTS.PC.001.IPE140.23.FI</t>
        </is>
      </c>
      <c r="E331" t="inlineStr">
        <is>
          <t>Pilastro cuscinetto trave ipe140 x mt. 2,30 con foratura alloggiamento inverter</t>
        </is>
      </c>
      <c r="F331" t="inlineStr">
        <is>
          <t>Carpenteria metallica</t>
        </is>
      </c>
      <c r="G331" s="14" t="n">
        <v>1</v>
      </c>
      <c r="H331" s="14" t="n"/>
      <c r="I331" s="14" t="n"/>
      <c r="J331" s="14" t="n"/>
      <c r="K331" s="14" t="n"/>
      <c r="L331" s="14" t="n"/>
      <c r="M331" s="14" t="n"/>
      <c r="N331" s="14" t="n"/>
      <c r="O331" s="14" t="inlineStr">
        <is>
          <t>pz</t>
        </is>
      </c>
      <c r="P331" s="15" t="n"/>
      <c r="Q331" s="13">
        <f>IFERROR(VLOOKUP($D331,LISTINO!$B:$I,6,FALSE),IFERROR(VLOOKUP($E331,LISTINO!$C:$I,5,FALSE),""))</f>
        <v/>
      </c>
      <c r="R331" s="13">
        <f>IF(AND(ISNUMBER(G331),ISNUMBER(Q331)),G331*Q331,"")</f>
        <v/>
      </c>
    </row>
    <row r="332">
      <c r="A332" t="inlineStr">
        <is>
          <t>kit quadri inverter</t>
        </is>
      </c>
      <c r="C332" s="14" t="n">
        <v>10</v>
      </c>
      <c r="D332" t="inlineStr">
        <is>
          <t>TTS.PC.001.IPEA140.23.FI</t>
        </is>
      </c>
      <c r="E332" t="inlineStr">
        <is>
          <t>Pilastro cuscinetto trave ipea140 x mt. 2,30 con foratura alloggiamento inverter (alleggerita)</t>
        </is>
      </c>
      <c r="F332" t="inlineStr">
        <is>
          <t>Carpenteria metallica</t>
        </is>
      </c>
      <c r="G332" s="14" t="n">
        <v>0</v>
      </c>
      <c r="H332" s="14" t="n"/>
      <c r="I332" s="14" t="n"/>
      <c r="J332" s="14" t="n"/>
      <c r="K332" s="14" t="n"/>
      <c r="L332" s="14" t="n"/>
      <c r="M332" s="14" t="n"/>
      <c r="N332" s="14" t="n"/>
      <c r="O332" s="14" t="inlineStr">
        <is>
          <t>pz</t>
        </is>
      </c>
      <c r="P332" s="15" t="n"/>
      <c r="Q332" s="13">
        <f>IFERROR(VLOOKUP($D332,LISTINO!$B:$I,6,FALSE),IFERROR(VLOOKUP($E332,LISTINO!$C:$I,5,FALSE),""))</f>
        <v/>
      </c>
      <c r="R332" s="13">
        <f>IF(AND(ISNUMBER(G332),ISNUMBER(Q332)),G332*Q332,"")</f>
        <v/>
      </c>
    </row>
    <row r="333">
      <c r="A333" t="inlineStr">
        <is>
          <t>kit quadri inverter</t>
        </is>
      </c>
      <c r="C333" s="14" t="n">
        <v>11</v>
      </c>
      <c r="D333" t="inlineStr">
        <is>
          <t>10ROND8</t>
        </is>
      </c>
      <c r="E333" t="inlineStr">
        <is>
          <t>Rondella zn 8</t>
        </is>
      </c>
      <c r="F333" t="inlineStr">
        <is>
          <t>Bulloneria e minuteria</t>
        </is>
      </c>
      <c r="G333" s="14" t="n">
        <v>4</v>
      </c>
      <c r="H333" s="14" t="n"/>
      <c r="I333" s="14" t="n"/>
      <c r="J333" s="14" t="n"/>
      <c r="K333" s="14" t="n"/>
      <c r="L333" s="14" t="n"/>
      <c r="M333" s="14" t="n"/>
      <c r="N333" s="14" t="n"/>
      <c r="O333" s="14" t="inlineStr">
        <is>
          <t>pz</t>
        </is>
      </c>
      <c r="P333" s="15" t="n"/>
      <c r="Q333" s="13">
        <f>IFERROR(VLOOKUP($D333,LISTINO!$B:$I,6,FALSE),IFERROR(VLOOKUP($E333,LISTINO!$C:$I,5,FALSE),""))</f>
        <v/>
      </c>
      <c r="R333" s="13">
        <f>IF(AND(ISNUMBER(G333),ISNUMBER(Q333)),G333*Q333,"")</f>
        <v/>
      </c>
    </row>
    <row r="334">
      <c r="A334" t="inlineStr">
        <is>
          <t>kit quadri inverter</t>
        </is>
      </c>
      <c r="C334" s="14" t="n">
        <v>12</v>
      </c>
      <c r="D334" t="inlineStr">
        <is>
          <t>10DAZAM8</t>
        </is>
      </c>
      <c r="E334" t="inlineStr">
        <is>
          <t>Dado M8 autobloccante</t>
        </is>
      </c>
      <c r="F334" t="inlineStr">
        <is>
          <t>Bulloneria e minuteria</t>
        </is>
      </c>
      <c r="G334" s="14" t="n">
        <v>4</v>
      </c>
      <c r="H334" s="14" t="n"/>
      <c r="I334" s="14" t="n"/>
      <c r="J334" s="14" t="n"/>
      <c r="K334" s="14" t="n"/>
      <c r="L334" s="14" t="n"/>
      <c r="M334" s="14" t="n"/>
      <c r="N334" s="14" t="n"/>
      <c r="O334" s="14" t="inlineStr">
        <is>
          <t>pz</t>
        </is>
      </c>
      <c r="P334" s="15" t="n"/>
      <c r="Q334" s="13">
        <f>IFERROR(VLOOKUP($D334,LISTINO!$B:$I,6,FALSE),IFERROR(VLOOKUP($E334,LISTINO!$C:$I,5,FALSE),""))</f>
        <v/>
      </c>
      <c r="R334" s="13">
        <f>IF(AND(ISNUMBER(G334),ISNUMBER(Q334)),G334*Q334,"")</f>
        <v/>
      </c>
    </row>
    <row r="335">
      <c r="A335" t="inlineStr">
        <is>
          <t>sensori meteo</t>
        </is>
      </c>
      <c r="B335" t="inlineStr">
        <is>
          <t>sensori meteo, al solito da stabilire con peppe</t>
        </is>
      </c>
      <c r="C335" s="14" t="n">
        <v>1</v>
      </c>
      <c r="D335" t="inlineStr">
        <is>
          <t>TTS.SM.001</t>
        </is>
      </c>
      <c r="E335" t="inlineStr">
        <is>
          <t>Piatto 50X5X230 supporto sensori</t>
        </is>
      </c>
      <c r="F335" t="inlineStr">
        <is>
          <t>Carpenteria metallica</t>
        </is>
      </c>
      <c r="G335" s="14" t="n">
        <v>1</v>
      </c>
      <c r="H335" s="14" t="n"/>
      <c r="I335" s="14" t="n"/>
      <c r="J335" s="14" t="n"/>
      <c r="K335" s="14" t="n"/>
      <c r="L335" s="14" t="n"/>
      <c r="M335" s="14" t="n"/>
      <c r="N335" s="14" t="n"/>
      <c r="O335" s="14" t="inlineStr">
        <is>
          <t>pz</t>
        </is>
      </c>
      <c r="P335" s="15" t="n"/>
      <c r="Q335" s="13">
        <f>IFERROR(VLOOKUP($D335,LISTINO!$B:$I,6,FALSE),IFERROR(VLOOKUP($E335,LISTINO!$C:$I,5,FALSE),""))</f>
        <v/>
      </c>
      <c r="R335" s="13">
        <f>IF(AND(ISNUMBER(G335),ISNUMBER(Q335)),G335*Q335,"")</f>
        <v/>
      </c>
    </row>
    <row r="336">
      <c r="A336" t="inlineStr">
        <is>
          <t>sensori meteo</t>
        </is>
      </c>
      <c r="B336" t="inlineStr">
        <is>
          <t>sensori meteo, al solito da stabilire con peppe</t>
        </is>
      </c>
      <c r="C336" s="14" t="n">
        <v>2</v>
      </c>
      <c r="D336" t="inlineStr">
        <is>
          <t>15T-PIRANOMETRO</t>
        </is>
      </c>
      <c r="E336" t="inlineStr">
        <is>
          <t>Piranometro</t>
        </is>
      </c>
      <c r="F336" t="inlineStr">
        <is>
          <t>Sensoristica e strumentazione</t>
        </is>
      </c>
      <c r="G336" s="14" t="n">
        <v>1</v>
      </c>
      <c r="H336" s="14" t="n"/>
      <c r="I336" s="14" t="n"/>
      <c r="J336" s="14" t="n"/>
      <c r="K336" s="14" t="n"/>
      <c r="L336" s="14" t="n"/>
      <c r="M336" s="14" t="n"/>
      <c r="N336" s="14" t="n"/>
      <c r="O336" s="14" t="inlineStr">
        <is>
          <t>pz</t>
        </is>
      </c>
      <c r="P336" s="15" t="n"/>
      <c r="Q336" s="13">
        <f>IFERROR(VLOOKUP($D336,LISTINO!$B:$I,6,FALSE),IFERROR(VLOOKUP($E336,LISTINO!$C:$I,5,FALSE),""))</f>
        <v/>
      </c>
      <c r="R336" s="13">
        <f>IF(AND(ISNUMBER(G336),ISNUMBER(Q336)),G336*Q336,"")</f>
        <v/>
      </c>
    </row>
    <row r="337">
      <c r="A337" t="inlineStr">
        <is>
          <t>sensori meteo</t>
        </is>
      </c>
      <c r="B337" t="inlineStr">
        <is>
          <t>sensori meteo, al solito da stabilire con peppe</t>
        </is>
      </c>
      <c r="C337" s="14" t="n">
        <v>3</v>
      </c>
      <c r="D337" t="inlineStr">
        <is>
          <t>15T-TERMARIA</t>
        </is>
      </c>
      <c r="E337" t="inlineStr">
        <is>
          <t>Termometro Aria_ mSTA.l</t>
        </is>
      </c>
      <c r="F337" t="inlineStr">
        <is>
          <t>Sensoristica e strumentazione</t>
        </is>
      </c>
      <c r="G337" s="14" t="n">
        <v>1</v>
      </c>
      <c r="H337" s="14" t="n"/>
      <c r="I337" s="14" t="n"/>
      <c r="J337" s="14" t="n"/>
      <c r="K337" s="14" t="n"/>
      <c r="L337" s="14" t="n"/>
      <c r="M337" s="14" t="n"/>
      <c r="N337" s="14" t="n"/>
      <c r="O337" s="14" t="inlineStr">
        <is>
          <t>pz</t>
        </is>
      </c>
      <c r="P337" s="15" t="n"/>
      <c r="Q337" s="13">
        <f>IFERROR(VLOOKUP($D337,LISTINO!$B:$I,6,FALSE),IFERROR(VLOOKUP($E337,LISTINO!$C:$I,5,FALSE),""))</f>
        <v/>
      </c>
      <c r="R337" s="13">
        <f>IF(AND(ISNUMBER(G337),ISNUMBER(Q337)),G337*Q337,"")</f>
        <v/>
      </c>
    </row>
    <row r="338">
      <c r="A338" t="inlineStr">
        <is>
          <t>sensori meteo</t>
        </is>
      </c>
      <c r="B338" t="inlineStr">
        <is>
          <t>sensori meteo, al solito da stabilire con peppe</t>
        </is>
      </c>
      <c r="C338" s="14" t="n">
        <v>4</v>
      </c>
      <c r="D338" t="inlineStr">
        <is>
          <t>10ROND6</t>
        </is>
      </c>
      <c r="E338" t="inlineStr">
        <is>
          <t>Rondella zn 6</t>
        </is>
      </c>
      <c r="F338" t="inlineStr">
        <is>
          <t>Bulloneria e minuteria</t>
        </is>
      </c>
      <c r="G338" s="14" t="n">
        <v>2</v>
      </c>
      <c r="H338" s="14" t="n"/>
      <c r="I338" s="14" t="n"/>
      <c r="J338" s="14" t="n"/>
      <c r="K338" s="14" t="n"/>
      <c r="L338" s="14" t="n"/>
      <c r="M338" s="14" t="n"/>
      <c r="N338" s="14" t="n"/>
      <c r="O338" s="14" t="inlineStr">
        <is>
          <t>pz</t>
        </is>
      </c>
      <c r="P338" s="15" t="n"/>
      <c r="Q338" s="13">
        <f>IFERROR(VLOOKUP($D338,LISTINO!$B:$I,6,FALSE),IFERROR(VLOOKUP($E338,LISTINO!$C:$I,5,FALSE),""))</f>
        <v/>
      </c>
      <c r="R338" s="13">
        <f>IF(AND(ISNUMBER(G338),ISNUMBER(Q338)),G338*Q338,"")</f>
        <v/>
      </c>
    </row>
    <row r="339">
      <c r="A339" t="inlineStr">
        <is>
          <t>sensori meteo</t>
        </is>
      </c>
      <c r="B339" t="inlineStr">
        <is>
          <t>sensori meteo, al solito da stabilire con peppe</t>
        </is>
      </c>
      <c r="C339" s="14" t="n">
        <v>5</v>
      </c>
      <c r="D339" t="inlineStr">
        <is>
          <t>10BZM6X30</t>
        </is>
      </c>
      <c r="E339" t="inlineStr">
        <is>
          <t>Bullone testa esagonale zn M6X30</t>
        </is>
      </c>
      <c r="F339" t="inlineStr">
        <is>
          <t>Bulloneria e minuteria</t>
        </is>
      </c>
      <c r="G339" s="14" t="n">
        <v>2</v>
      </c>
      <c r="H339" s="14" t="n"/>
      <c r="I339" s="14" t="n"/>
      <c r="J339" s="14" t="n"/>
      <c r="K339" s="14" t="n"/>
      <c r="L339" s="14" t="n"/>
      <c r="M339" s="14" t="n"/>
      <c r="N339" s="14" t="n"/>
      <c r="O339" s="14" t="inlineStr">
        <is>
          <t>pz</t>
        </is>
      </c>
      <c r="P339" s="15" t="n"/>
      <c r="Q339" s="13">
        <f>IFERROR(VLOOKUP($D339,LISTINO!$B:$I,6,FALSE),IFERROR(VLOOKUP($E339,LISTINO!$C:$I,5,FALSE),""))</f>
        <v/>
      </c>
      <c r="R339" s="13">
        <f>IF(AND(ISNUMBER(G339),ISNUMBER(Q339)),G339*Q339,"")</f>
        <v/>
      </c>
    </row>
    <row r="340">
      <c r="A340" t="inlineStr">
        <is>
          <t>sensori meteo</t>
        </is>
      </c>
      <c r="B340" t="inlineStr">
        <is>
          <t>sensori meteo, al solito da stabilire con peppe</t>
        </is>
      </c>
      <c r="C340" s="14" t="n">
        <v>4</v>
      </c>
      <c r="D340" t="inlineStr">
        <is>
          <t>10ROND6</t>
        </is>
      </c>
      <c r="E340" t="inlineStr">
        <is>
          <t>Rondella zn 6</t>
        </is>
      </c>
      <c r="F340" t="inlineStr">
        <is>
          <t>Bulloneria e minuteria</t>
        </is>
      </c>
      <c r="G340" s="14" t="n">
        <v>2</v>
      </c>
      <c r="H340" s="14" t="n"/>
      <c r="I340" s="14" t="n"/>
      <c r="J340" s="14" t="n"/>
      <c r="K340" s="14" t="n"/>
      <c r="L340" s="14" t="n"/>
      <c r="M340" s="14" t="n"/>
      <c r="N340" s="14" t="n"/>
      <c r="O340" s="14" t="inlineStr">
        <is>
          <t>pz</t>
        </is>
      </c>
      <c r="P340" s="15" t="n"/>
      <c r="Q340" s="13">
        <f>IFERROR(VLOOKUP($D340,LISTINO!$B:$I,6,FALSE),IFERROR(VLOOKUP($E340,LISTINO!$C:$I,5,FALSE),""))</f>
        <v/>
      </c>
      <c r="R340" s="13">
        <f>IF(AND(ISNUMBER(G340),ISNUMBER(Q340)),G340*Q340,"")</f>
        <v/>
      </c>
    </row>
    <row r="341">
      <c r="A341" t="inlineStr">
        <is>
          <t>sensori meteo</t>
        </is>
      </c>
      <c r="B341" t="inlineStr">
        <is>
          <t>sensori meteo, al solito da stabilire con peppe</t>
        </is>
      </c>
      <c r="C341" s="14" t="n">
        <v>6</v>
      </c>
      <c r="D341" t="inlineStr">
        <is>
          <t>10DAZAM6</t>
        </is>
      </c>
      <c r="E341" t="inlineStr">
        <is>
          <t>Dado M6 autobloccante</t>
        </is>
      </c>
      <c r="F341" t="inlineStr">
        <is>
          <t>Bulloneria e minuteria</t>
        </is>
      </c>
      <c r="G341" s="14" t="n">
        <v>2</v>
      </c>
      <c r="H341" s="14" t="n"/>
      <c r="I341" s="14" t="n"/>
      <c r="J341" s="14" t="n"/>
      <c r="K341" s="14" t="n"/>
      <c r="L341" s="14" t="n"/>
      <c r="M341" s="14" t="n"/>
      <c r="N341" s="14" t="n"/>
      <c r="O341" s="14" t="inlineStr">
        <is>
          <t>pz</t>
        </is>
      </c>
      <c r="P341" s="15" t="n"/>
      <c r="Q341" s="13">
        <f>IFERROR(VLOOKUP($D341,LISTINO!$B:$I,6,FALSE),IFERROR(VLOOKUP($E341,LISTINO!$C:$I,5,FALSE),""))</f>
        <v/>
      </c>
      <c r="R341" s="13">
        <f>IF(AND(ISNUMBER(G341),ISNUMBER(Q341)),G341*Q341,"")</f>
        <v/>
      </c>
    </row>
    <row r="342">
      <c r="A342" t="inlineStr">
        <is>
          <t>sensori meteo</t>
        </is>
      </c>
      <c r="B342" t="inlineStr">
        <is>
          <t>kit sensore temperatura pannello</t>
        </is>
      </c>
      <c r="C342" s="14" t="n">
        <v>1</v>
      </c>
      <c r="D342" t="inlineStr">
        <is>
          <t>15T-TERMCONTP10</t>
        </is>
      </c>
      <c r="E342" t="inlineStr">
        <is>
          <t>Termometro a contatto P100_STC-i</t>
        </is>
      </c>
      <c r="F342" t="inlineStr">
        <is>
          <t>Sensoristica e strumentazione</t>
        </is>
      </c>
      <c r="G342" s="14" t="n">
        <v>1</v>
      </c>
      <c r="H342" s="14" t="n"/>
      <c r="I342" s="14" t="n"/>
      <c r="J342" s="14" t="n"/>
      <c r="K342" s="14" t="n"/>
      <c r="L342" s="14" t="n"/>
      <c r="M342" s="14" t="n"/>
      <c r="N342" s="14" t="n"/>
      <c r="O342" s="14" t="inlineStr">
        <is>
          <t>pz</t>
        </is>
      </c>
      <c r="P342" s="15" t="n"/>
      <c r="Q342" s="13">
        <f>IFERROR(VLOOKUP($D342,LISTINO!$B:$I,6,FALSE),IFERROR(VLOOKUP($E342,LISTINO!$C:$I,5,FALSE),""))</f>
        <v/>
      </c>
      <c r="R342" s="13">
        <f>IF(AND(ISNUMBER(G342),ISNUMBER(Q342)),G342*Q342,"")</f>
        <v/>
      </c>
    </row>
    <row r="343">
      <c r="A343" t="inlineStr">
        <is>
          <t>sensori meteo</t>
        </is>
      </c>
      <c r="B343" t="inlineStr">
        <is>
          <t>kit sensore temperatura pannello</t>
        </is>
      </c>
      <c r="C343" s="14" t="n">
        <v>2</v>
      </c>
      <c r="E343" t="inlineStr">
        <is>
          <t>Pannello fotovoltaico</t>
        </is>
      </c>
      <c r="F343" t="inlineStr">
        <is>
          <t>Moduli fotovoltaici</t>
        </is>
      </c>
      <c r="G343" s="14" t="n"/>
      <c r="H343" s="14" t="n"/>
      <c r="I343" s="14" t="n"/>
      <c r="J343" s="14" t="n"/>
      <c r="K343" s="14" t="n"/>
      <c r="L343" s="14" t="n"/>
      <c r="M343" s="14" t="n"/>
      <c r="N343" s="14" t="n"/>
      <c r="O343" s="14" t="inlineStr">
        <is>
          <t>pz</t>
        </is>
      </c>
      <c r="P343" s="15" t="n"/>
      <c r="Q343" s="13">
        <f>IFERROR(VLOOKUP($D343,LISTINO!$B:$I,6,FALSE),IFERROR(VLOOKUP($E343,LISTINO!$C:$I,5,FALSE),""))</f>
        <v/>
      </c>
      <c r="R343" s="13">
        <f>IF(AND(ISNUMBER(G343),ISNUMBER(Q343)),G343*Q343,"")</f>
        <v/>
      </c>
    </row>
    <row r="344">
      <c r="A344" t="inlineStr">
        <is>
          <t>sensori meteo</t>
        </is>
      </c>
      <c r="B344" t="inlineStr">
        <is>
          <t>kit sensore temperatura pannello</t>
        </is>
      </c>
      <c r="C344" s="14" t="n">
        <v>3</v>
      </c>
      <c r="D344" t="inlineStr">
        <is>
          <t>TTS.SM.002</t>
        </is>
      </c>
      <c r="E344" t="inlineStr">
        <is>
          <t>Piatto 30X3X193 leva sensore temperatura pannello</t>
        </is>
      </c>
      <c r="F344" t="inlineStr">
        <is>
          <t>Carpenteria metallica</t>
        </is>
      </c>
      <c r="G344" s="14" t="n">
        <v>1</v>
      </c>
      <c r="H344" s="14" t="n"/>
      <c r="I344" s="14" t="n"/>
      <c r="J344" s="14" t="n"/>
      <c r="K344" s="14" t="n"/>
      <c r="L344" s="14" t="n"/>
      <c r="M344" s="14" t="n"/>
      <c r="N344" s="14" t="n"/>
      <c r="O344" s="14" t="inlineStr">
        <is>
          <t>pz</t>
        </is>
      </c>
      <c r="P344" s="15" t="n"/>
      <c r="Q344" s="13">
        <f>IFERROR(VLOOKUP($D344,LISTINO!$B:$I,6,FALSE),IFERROR(VLOOKUP($E344,LISTINO!$C:$I,5,FALSE),""))</f>
        <v/>
      </c>
      <c r="R344" s="13">
        <f>IF(AND(ISNUMBER(G344),ISNUMBER(Q344)),G344*Q344,"")</f>
        <v/>
      </c>
    </row>
    <row r="345">
      <c r="A345" t="inlineStr">
        <is>
          <t>sensori meteo</t>
        </is>
      </c>
      <c r="B345" t="inlineStr">
        <is>
          <t>kit sensore temperatura pannello</t>
        </is>
      </c>
      <c r="C345" s="14" t="n">
        <v>4</v>
      </c>
      <c r="E345" t="inlineStr">
        <is>
          <t>Omega alloggiamento kit sensore termometro a contatto</t>
        </is>
      </c>
      <c r="F345" t="inlineStr">
        <is>
          <t>Carpenteria metallica</t>
        </is>
      </c>
      <c r="G345" s="14" t="n">
        <v>1</v>
      </c>
      <c r="H345" s="14" t="n"/>
      <c r="I345" s="14" t="n"/>
      <c r="J345" s="14" t="n"/>
      <c r="K345" s="14" t="n"/>
      <c r="L345" s="14" t="n"/>
      <c r="M345" s="14" t="n"/>
      <c r="N345" s="14" t="n"/>
      <c r="O345" s="14" t="inlineStr">
        <is>
          <t>pz</t>
        </is>
      </c>
      <c r="P345" s="15" t="n"/>
      <c r="Q345" s="13">
        <f>IFERROR(VLOOKUP($D345,LISTINO!$B:$I,6,FALSE),IFERROR(VLOOKUP($E345,LISTINO!$C:$I,5,FALSE),""))</f>
        <v/>
      </c>
      <c r="R345" s="13">
        <f>IF(AND(ISNUMBER(G345),ISNUMBER(Q345)),G345*Q345,"")</f>
        <v/>
      </c>
    </row>
    <row r="346">
      <c r="A346" t="inlineStr">
        <is>
          <t>sensori meteo</t>
        </is>
      </c>
      <c r="B346" t="inlineStr">
        <is>
          <t>kit sensore temperatura pannello</t>
        </is>
      </c>
      <c r="C346" s="14" t="n">
        <v>5</v>
      </c>
      <c r="D346" t="inlineStr">
        <is>
          <t>10ROND5</t>
        </is>
      </c>
      <c r="E346" t="inlineStr">
        <is>
          <t>Rondella ZN da 5</t>
        </is>
      </c>
      <c r="F346" t="inlineStr">
        <is>
          <t>Bulloneria e minuteria</t>
        </is>
      </c>
      <c r="G346" s="14" t="n">
        <v>2</v>
      </c>
      <c r="H346" s="14" t="n"/>
      <c r="I346" s="14" t="n"/>
      <c r="J346" s="14" t="n"/>
      <c r="K346" s="14" t="n"/>
      <c r="L346" s="14" t="n"/>
      <c r="M346" s="14" t="n"/>
      <c r="N346" s="14" t="n"/>
      <c r="O346" s="14" t="inlineStr">
        <is>
          <t>pz</t>
        </is>
      </c>
      <c r="P346" s="15" t="n"/>
      <c r="Q346" s="13">
        <f>IFERROR(VLOOKUP($D346,LISTINO!$B:$I,6,FALSE),IFERROR(VLOOKUP($E346,LISTINO!$C:$I,5,FALSE),""))</f>
        <v/>
      </c>
      <c r="R346" s="13">
        <f>IF(AND(ISNUMBER(G346),ISNUMBER(Q346)),G346*Q346,"")</f>
        <v/>
      </c>
    </row>
    <row r="347">
      <c r="A347" t="inlineStr">
        <is>
          <t>sensori meteo</t>
        </is>
      </c>
      <c r="B347" t="inlineStr">
        <is>
          <t>kit sensore temperatura pannello</t>
        </is>
      </c>
      <c r="C347" s="14" t="n">
        <v>6</v>
      </c>
      <c r="D347" t="inlineStr">
        <is>
          <t>10BZM5X20</t>
        </is>
      </c>
      <c r="E347" t="inlineStr">
        <is>
          <t>Bullone testa esagonale zn M5x20</t>
        </is>
      </c>
      <c r="F347" t="inlineStr">
        <is>
          <t>Bulloneria e minuteria</t>
        </is>
      </c>
      <c r="G347" s="14" t="n">
        <v>2</v>
      </c>
      <c r="H347" s="14" t="n"/>
      <c r="I347" s="14" t="n"/>
      <c r="J347" s="14" t="n"/>
      <c r="K347" s="14" t="n"/>
      <c r="L347" s="14" t="n"/>
      <c r="M347" s="14" t="n"/>
      <c r="N347" s="14" t="n"/>
      <c r="O347" s="14" t="inlineStr">
        <is>
          <t>pz</t>
        </is>
      </c>
      <c r="P347" s="15" t="n"/>
      <c r="Q347" s="13">
        <f>IFERROR(VLOOKUP($D347,LISTINO!$B:$I,6,FALSE),IFERROR(VLOOKUP($E347,LISTINO!$C:$I,5,FALSE),""))</f>
        <v/>
      </c>
      <c r="R347" s="13">
        <f>IF(AND(ISNUMBER(G347),ISNUMBER(Q347)),G347*Q347,"")</f>
        <v/>
      </c>
    </row>
    <row r="348">
      <c r="A348" t="inlineStr">
        <is>
          <t>sensori meteo</t>
        </is>
      </c>
      <c r="B348" t="inlineStr">
        <is>
          <t>kit sensore temperatura pannello</t>
        </is>
      </c>
      <c r="C348" s="14" t="n">
        <v>7</v>
      </c>
      <c r="D348" t="inlineStr">
        <is>
          <t>10ROND5</t>
        </is>
      </c>
      <c r="E348" t="inlineStr">
        <is>
          <t>Rondella ZN da 5</t>
        </is>
      </c>
      <c r="F348" t="inlineStr">
        <is>
          <t>Bulloneria e minuteria</t>
        </is>
      </c>
      <c r="G348" s="14" t="n">
        <v>2</v>
      </c>
      <c r="H348" s="14" t="n"/>
      <c r="I348" s="14" t="n"/>
      <c r="J348" s="14" t="n"/>
      <c r="K348" s="14" t="n"/>
      <c r="L348" s="14" t="n"/>
      <c r="M348" s="14" t="n"/>
      <c r="N348" s="14" t="n"/>
      <c r="O348" s="14" t="inlineStr">
        <is>
          <t>pz</t>
        </is>
      </c>
      <c r="P348" s="15" t="n"/>
      <c r="Q348" s="13">
        <f>IFERROR(VLOOKUP($D348,LISTINO!$B:$I,6,FALSE),IFERROR(VLOOKUP($E348,LISTINO!$C:$I,5,FALSE),""))</f>
        <v/>
      </c>
      <c r="R348" s="13">
        <f>IF(AND(ISNUMBER(G348),ISNUMBER(Q348)),G348*Q348,"")</f>
        <v/>
      </c>
    </row>
    <row r="349">
      <c r="A349" t="inlineStr">
        <is>
          <t>sensori meteo</t>
        </is>
      </c>
      <c r="B349" t="inlineStr">
        <is>
          <t>kit sensore temperatura pannello</t>
        </is>
      </c>
      <c r="C349" s="14" t="n">
        <v>8</v>
      </c>
      <c r="D349" t="inlineStr">
        <is>
          <t>10DAZAM5</t>
        </is>
      </c>
      <c r="E349" t="inlineStr">
        <is>
          <t>Dado zincato autobloc. M5</t>
        </is>
      </c>
      <c r="F349" t="inlineStr">
        <is>
          <t>Bulloneria e minuteria</t>
        </is>
      </c>
      <c r="G349" s="14" t="n">
        <v>2</v>
      </c>
      <c r="H349" s="14" t="n"/>
      <c r="I349" s="14" t="n"/>
      <c r="J349" s="14" t="n"/>
      <c r="K349" s="14" t="n"/>
      <c r="L349" s="14" t="n"/>
      <c r="M349" s="14" t="n"/>
      <c r="N349" s="14" t="n"/>
      <c r="O349" s="14" t="inlineStr">
        <is>
          <t>pz</t>
        </is>
      </c>
      <c r="P349" s="15" t="n"/>
      <c r="Q349" s="13">
        <f>IFERROR(VLOOKUP($D349,LISTINO!$B:$I,6,FALSE),IFERROR(VLOOKUP($E349,LISTINO!$C:$I,5,FALSE),""))</f>
        <v/>
      </c>
      <c r="R349" s="13">
        <f>IF(AND(ISNUMBER(G349),ISNUMBER(Q349)),G349*Q349,"")</f>
        <v/>
      </c>
    </row>
    <row r="350">
      <c r="A350" t="inlineStr">
        <is>
          <t>sensori meteo</t>
        </is>
      </c>
      <c r="B350" t="inlineStr">
        <is>
          <t>kit sensore temperatura pannello</t>
        </is>
      </c>
      <c r="C350" s="14" t="n">
        <v>9</v>
      </c>
      <c r="D350" t="inlineStr">
        <is>
          <t>10BZM5X20</t>
        </is>
      </c>
      <c r="E350" t="inlineStr">
        <is>
          <t>Bullone testa esagonale zn M5x20</t>
        </is>
      </c>
      <c r="F350" t="inlineStr">
        <is>
          <t>Bulloneria e minuteria</t>
        </is>
      </c>
      <c r="G350" s="14" t="n">
        <v>1</v>
      </c>
      <c r="H350" s="14" t="n"/>
      <c r="I350" s="14" t="n"/>
      <c r="J350" s="14" t="n"/>
      <c r="K350" s="14" t="n"/>
      <c r="L350" s="14" t="n"/>
      <c r="M350" s="14" t="n"/>
      <c r="N350" s="14" t="n"/>
      <c r="O350" s="14" t="inlineStr">
        <is>
          <t>pz</t>
        </is>
      </c>
      <c r="P350" s="15" t="n"/>
      <c r="Q350" s="13">
        <f>IFERROR(VLOOKUP($D350,LISTINO!$B:$I,6,FALSE),IFERROR(VLOOKUP($E350,LISTINO!$C:$I,5,FALSE),""))</f>
        <v/>
      </c>
      <c r="R350" s="13">
        <f>IF(AND(ISNUMBER(G350),ISNUMBER(Q350)),G350*Q350,"")</f>
        <v/>
      </c>
    </row>
    <row r="351">
      <c r="A351" t="inlineStr">
        <is>
          <t>sensori meteo</t>
        </is>
      </c>
      <c r="B351" t="inlineStr">
        <is>
          <t>kit sensore temperatura pannello</t>
        </is>
      </c>
      <c r="C351" s="14" t="n">
        <v>10</v>
      </c>
      <c r="D351" t="inlineStr">
        <is>
          <t>10DAZAM5</t>
        </is>
      </c>
      <c r="E351" t="inlineStr">
        <is>
          <t>Dado zincato autobloc. M5</t>
        </is>
      </c>
      <c r="F351" t="inlineStr">
        <is>
          <t>Bulloneria e minuteria</t>
        </is>
      </c>
      <c r="G351" s="14" t="n">
        <v>1</v>
      </c>
      <c r="H351" s="14" t="n"/>
      <c r="I351" s="14" t="n"/>
      <c r="J351" s="14" t="n"/>
      <c r="K351" s="14" t="n"/>
      <c r="L351" s="14" t="n"/>
      <c r="M351" s="14" t="n"/>
      <c r="N351" s="14" t="n"/>
      <c r="O351" s="14" t="inlineStr">
        <is>
          <t>pz</t>
        </is>
      </c>
      <c r="P351" s="15" t="n"/>
      <c r="Q351" s="13">
        <f>IFERROR(VLOOKUP($D351,LISTINO!$B:$I,6,FALSE),IFERROR(VLOOKUP($E351,LISTINO!$C:$I,5,FALSE),""))</f>
        <v/>
      </c>
      <c r="R351" s="13">
        <f>IF(AND(ISNUMBER(G351),ISNUMBER(Q351)),G351*Q351,"")</f>
        <v/>
      </c>
    </row>
    <row r="352">
      <c r="A352" t="inlineStr">
        <is>
          <t>sensori meteo</t>
        </is>
      </c>
      <c r="B352" t="inlineStr">
        <is>
          <t>kit sensore temperatura pannello</t>
        </is>
      </c>
      <c r="C352" s="14" t="n">
        <v>11</v>
      </c>
      <c r="D352" t="inlineStr">
        <is>
          <t>10ROND5</t>
        </is>
      </c>
      <c r="E352" t="inlineStr">
        <is>
          <t>Rondella ZN da 5</t>
        </is>
      </c>
      <c r="F352" t="inlineStr">
        <is>
          <t>Bulloneria e minuteria</t>
        </is>
      </c>
      <c r="G352" s="14" t="n">
        <v>2</v>
      </c>
      <c r="H352" s="14" t="n"/>
      <c r="I352" s="14" t="n"/>
      <c r="J352" s="14" t="n"/>
      <c r="K352" s="14" t="n"/>
      <c r="L352" s="14" t="n"/>
      <c r="M352" s="14" t="n"/>
      <c r="N352" s="14" t="n"/>
      <c r="O352" s="14" t="inlineStr">
        <is>
          <t>pz</t>
        </is>
      </c>
      <c r="P352" s="15" t="n"/>
      <c r="Q352" s="13">
        <f>IFERROR(VLOOKUP($D352,LISTINO!$B:$I,6,FALSE),IFERROR(VLOOKUP($E352,LISTINO!$C:$I,5,FALSE),""))</f>
        <v/>
      </c>
      <c r="R352" s="13">
        <f>IF(AND(ISNUMBER(G352),ISNUMBER(Q352)),G352*Q352,"")</f>
        <v/>
      </c>
    </row>
    <row r="353">
      <c r="A353" t="inlineStr">
        <is>
          <t>sensori meteo</t>
        </is>
      </c>
      <c r="B353" t="inlineStr">
        <is>
          <t>kit sensore temperatura pannello</t>
        </is>
      </c>
      <c r="C353" s="14" t="n">
        <v>12</v>
      </c>
      <c r="D353" t="inlineStr">
        <is>
          <t>10BZM5X20</t>
        </is>
      </c>
      <c r="E353" t="inlineStr">
        <is>
          <t>Bullone testa esagonale zn M5x20</t>
        </is>
      </c>
      <c r="F353" t="inlineStr">
        <is>
          <t>Bulloneria e minuteria</t>
        </is>
      </c>
      <c r="G353" s="14" t="n">
        <v>2</v>
      </c>
      <c r="H353" s="14" t="n"/>
      <c r="I353" s="14" t="n"/>
      <c r="J353" s="14" t="n"/>
      <c r="K353" s="14" t="n"/>
      <c r="L353" s="14" t="n"/>
      <c r="M353" s="14" t="n"/>
      <c r="N353" s="14" t="n"/>
      <c r="O353" s="14" t="inlineStr">
        <is>
          <t>pz</t>
        </is>
      </c>
      <c r="P353" s="15" t="n"/>
      <c r="Q353" s="13">
        <f>IFERROR(VLOOKUP($D353,LISTINO!$B:$I,6,FALSE),IFERROR(VLOOKUP($E353,LISTINO!$C:$I,5,FALSE),""))</f>
        <v/>
      </c>
      <c r="R353" s="13">
        <f>IF(AND(ISNUMBER(G353),ISNUMBER(Q353)),G353*Q353,"")</f>
        <v/>
      </c>
    </row>
    <row r="354">
      <c r="A354" t="inlineStr">
        <is>
          <t>sensori meteo</t>
        </is>
      </c>
      <c r="B354" t="inlineStr">
        <is>
          <t>kit sensore temperatura pannello</t>
        </is>
      </c>
      <c r="C354" s="14" t="n">
        <v>13</v>
      </c>
      <c r="D354" t="inlineStr">
        <is>
          <t>10ROND5</t>
        </is>
      </c>
      <c r="E354" t="inlineStr">
        <is>
          <t>Rondella ZN da 5</t>
        </is>
      </c>
      <c r="F354" t="inlineStr">
        <is>
          <t>Bulloneria e minuteria</t>
        </is>
      </c>
      <c r="G354" s="14" t="n">
        <v>2</v>
      </c>
      <c r="H354" s="14" t="n"/>
      <c r="I354" s="14" t="n"/>
      <c r="J354" s="14" t="n"/>
      <c r="K354" s="14" t="n"/>
      <c r="L354" s="14" t="n"/>
      <c r="M354" s="14" t="n"/>
      <c r="N354" s="14" t="n"/>
      <c r="O354" s="14" t="inlineStr">
        <is>
          <t>pz</t>
        </is>
      </c>
      <c r="P354" s="15" t="n"/>
      <c r="Q354" s="13">
        <f>IFERROR(VLOOKUP($D354,LISTINO!$B:$I,6,FALSE),IFERROR(VLOOKUP($E354,LISTINO!$C:$I,5,FALSE),""))</f>
        <v/>
      </c>
      <c r="R354" s="13">
        <f>IF(AND(ISNUMBER(G354),ISNUMBER(Q354)),G354*Q354,"")</f>
        <v/>
      </c>
    </row>
    <row r="355">
      <c r="A355" t="inlineStr">
        <is>
          <t>sensori meteo</t>
        </is>
      </c>
      <c r="B355" t="inlineStr">
        <is>
          <t>kit sensore temperatura pannello</t>
        </is>
      </c>
      <c r="C355" s="14" t="n">
        <v>14</v>
      </c>
      <c r="D355" t="inlineStr">
        <is>
          <t>10DAZAM5</t>
        </is>
      </c>
      <c r="E355" t="inlineStr">
        <is>
          <t>Dado zincato autobloc. M5</t>
        </is>
      </c>
      <c r="F355" t="inlineStr">
        <is>
          <t>Bulloneria e minuteria</t>
        </is>
      </c>
      <c r="G355" s="14" t="n">
        <v>2</v>
      </c>
      <c r="H355" s="14" t="n"/>
      <c r="I355" s="14" t="n"/>
      <c r="J355" s="14" t="n"/>
      <c r="K355" s="14" t="n"/>
      <c r="L355" s="14" t="n"/>
      <c r="M355" s="14" t="n"/>
      <c r="N355" s="14" t="n"/>
      <c r="O355" s="14" t="inlineStr">
        <is>
          <t>pz</t>
        </is>
      </c>
      <c r="P355" s="15" t="n"/>
      <c r="Q355" s="13">
        <f>IFERROR(VLOOKUP($D355,LISTINO!$B:$I,6,FALSE),IFERROR(VLOOKUP($E355,LISTINO!$C:$I,5,FALSE),""))</f>
        <v/>
      </c>
      <c r="R355" s="13">
        <f>IF(AND(ISNUMBER(G355),ISNUMBER(Q355)),G355*Q355,"")</f>
        <v/>
      </c>
    </row>
    <row r="356">
      <c r="A356" t="inlineStr">
        <is>
          <t>sensori meteo</t>
        </is>
      </c>
      <c r="B356" t="inlineStr">
        <is>
          <t>da stabilre con peppe quantità e ubicazione</t>
        </is>
      </c>
      <c r="C356" s="14" t="n">
        <v>1</v>
      </c>
      <c r="D356" t="inlineStr">
        <is>
          <t>TTS.SM.003</t>
        </is>
      </c>
      <c r="E356" t="inlineStr">
        <is>
          <t>Asta supporto anemometro</t>
        </is>
      </c>
      <c r="F356" t="inlineStr">
        <is>
          <t>Carpenteria metallica</t>
        </is>
      </c>
      <c r="G356" s="14" t="n">
        <v>1</v>
      </c>
      <c r="H356" s="14" t="n"/>
      <c r="I356" s="14" t="n"/>
      <c r="J356" s="14" t="n"/>
      <c r="K356" s="14" t="n"/>
      <c r="L356" s="14" t="n"/>
      <c r="M356" s="14" t="n"/>
      <c r="N356" s="14" t="n"/>
      <c r="O356" s="14" t="inlineStr">
        <is>
          <t>pz</t>
        </is>
      </c>
      <c r="P356" s="15" t="n"/>
      <c r="Q356" s="13">
        <f>IFERROR(VLOOKUP($D356,LISTINO!$B:$I,6,FALSE),IFERROR(VLOOKUP($E356,LISTINO!$C:$I,5,FALSE),""))</f>
        <v/>
      </c>
      <c r="R356" s="13">
        <f>IF(AND(ISNUMBER(G356),ISNUMBER(Q356)),G356*Q356,"")</f>
        <v/>
      </c>
    </row>
    <row r="357">
      <c r="A357" t="inlineStr">
        <is>
          <t>sensori meteo</t>
        </is>
      </c>
      <c r="B357" t="inlineStr">
        <is>
          <t>da stabilre con peppe quantità e ubicazione</t>
        </is>
      </c>
      <c r="C357" s="14" t="n">
        <v>2</v>
      </c>
      <c r="D357" t="inlineStr">
        <is>
          <t>15T-SENSVELVEN</t>
        </is>
      </c>
      <c r="E357" t="inlineStr">
        <is>
          <t>Anemometro</t>
        </is>
      </c>
      <c r="F357" t="inlineStr">
        <is>
          <t>Sensoristica e strumentazione</t>
        </is>
      </c>
      <c r="G357" s="14" t="n">
        <v>1</v>
      </c>
      <c r="H357" s="14" t="n"/>
      <c r="I357" s="14" t="n"/>
      <c r="J357" s="14" t="n"/>
      <c r="K357" s="14" t="n"/>
      <c r="L357" s="14" t="n"/>
      <c r="M357" s="14" t="n"/>
      <c r="N357" s="14" t="n"/>
      <c r="O357" s="14" t="inlineStr">
        <is>
          <t>pz</t>
        </is>
      </c>
      <c r="P357" s="15" t="n"/>
      <c r="Q357" s="13">
        <f>IFERROR(VLOOKUP($D357,LISTINO!$B:$I,6,FALSE),IFERROR(VLOOKUP($E357,LISTINO!$C:$I,5,FALSE),""))</f>
        <v/>
      </c>
      <c r="R357" s="13">
        <f>IF(AND(ISNUMBER(G357),ISNUMBER(Q357)),G357*Q357,"")</f>
        <v/>
      </c>
    </row>
    <row r="358">
      <c r="A358" t="inlineStr">
        <is>
          <t>sensori meteo</t>
        </is>
      </c>
      <c r="B358" t="inlineStr">
        <is>
          <t>2 tappi per ogni tracker</t>
        </is>
      </c>
      <c r="C358" s="14" t="n">
        <v>1</v>
      </c>
      <c r="D358" t="inlineStr">
        <is>
          <t>06TAP120X120</t>
        </is>
      </c>
      <c r="E358" t="inlineStr">
        <is>
          <t>Tappo profilato 120x120</t>
        </is>
      </c>
      <c r="F358" t="inlineStr">
        <is>
          <t>Bulloneria e minuteria</t>
        </is>
      </c>
      <c r="G358" s="14" t="n">
        <v>2</v>
      </c>
      <c r="H358" s="14" t="n"/>
      <c r="I358" s="14" t="n"/>
      <c r="J358" s="14" t="n"/>
      <c r="K358" s="14" t="n"/>
      <c r="L358" s="14" t="n"/>
      <c r="M358" s="14" t="n"/>
      <c r="N358" s="14" t="n"/>
      <c r="O358" s="14" t="inlineStr">
        <is>
          <t>pz</t>
        </is>
      </c>
      <c r="P358" s="15" t="n"/>
      <c r="Q358" s="13">
        <f>IFERROR(VLOOKUP($D358,LISTINO!$B:$I,6,FALSE),IFERROR(VLOOKUP($E358,LISTINO!$C:$I,5,FALSE),""))</f>
        <v/>
      </c>
      <c r="R358" s="13">
        <f>IF(AND(ISNUMBER(G358),ISNUMBER(Q358)),G358*Q358,"")</f>
        <v/>
      </c>
    </row>
    <row r="360">
      <c r="E360" s="7" t="inlineStr">
        <is>
          <t>TOTALE (escl. righe 'già caricato altrove')</t>
        </is>
      </c>
      <c r="R360" s="8">
        <f>SUMIFS(R2:R358,N2:N358,"")</f>
        <v/>
      </c>
    </row>
  </sheetData>
  <autoFilter ref="A1:R3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100" customWidth="1" style="16" min="1" max="1"/>
    <col width="12" customWidth="1" style="16" min="2" max="2"/>
  </cols>
  <sheetData>
    <row r="1">
      <c r="A1" s="1" t="inlineStr">
        <is>
          <t>RIEPILOGO LISTINO</t>
        </is>
      </c>
    </row>
    <row r="3">
      <c r="A3" s="7" t="inlineStr">
        <is>
          <t>Componenti unici a listino</t>
        </is>
      </c>
      <c r="B3" t="n">
        <v>204</v>
      </c>
    </row>
    <row r="4">
      <c r="A4" s="7" t="inlineStr">
        <is>
          <t>Righe di distinta totali (tutti i kit)</t>
        </is>
      </c>
      <c r="B4" t="n">
        <v>357</v>
      </c>
    </row>
    <row r="6">
      <c r="A6" s="7" t="inlineStr">
        <is>
          <t>Componenti unici per categoria</t>
        </is>
      </c>
    </row>
    <row r="7">
      <c r="A7" t="inlineStr">
        <is>
          <t>Carpenteria metallica</t>
        </is>
      </c>
      <c r="B7" t="n">
        <v>161</v>
      </c>
    </row>
    <row r="8">
      <c r="A8" t="inlineStr">
        <is>
          <t>Bulloneria e minuteria</t>
        </is>
      </c>
      <c r="B8" t="n">
        <v>31</v>
      </c>
    </row>
    <row r="9">
      <c r="A9" t="inlineStr">
        <is>
          <t>Motorizzazione</t>
        </is>
      </c>
      <c r="B9" t="n">
        <v>1</v>
      </c>
    </row>
    <row r="10">
      <c r="A10" t="inlineStr">
        <is>
          <t>Cuscinetti</t>
        </is>
      </c>
      <c r="B10" t="n">
        <v>1</v>
      </c>
    </row>
    <row r="11">
      <c r="A11" t="inlineStr">
        <is>
          <t>Quadristica ed elettrico</t>
        </is>
      </c>
      <c r="B11" t="n">
        <v>2</v>
      </c>
    </row>
    <row r="12">
      <c r="A12" t="inlineStr">
        <is>
          <t>Sensoristica e strumentazione</t>
        </is>
      </c>
      <c r="B12" t="n">
        <v>6</v>
      </c>
    </row>
    <row r="13">
      <c r="A13" t="inlineStr">
        <is>
          <t>Moduli fotovoltaici</t>
        </is>
      </c>
      <c r="B13" t="n">
        <v>2</v>
      </c>
    </row>
    <row r="15">
      <c r="A15" s="7" t="inlineStr">
        <is>
          <t>Legenda</t>
        </is>
      </c>
    </row>
    <row r="16">
      <c r="A16" t="inlineStr">
        <is>
          <t>• LISTINO: un record per ogni componente; 'Prezzo unitario' da compilare a cura ufficio acquisti.</t>
        </is>
      </c>
    </row>
    <row r="17">
      <c r="A17" t="inlineStr">
        <is>
          <t>• DISTINTA COMPLETA: tutte le righe di tutti i fogli della distinta originale (vista integrale).</t>
        </is>
      </c>
    </row>
    <row r="18">
      <c r="A18" t="inlineStr">
        <is>
          <t>• Colonne 'Q.tà NN mod': quantità previste per le sei configurazioni di tracker (dove indicate in origine).</t>
        </is>
      </c>
    </row>
    <row r="19">
      <c r="A19" t="inlineStr">
        <is>
          <t>• 'Già caricato altrove' = X: articolo evidenziato in rosso nella distinta originale (non riconteggiare).</t>
        </is>
      </c>
    </row>
    <row r="20">
      <c r="A20" t="inlineStr">
        <is>
          <t>• 'Importo €' e 'TOTALE' si calcolano automaticamente dopo aver compilato i prezzi nel foglio LISTINO.</t>
        </is>
      </c>
    </row>
    <row r="21">
      <c r="A21" t="inlineStr">
        <is>
          <t>• 'Peso elemento (kg)' (LISTINO e DISTINTA): colonna da compilare a mano, un valore per riga.</t>
        </is>
      </c>
    </row>
    <row r="22">
      <c r="A22" t="inlineStr">
        <is>
          <t>• Righe DISTINTA con Q.tà = 0: referenze alternative (varianti di spessore o lunghezza) create al rev.5, poste sotto l'articolo base; impostare la Q.tà quando la variante viene scelta in configurazione.</t>
        </is>
      </c>
    </row>
    <row r="23">
      <c r="A23" t="inlineStr">
        <is>
          <t>• Referenze 'IPEA' (codice ...IPEA140...): travi alleggerite, duplicato di ogni pilastro/supporto IPE 140; in DISTINTA sono righe con Q.tà = 0 sotto la versione IPE.</t>
        </is>
      </c>
    </row>
    <row r="24">
      <c r="A24" t="inlineStr">
        <is>
          <t>• Foglio 'SCHEDA STRUTTURA': riferimento per tutta la carpenteria strutturale (travi IPE/IPEA e assi di rotazione). Blocco 'Profili' = peso teorico kg/m (grezzo), % zincatura, costo acquisto €/kg e costo zincatura €/kg da compilare. Nell'elenco, per travi e assi: 'Peso elemento (kg)' = lunghezza × kg/m finale (con maggiorazione zincatura); 'Costo acquisto (€)' = lunghezza × kg/m teorico (al netto della maggiorazione) × €/kg acquisto, indipendente dalla zincatura; 'Costo zincatura (€)' = peso elemento × magg. % × €/kg zincatura, solo se la maggiorazione è presente. Nel LISTINO il 'Peso elemento' di travi e assi arriva da qui; gli altri pesi restano manuali.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2026-08-29T15:59:04Z</dcterms:created>
  <dcterms:modified xsi:type="dcterms:W3CDTF">2026-08-31T07:52:06Z</dcterms:modified>
</cp:coreProperties>
</file>